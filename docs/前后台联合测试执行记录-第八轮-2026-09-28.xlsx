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00" windowHeight="11120"/>
  </bookViews>
  <sheets>
    <sheet name="测试总览" sheetId="1" r:id="rId1"/>
    <sheet name="测试清单" sheetId="2" r:id="rId2"/>
    <sheet name="准备与流程" sheetId="3" r:id="rId3"/>
    <sheet name="问题记录" sheetId="4" r:id="rId4"/>
    <sheet name="自动手动组合" sheetId="5" r:id="rId5"/>
    <sheet name="全流程验收" sheetId="6" r:id="rId6"/>
    <sheet name="流程步骤记录" sheetId="7" r:id="rId7"/>
    <sheet name="审查结论" sheetId="8" r:id="rId8"/>
    <sheet name="补充测试清单" sheetId="9" r:id="rId9"/>
    <sheet name="设备运维清单" sheetId="10" r:id="rId10"/>
    <sheet name="本轮执行记录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<sst xmlns="http://schemas.openxmlformats.org/spreadsheetml/2006/main" count="8547" uniqueCount="3306">
  <si>
    <t>前后台联合测试执行记录 第八轮</t>
  </si>
  <si>
    <t>2026年9月28日；承接第七轮并保留历史通过项。部分验证仍计“暂时测不了”，不等同完成验收。</t>
  </si>
  <si>
    <t>检查项总数</t>
  </si>
  <si>
    <t>已通过</t>
  </si>
  <si>
    <t>有问题</t>
  </si>
  <si>
    <t>暂时测不了</t>
  </si>
  <si>
    <t>还没测</t>
  </si>
  <si>
    <t>不适用</t>
  </si>
  <si>
    <t>已执行比例</t>
  </si>
  <si>
    <t>通过比例</t>
  </si>
  <si>
    <t>模块检查和整体流程都要验收</t>
  </si>
  <si>
    <t>主清单152项：通过33、有问题9、暂时测不了107、不适用3。已补齐只读/第二操作员、MQTT目标和鸟类风险；完成并发、响应丢失、证据预览及协议分类等分支。</t>
  </si>
  <si>
    <t>完整联合验收尚未完成。12:10固定后端版本1718项：通过1702、失败13、错误3、跳过0；12:43新版本设备定向43项全通过，分开计数。页面连接中断，双页长稳仅有69.3分钟有效采样；通知/设备回执及处罚接收方仍缺。</t>
  </si>
  <si>
    <t>测试模块</t>
  </si>
  <si>
    <t>项数</t>
  </si>
  <si>
    <t>通过</t>
  </si>
  <si>
    <t>登录和账号权限</t>
  </si>
  <si>
    <t>融合感知</t>
  </si>
  <si>
    <t>飞行计划</t>
  </si>
  <si>
    <t>合法性研判</t>
  </si>
  <si>
    <t>空域管理</t>
  </si>
  <si>
    <t>风险核验和通知上级</t>
  </si>
  <si>
    <t>告警事件</t>
  </si>
  <si>
    <t>飞手短信和电话</t>
  </si>
  <si>
    <t>反制申请 审批 执行和急停</t>
  </si>
  <si>
    <t>移送与处罚</t>
  </si>
  <si>
    <t>证据和视频</t>
  </si>
  <si>
    <t>运行统计</t>
  </si>
  <si>
    <t>页面显示和大屏</t>
  </si>
  <si>
    <t>信号模拟器和前台一起测</t>
  </si>
  <si>
    <t>需要开发配合的异常测试</t>
  </si>
  <si>
    <t>规则设置改变后前台会怎样</t>
  </si>
  <si>
    <t>正式测试前先确认</t>
  </si>
  <si>
    <t>短信计时：当前业务约定10秒，代码3秒。按10秒保留验收基准；新口径须留确认记录。</t>
  </si>
  <si>
    <t>自动与手动均测试，但自动反制的人为授权依据尚需核对。8种组合均在引擎开启时按类别设置。</t>
  </si>
  <si>
    <t>哪些功能已开：自动研判、短信、电话、移送及测试数据录入办法，都要先核对。</t>
  </si>
  <si>
    <t>“暂时测不了”不算通过。“不适用”要由负责人确认并在实际现象栏写理由。</t>
  </si>
  <si>
    <t>已执行比例＝通过和有问题的项数÷适用项数。通过比例＝通过项数÷已执行项数。</t>
  </si>
  <si>
    <t>发现越权、错误反制、重复下发、急停假成功、串事件或历史被改写时，必须先处理。</t>
  </si>
  <si>
    <t>设备主链分别检查反制与干扰续链；人工处罚交接不以反制完成为前置；鸟群风险另跑独立流程。</t>
  </si>
  <si>
    <t>未填结果</t>
  </si>
  <si>
    <t>无效结果</t>
  </si>
  <si>
    <t>两项应为0；请使用清单中的下拉选项。</t>
  </si>
  <si>
    <t>整体流程验收进度</t>
  </si>
  <si>
    <t>完整流程数</t>
  </si>
  <si>
    <t>已跑通</t>
  </si>
  <si>
    <t>还没跑</t>
  </si>
  <si>
    <t>进行中</t>
  </si>
  <si>
    <t>未填步骤</t>
  </si>
  <si>
    <t>流程结论</t>
  </si>
  <si>
    <t>整体验收包括152项前台模块、48项补充、64项设备运维、36条完整流程及关键口径确认；缺任何必测环节不能算全部完成。</t>
  </si>
  <si>
    <t>异常分支以正确阻断和无误动作通过；人工交接与自动交接分开判断。硬件或算法未具备要记录暂时测不了。</t>
  </si>
  <si>
    <t>流程标记通过还需每步证据齐全。F14/F15另关联独立子场景；其他组合记录须人工核对各子批次。</t>
  </si>
  <si>
    <t>第五轮已实际执行页面、模拟工参和独立自动测试；第四轮历史保留。未修改产品代码，未发送真实短信、电话或反制指令。</t>
  </si>
  <si>
    <t>补充测试与整体验收条件</t>
  </si>
  <si>
    <t>补充项数</t>
  </si>
  <si>
    <t>记录齐全</t>
  </si>
  <si>
    <t>待补证据</t>
  </si>
  <si>
    <t>流程待补证据</t>
  </si>
  <si>
    <t>模块记录齐全</t>
  </si>
  <si>
    <t>模块“通过”需实际结果、测试人、日期、证据齐全；“不适用”必须写明原因并纳入范围确认。待补证据仍不算完整完成。</t>
  </si>
  <si>
    <t>开测和验收条件</t>
  </si>
  <si>
    <t>当前确认情况</t>
  </si>
  <si>
    <t>确认记录或版本编号</t>
  </si>
  <si>
    <t>自动执行授权依据</t>
  </si>
  <si>
    <t>未确认</t>
  </si>
  <si>
    <t/>
  </si>
  <si>
    <t>短信观察时长</t>
  </si>
  <si>
    <t>范围及运行版本</t>
  </si>
  <si>
    <t>已记录当前工作区（非纯提交版本）</t>
  </si>
  <si>
    <t>源码HEAD：后台2314376c5922；前台4c225c6cc1e5。两仓库均含既有未提交修改，本轮未修改产品代码。</t>
  </si>
  <si>
    <t>未关闭关键问题数</t>
  </si>
  <si>
    <t>请负责人员核对后填写，空白不是0</t>
  </si>
  <si>
    <t>本轮已执行可用条件下的接口/数据库回归和页面分支，修复研判渲染错误及测试隔离/换行兼容。尚无全部全流程通过证明；不因接口测试通过、样本齐备或等待时间已过而判整链通过。证据目录：C:\Users\Admin（无密码）\.codex\visualizations\2026\09\27\01a0e2a5-9f8d-7261-b23f-0e2b7ef4319e\qa-plan</t>
  </si>
  <si>
    <t>后台设备运维执行进度</t>
  </si>
  <si>
    <t>运维检查项</t>
  </si>
  <si>
    <t>新增流程数</t>
  </si>
  <si>
    <t>已跑通新增流程</t>
  </si>
  <si>
    <t>设备运维重点：接入配置、真实状态、协议调测、报修处理、恢复核验、消息已读、历史保留与权限。不能把调测通过或已反馈当修好。</t>
  </si>
  <si>
    <t>新增F31至F36用同一设备和任务串联后台、前台、模拟器。原F26保留，其详细维护闭环由F33补充。</t>
  </si>
  <si>
    <t>本轮续测后设备27、计划11；新增独立TCP测试设备已停用，全部模拟批次停止；旧QA维护任务保留处理中。新增隔离PostgreSQL测试库仅供自动夹具，未向原业务库手工插入记录。</t>
  </si>
  <si>
    <t>前台测试清单</t>
  </si>
  <si>
    <t>逐行照着做，填写右侧结果和实际现象。可以按模块、优先顺序或结果筛选。</t>
  </si>
  <si>
    <t>一行包含多种情况时，全部测完才选“通过”。部分分支已测但仍缺前提的保留阻塞；未完整执行项不计通过。</t>
  </si>
  <si>
    <t>编号</t>
  </si>
  <si>
    <t>优先顺序</t>
  </si>
  <si>
    <t>怎么测</t>
  </si>
  <si>
    <t>怎样才算正常</t>
  </si>
  <si>
    <t>测试结果</t>
  </si>
  <si>
    <t>实际看到什么</t>
  </si>
  <si>
    <t>测试人</t>
  </si>
  <si>
    <t>测试日期</t>
  </si>
  <si>
    <t>截图或证据位置</t>
  </si>
  <si>
    <t>问题编号</t>
  </si>
  <si>
    <t>必须先测</t>
  </si>
  <si>
    <t>从提供的前台地址登录，再刷新页面</t>
  </si>
  <si>
    <t>进入有权限的页面，登录身份正确，刷新后不白屏</t>
  </si>
  <si>
    <t>第五轮：恢复原后端后，前台沿用已登录的超级管理员会话；刷新后身份正确，融合感知、业务导航正常，无白屏。此前有效登录记录保留。</t>
  </si>
  <si>
    <t>Codex</t>
  </si>
  <si>
    <t>第五、六轮证据：front-session-recovered.txt；front-session-recovered.png；reachability.json</t>
  </si>
  <si>
    <t>重要检查</t>
  </si>
  <si>
    <t>不填账号密码、输错密码、使用停用账号</t>
  </si>
  <si>
    <t>分别给出清楚提示，不让无效账号进入</t>
  </si>
  <si>
    <t>第八轮：页面实测空账号提示请输入登录账号、错误口令提示账号或密码错误；正确登录恢复原证据深链。API补测停用专用只读账号时拒绝登录和旧会话，恢复后可登录。</t>
  </si>
  <si>
    <t>r8-auth-errors-ui.txt；r8-api-evidence.jsonl</t>
  </si>
  <si>
    <t>BLOCK-004</t>
  </si>
  <si>
    <t>用要求首次改密的账号登录，改密前直接打开业务页面</t>
  </si>
  <si>
    <t>先完成改密；改密后旧密码不能继续使用</t>
  </si>
  <si>
    <t>第八轮：未完成本行全部步骤。浏览器12:04起返回User unavailable；恢复确认后重连仍失败，剩余页面交互无法执行。 接口或隔离测试的局部覆盖不提升为本行整项通过。</t>
  </si>
  <si>
    <t>第八轮报告；r8-current-preconditions.json；r8-browser-recovery.json</t>
  </si>
  <si>
    <t>退出登录后，按浏览器后退，再刷新旧详情页</t>
  </si>
  <si>
    <t>不能继续读取或操作受保护资料</t>
  </si>
  <si>
    <t>第六轮独立标签退出登录后，浏览器后退及刷新均停留登录页，原业务数据不再可见；随后使用现有账号重新登录。</t>
  </si>
  <si>
    <t>第五、六轮证据：r6-logout-history.json；r6-logout-protected.png</t>
  </si>
  <si>
    <t>用不同权限账号打开每个业务页面和大屏</t>
  </si>
  <si>
    <t>能进哪些页面，与管理员给的权限一致；知道地址也不能绕过</t>
  </si>
  <si>
    <t>用只能看甲单位的账号，尝试查看乙单位的列表、详情、文件和视频</t>
  </si>
  <si>
    <t>不能看到、下载或处理乙单位资料；请开发协助检查直接访问也不能绕过</t>
  </si>
  <si>
    <t>第八轮：本用例要求的单位范围账号与当前产品基线不一致：范围配置已撤回，新用户默认ALL。已具备只读及第二操作员账号，但不伪造ASSIGNED范围或以全范围账号冒充范围隔离。</t>
  </si>
  <si>
    <t>qa-unblock-account-verification.json；r8-current-preconditions.json</t>
  </si>
  <si>
    <t>保持页面不关，让管理员撤销权限或停用账号，再尝试操作</t>
  </si>
  <si>
    <t>旧页面不能继续靠原来的权限办事</t>
  </si>
  <si>
    <t>第八轮部分验证，整项未完成：API实测空登录400、错误口令401、停用账号登录拒绝、旧会话不能读取；恢复账号后重新登录读取成功。既有只读账号的用户/角色管理403。页面分支另测。</t>
  </si>
  <si>
    <t>r8-api-evidence.jsonl</t>
  </si>
  <si>
    <t>打开原来的设备、监测、调测、用户、角色、审计页面地址</t>
  </si>
  <si>
    <t>只显示已迁移提示，不重新出现后台管理功能，不自动跳到另一系统</t>
  </si>
  <si>
    <t>第五轮逐一打开 devices、monitor、commission、users、roles、archive 六个旧地址；均显示对应迁移提示，地址保留原系统，没有自动跳转或重新出现管理表单。</t>
  </si>
  <si>
    <t>第五、六轮证据：migrated-routes.json</t>
  </si>
  <si>
    <t>打开旧风险页、旧首页、旧工作台地址和旧反制授权链接</t>
  </si>
  <si>
    <t>进入当前承接业务的位置；反制授权仍定位同一条记录</t>
  </si>
  <si>
    <t>修改登录后的跳转地址，填外部网站、无权限页面或错误地址</t>
  </si>
  <si>
    <t>不被带到陌生网站；无权限仍拦截；错误地址不造成来回跳转</t>
  </si>
  <si>
    <t>开两个标签页，退出甲账号后登录乙账号，再回旧标签页</t>
  </si>
  <si>
    <t>不混入甲账号的数据；旧页面的失败回复不把乙账号的新登录错误清掉</t>
  </si>
  <si>
    <t>打开详情后刷新、前进、后退，再试一条不存在的记录</t>
  </si>
  <si>
    <t>能找回正确上下文；不存在时明确提示，不能随便换成另一条</t>
  </si>
  <si>
    <t>原直接刷新及无效ID分支通过，但新增筛选路径复现串上下文：选8e31945d计划→筛选已取消为空→全部状态，详情变29f39fa7，URL仍8e31945d；刷新同一URL又回8e31945d。</t>
  </si>
  <si>
    <t>第五、六轮证据：r6-plan-filter-context-before.json；r6-plan-filter-context-after.json</t>
  </si>
  <si>
    <t>BUG-006</t>
  </si>
  <si>
    <t>用模拟器发送一架无人机的位置，在前台找它</t>
  </si>
  <si>
    <t>列表、地图、详情是同一架；位置、来源和最后上报时间正确</t>
  </si>
  <si>
    <t>第八轮：本轮独立MQTT批次sim-0928104253-a184实际发布，经融合、研判生成目标003及关联告警；前台可定位，来源replay、目标编号和事件对应。20分钟批次另完成1670条报文，未以PUBACK代替平台回读。</t>
  </si>
  <si>
    <t>r8-scene.json；r8-chain-initial.json；r8-soak-scenario-final.json</t>
  </si>
  <si>
    <t>BLOCK-005</t>
  </si>
  <si>
    <t>让多台设备观察同一目标，再增加一个相邻但不同的目标</t>
  </si>
  <si>
    <t>同一目标按规则合并，不把旁边另一架错误合并；请开发核对识别关联</t>
  </si>
  <si>
    <t>第八轮：批次sim-0928104253-a184由雷达和TDOA同时上报首目标，后端目标003的来源链路包含两设备，前台展开多源融合显示雷达/TDOA；相邻两个独立无人机分别产生004/005，未与003合并。</t>
  </si>
  <si>
    <t>r8-chain-initial.json; r8-multi-source-ui.txt</t>
  </si>
  <si>
    <t>查看今天出现过、但已超过5分钟没有更新的目标</t>
  </si>
  <si>
    <t>今天的记录仍保留；但不能说它还在持续实时跟踪；目标多页时数量不漏算</t>
  </si>
  <si>
    <t>第八轮部分验证，整项未完成：今日目标计数保留已停止上报的记录；010/003详情分别显示21/42分钟前最后上报，未冒称最新上报。当前14个今日目标，尚不足目标分页上限，未以小数据量证明跨页不漏数。</t>
  </si>
  <si>
    <t>r8-stale-target-ui.txt; r8-multi-source-ui.txt</t>
  </si>
  <si>
    <t>请开发准备跨夜数据，检查北京时间零点前后</t>
  </si>
  <si>
    <t>“今日目标”按新的一天重新计算，不混入前一天数量</t>
  </si>
  <si>
    <t>第八轮：未完成本行全部步骤。尚无获准时钟控制的浏览器跨夜样本；不能改系统时间影响其他任务。后端边界回归不代替此页面零点验收。</t>
  </si>
  <si>
    <t>分别查看正常、离线、有故障、数据失效的设备，再恢复设备</t>
  </si>
  <si>
    <t>地图上的当前异常有提示，恢复后停止；设备类别仍看得清</t>
  </si>
  <si>
    <t>第八轮：未完成本行全部步骤。缺独立健康GOOD的恢复样本或所需TCP/光电协议测试回执；MQTT在线和UNKNOWN不能冒充健康恢复。 浏览器12:04起返回User unavailable；恢复确认后重连仍失败，剩余页面交互无法执行。</t>
  </si>
  <si>
    <t>BLOCK-006</t>
  </si>
  <si>
    <t>在列表选择目标、设备和告警，并打开两侧详情</t>
  </si>
  <si>
    <t>地图选中位置突出、不被挡住，也不能为了显示好看把坐标挪走</t>
  </si>
  <si>
    <t>查看有转弯、停留、中断、不同段落的轨迹</t>
  </si>
  <si>
    <t>如实显示，不能把中断前后强行连起来，不能补出不存在的飞行路线</t>
  </si>
  <si>
    <t>查看按计划飞、偏离计划、尚未飞过和缺少判断依据的路段</t>
  </si>
  <si>
    <t>按计划已飞段绿、偏离段红、未飞计划段灰；缺依据说明未知，不能乱染色</t>
  </si>
  <si>
    <t>打开视频后换目标、收起视频、离开页面</t>
  </si>
  <si>
    <t>旧画面及时停止；无视频、无权限、模拟画面分别说清楚</t>
  </si>
  <si>
    <t>第八轮：未完成本行全部步骤。缺可用光电任务及真实/获准测试视频流，无法验证任务到播放与串流切换。浏览器12:04起返回User unavailable；恢复确认后重连仍失败，剩余页面交互无法执行。</t>
  </si>
  <si>
    <t>请开发模拟地图加载失败、数据读取失败，再恢复</t>
  </si>
  <si>
    <t>失败不能显示成“没有目标”，也不能用假数据填充；恢复后地图不重叠</t>
  </si>
  <si>
    <t>目标接口失败已重复注入：页面短暂错误后仍显示“今日目标0”和“融合感知数据已更新，当前无未查看异常”。解除阻断后实际恢复4目标。底图配置阻断未造成可确认的底图失败，不计该分支通过。</t>
  </si>
  <si>
    <t>第五、六轮证据：targets-failure.txt；targets-failure-recheck.txt；targets-network-failures.json；targets-recovered.txt；targets-failure.png</t>
  </si>
  <si>
    <t>BUG-003</t>
  </si>
  <si>
    <t>打开一份已录入的计划，核对单位、飞手、无人机编号、起降点、时间和航线</t>
  </si>
  <si>
    <t>与录入资料一致；缺的资料写未提供，不能自己补造</t>
  </si>
  <si>
    <t>以模拟器实际提交的独立QA计划逐字段核对：SN、时间、航线ID/版本一致；未提交的单位、飞手、起降点显示未提供，未自行补造。原始请求与接收记录均保存。</t>
  </si>
  <si>
    <t>第五、六轮证据：plan-input-r5.json；input-context-r5.json；plan-preflight-before-start.txt；plan-input-front.png</t>
  </si>
  <si>
    <t>按不同条件查计划，组合筛选、翻页、清空条件</t>
  </si>
  <si>
    <t>条件一起起作用，列表和总数一致；改条件后不会卡在空白的旧页码</t>
  </si>
  <si>
    <t>新增3份合法外部输入后共11条，10条/页能翻第2页；改待执行回第1页5条，已取消0条且详情清空，清空筛选恢复11条。当前页面仅提供状态条件；筛选后的URL上下文问题另记BUG-006。</t>
  </si>
  <si>
    <t>第五、六轮证据：r6-pagination-plan-inputs.json；r6-plans-page2.txt；r6-plans-filter-reset.txt；r6-plans-empty-filter.txt；r6-plans-all-restored.txt</t>
  </si>
  <si>
    <t>选择不同计划查看航线，再关掉详情</t>
  </si>
  <si>
    <t>每份计划对应自己的航线；选择和筛选不混乱；轨迹颜色保持一致</t>
  </si>
  <si>
    <t>计划到时间却没发现无人机，分别检查设备正常、异常、资料不足</t>
  </si>
  <si>
    <t>分清“设备异常”“可能没起飞”“目前不能确认”，不能一律认定未起飞</t>
  </si>
  <si>
    <t>第八轮部分验证，整项未完成：页面重新检查成功，附近离线设备与状态未知设备明确区分，无附近设备时提示暂不能判断起飞，未把无记录当安全；覆盖不足/正常等分支由隔离数据库用例补充。</t>
  </si>
  <si>
    <t>r8-plan-device-check.txt</t>
  </si>
  <si>
    <t>在起飞时间之前查看设备检查</t>
  </si>
  <si>
    <t>可以查看检查情况，不能提前当成“到时未起飞”去通知</t>
  </si>
  <si>
    <t>20:18查看20:22:51起飞的QA计划并重新检查，显示“起飞前·周边设备检查”“计划还没执行”；无可检查设备时不提前作未起飞通知。</t>
  </si>
  <si>
    <t>第五、六轮证据：plan-preflight-before-start.txt；plan-input-front.png</t>
  </si>
  <si>
    <t>对真实测试异常发出设备异常通知，再快速重复点击</t>
  </si>
  <si>
    <t>后台能找到对应处理事项；不能多建同一事项；通知完不等于设备已修好</t>
  </si>
  <si>
    <t>查看完全覆盖、部分覆盖、不覆盖计划飞行时间的天气预报，以及缺计划时间的情况</t>
  </si>
  <si>
    <t>只展示与计划时间重合的部分；没覆盖和缺时间分别说明</t>
  </si>
  <si>
    <t>第八轮部分验证，整项未完成：已补齐正式模拟接口数据：完整覆盖显示60分钟、部分覆盖仅显示15分钟重合段，无覆盖明确提示未覆盖；输入契约要求起止时间，现有合法入口无法建立缺时间计划，该分支仅代码检查，未标全通过。</t>
  </si>
  <si>
    <t>r8-weather-scenarios.json; r8-weather-partial-ui.txt; r8-weather-next-ui.txt; r8-weather-none-ui.txt</t>
  </si>
  <si>
    <t>打开有覆盖但时段已经结束的预报，再切页回来</t>
  </si>
  <si>
    <t>按现有要求正常保留发布时间和时段，不恢复已取消的“预报过期”提示和到期刷新</t>
  </si>
  <si>
    <t>第八轮：通过正式本地接口输入已结束的09:33至10:33模拟预报；天气页仍显示原发布时间08:33和完整时段，没有恢复已撤销的过期提示。</t>
  </si>
  <si>
    <t>r8-weather-scenarios.json; r8-weather-expired-ui.txt</t>
  </si>
  <si>
    <t>查看“本计划当前风险”，加入持续风险、已解除风险、已通知但未解除风险和待确认情况</t>
  </si>
  <si>
    <t>当前数量与当前列表一致；已通知仍可能是当前风险；待确认单独说明；历史保留</t>
  </si>
  <si>
    <t>第八轮部分验证，整项未完成：实际SPACE_OBJECT鸟类风险核实并提交通知后仍可在本计划风险接口读取；停止上报后current_status=UNKNOWN、uncertain_total=1，未当解除。尚缺气象风险有效期解除及持续风险的页面组合，浏览器断连。</t>
  </si>
  <si>
    <t>r8-risk-final.json；r8-risk-handoff.json</t>
  </si>
  <si>
    <t>快速切换同名的不同计划，再进入研判或证据</t>
  </si>
  <si>
    <t>不串天气、风险或证据；完成、取消计划按当前规则展示，不拿上一份内容顶上</t>
  </si>
  <si>
    <t>BLOCK-005 / BUG-002</t>
  </si>
  <si>
    <t>首次打开页面，对照各类待处理记录</t>
  </si>
  <si>
    <t>默认显示“待处理”；确实需要处理的记录不漏，列表、翻页和统计一致</t>
  </si>
  <si>
    <t>准备无人机、鸟、气球、风筝和未知目标，再尝试列表和直接链接</t>
  </si>
  <si>
    <t>这个页面只承接明确识别为无人机的研判；没有计划的无人机仍可保留</t>
  </si>
  <si>
    <t>第八轮部分验证，整项未完成：已实测UAV、BIRD、识别中255、UNKNOWN0与REMOTE_CONTROLLER100。非UAV均未进入UAV研判；鸟类另走风险链。气球/风筝需可追溯算法分类样本，当前模拟器非UAV统一发40，不能用改标签冒充。页面直接深链分支因浏览器断连未完成。</t>
  </si>
  <si>
    <t>r8-protocol-types-result.json；r8-bird-evaluation.json；r8-risk-final.json</t>
  </si>
  <si>
    <t>切换“核实位置”，再叠加其他筛选</t>
  </si>
  <si>
    <t>按当前研判是否关联告警筛选；不能把没权限查看告警误认成没有告警</t>
  </si>
  <si>
    <t>第八轮部分验证，整项未完成：接口实测有告警3/无告警8合计11；待复核10、已确认1、已驳回0、已改判0，列表范围正确。页面已查核实位置；多条件组合和全部状态点击未完整完成，浏览器断连。</t>
  </si>
  <si>
    <t>r8-legality-filter-api.json；r8-review-location-legality.txt</t>
  </si>
  <si>
    <t>分别打开依据充分、可以明确判为合法和非法的记录</t>
  </si>
  <si>
    <t>两种明确结论都不强行要求再人工确认；不能只看风险分数来判断可靠程度</t>
  </si>
  <si>
    <t>打开依据不足、且没有对应告警的记录，进行人工复核</t>
  </si>
  <si>
    <t>在合法性页办理；复核后更新结果并保留以前的依据和处理历史</t>
  </si>
  <si>
    <t>第八轮：无关联告警的合成研判在页面确认不可判定，保留置信度不足、断点和原始依据，生成1条含真实操作人的历史；第二位有复核权限的测试操作员提交旧版本收到409，未覆盖首条结果。</t>
  </si>
  <si>
    <t>r8-review-concurrency-result.json；r8-review-confirmed-ui.txt</t>
  </si>
  <si>
    <t>打开依据不足、但已有对应告警的记录</t>
  </si>
  <si>
    <t>去对应告警页核实；回来能看到同一结果，不要求两页各核实一次</t>
  </si>
  <si>
    <t>第八轮：模拟目标008停止上报后核实事件为 CONFIRMED，只有1条核实历史；同一静态研判仍为 PENDING_REVIEW，页面显示待复核/尚无复核历史。页面正确保留前往告警入口且没有重复核实表单，但未展示共享核实结果。</t>
  </si>
  <si>
    <t>r8-shared-review.json；r8-shared-review-ui.txt</t>
  </si>
  <si>
    <t>BUG-009</t>
  </si>
  <si>
    <t>打开没有保存可靠程度的旧记录，或判断失败的记录</t>
  </si>
  <si>
    <t>明确写未知或不可用，不能默认当成可靠或合法</t>
  </si>
  <si>
    <t>第八轮：旧记录004/005缺少置信度时显示信息待核对、不可判定及置信度未知；001人工确认后仍保留原不可判定事实，没有默认改为合法或依据充分。</t>
  </si>
  <si>
    <t>r8-review-confirmed-ui.txt; r8-filter-confirmed.txt</t>
  </si>
  <si>
    <t>筛选“待复核”“已确认”“已驳回”“已改判”</t>
  </si>
  <si>
    <t>按实际处理情况分类，不把所有“从未人工操作”的记录都塞进待复核</t>
  </si>
  <si>
    <t>两个人同时打开同一条待复核记录，先后提交不同结果</t>
  </si>
  <si>
    <t>后提交的人收到冲突或更新提示，不能无声覆盖先提交结果</t>
  </si>
  <si>
    <t>带着筛选条件打开指定目标或计划的研判链接，再快速换记录</t>
  </si>
  <si>
    <t>能定位指定记录，必要时解除妨碍定位的筛选；详情和视频不串对象</t>
  </si>
  <si>
    <t>第八轮：计划详情跳转到合法性页后选中对应计划并切至全部无人机，0条时显示真实空态；此前目标003深链准确定位且告警跳转保留对应事件。</t>
  </si>
  <si>
    <t>r8-legality-fixed.txt；r8-plan-legality-context.txt</t>
  </si>
  <si>
    <t>查看详情里的各个区块</t>
  </si>
  <si>
    <t>保留判定依据和复核历史；不恢复已经删除的整块信息及上一条、下一条箭头</t>
  </si>
  <si>
    <t>第八轮：详情已实际打开判定依据、空间证据、计划与身份和复核历史；未恢复已删除的关联资料整块或上一条/下一条箭头。修复 URLSearchParams 模板构造错误后详情正常渲染。</t>
  </si>
  <si>
    <t>r8-review-confirmed-ui.txt；r8-legality-fixed.txt</t>
  </si>
  <si>
    <t>BUG-008（已修复）</t>
  </si>
  <si>
    <t>请开发模拟目标后来被判为非无人机，或关联告警读取失败</t>
  </si>
  <si>
    <t>不继续按无人机展示；读取失败不能被当成无告警并放开重复核实</t>
  </si>
  <si>
    <t>查询、选择、关闭不同空域详情</t>
  </si>
  <si>
    <t>列表、地图范围和详情对应；没选中时不留空白详情栏；选择空域不偷偷改变筛选</t>
  </si>
  <si>
    <t>新增独立模拟允许区后共2条：逐一选择允许区和原禁飞区，详情ID、范围及来源对应；关闭后不留详情；编号筛选2→1，选择不改筛选，清空恢复2。</t>
  </si>
  <si>
    <t>第五、六轮证据：airspace-input-context-r5.json；airspace-new-detail.txt；airspace-switch-detail.txt；airspace-filter-selected.txt；airspace-cleared.txt；airspace-new-detail.png</t>
  </si>
  <si>
    <t>准备范围内、边界上、范围外的目标，并用限制区域账号查看</t>
  </si>
  <si>
    <t>按已确定的空间规则处理；不能只凭地图上看起来靠近就算在范围内，也不能越权</t>
  </si>
  <si>
    <t>第八轮：未完成本行全部步骤。本行范围受限账号条件已从当前产品撤回，默认ALL；其余同名/边界组合尚未完整验证。浏览器12:04起返回User unavailable；恢复确认后重连仍失败，剩余页面交互无法执行。</t>
  </si>
  <si>
    <t>查看当前风险和已经解除的历史风险</t>
  </si>
  <si>
    <t>当前异常有提示，历史不继续闪；通知送达不自动解除异常</t>
  </si>
  <si>
    <t>有位置、有权限且测试设备空闲时，发起光电跟踪</t>
  </si>
  <si>
    <t>跟踪的是所选目标；命令收到、跟踪成功、有视频分别显示</t>
  </si>
  <si>
    <t>没有位置、没有权限、设备忙，或只有气象风险时尝试跟踪</t>
  </si>
  <si>
    <t>明确说明不能操作的原因；不能虚构一个目标去跟踪</t>
  </si>
  <si>
    <t>查看空域资料和风险详情</t>
  </si>
  <si>
    <t>不恢复“关联规则”区块，不把后台规则编辑功能放回前台</t>
  </si>
  <si>
    <t>对待核验风险分别选择属实和排除</t>
  </si>
  <si>
    <t>处理结果及历史正确；已排除的事项不继续要求重复核验或通知</t>
  </si>
  <si>
    <t>第八轮部分验证，整项未完成：正式API对本批鸟类空间风险分别核实属实与排除，状态及各1条历史正确；旧版本409，只读403，空说明400。浏览器当前断连，页面按钮及回显待恢复后补验。</t>
  </si>
  <si>
    <t>r8-bird-evaluation.json；r8-risk-verification.json</t>
  </si>
  <si>
    <t>对核验属实的风险执行“通知上级”</t>
  </si>
  <si>
    <t>通知正确的上级，不新增按区域、风险类型选职责单位的步骤</t>
  </si>
  <si>
    <t>第八轮部分验证，整项未完成：正式API创建风险通知201；独立显示PENDING_DELIVERY、NOT_EXPECTED及通知配置未启用，重复提交409、只读创建403。风险NOTIFIED符合2026-09-10提交即已通知约定，不代表送达。未接通上级通知渠道，已送达、超时与签收分支未完成。</t>
  </si>
  <si>
    <t>r8-risk-handoff.json；r8-risk-final.json；docs/风险通知状态口径.md</t>
  </si>
  <si>
    <t>在飞行计划“全部风险事件”的“通知与回执”页签查看</t>
  </si>
  <si>
    <t>这里只看通知及回复，不再出现核验、改判操作；核验在风险详情办理</t>
  </si>
  <si>
    <t>第八轮：未完成本行全部步骤。已有本轮风险交接，但通知配置未启用，无上级有效签收及解除依据。浏览器12:04起返回User unavailable；恢复确认后重连仍失败，剩余页面交互无法执行。</t>
  </si>
  <si>
    <t>分别制造发送失败、等待结果、已送达、超时的情况</t>
  </si>
  <si>
    <t>分别显示真实状态；点完发送不能立刻当作已通知成功；结果未知时先核对</t>
  </si>
  <si>
    <t>上级签收后让风险继续存在，再提供有效解除依据</t>
  </si>
  <si>
    <t>签收不解除风险；有实际解除依据后才更新当前风险，旧通知保留</t>
  </si>
  <si>
    <t>查看过了有效时间的气象风险，以及缺少新依据的其他风险</t>
  </si>
  <si>
    <t>按实际依据处理；无法确认的说明待确认，不能一律当作已经解除</t>
  </si>
  <si>
    <t>找到本次模拟产生的新告警，打开详情</t>
  </si>
  <si>
    <t>无人机、事件、研判对应；需要人工核实的显示待核实；查看本身不办业务</t>
  </si>
  <si>
    <t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t>
  </si>
  <si>
    <t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t>
  </si>
  <si>
    <t>有权限的值班人员把告警核实为属实，再刷新</t>
  </si>
  <si>
    <t>显示“告警已确认”，记录谁处理的；后续通知按飞手和渠道条件办理</t>
  </si>
  <si>
    <t>第八轮：页面核实属实后API为CONFIRMED/version1，历史唯一且操作人正确；第二操作员旧版本409；无核验飞手时页面为待反制且无短信/电话记录。</t>
  </si>
  <si>
    <t>r8-verification-after.json；r8-api-evidence.jsonl；r8-confirmed-ui.txt</t>
  </si>
  <si>
    <t>将另一条待核实告警判为误报</t>
  </si>
  <si>
    <t>留下处理原因和历史；不会继续发短信、打电话或发起反制</t>
  </si>
  <si>
    <t>第八轮：另一条本批模拟告警在页面判为误报，API终态FALSE_POSITIVE，保留说明和操作历史，通知记录0。</t>
  </si>
  <si>
    <t>r8-false-positive.json</t>
  </si>
  <si>
    <t>组合筛选、翻页，在“告警与处置”和“反制办理”间切换</t>
  </si>
  <si>
    <t>列表和数量正确；顶部统计卡大小保持一致</t>
  </si>
  <si>
    <t>第八轮部分验证，整项未完成：实际页面使用可见筛选控件选择误报，只显示本轮误报告警；反制办理待我处理及全部记录均为空。当前待办未超过一页，分页及复杂组合未完成。</t>
  </si>
  <si>
    <t>r8-alarm-filter.txt；r8-filter-confirmed.txt</t>
  </si>
  <si>
    <t>查看现有告警和旧的人工现场记录</t>
  </si>
  <si>
    <t>不再有“现场情况”“人工补充现场情况”写入口；旧记录可看但不能替代当前依据</t>
  </si>
  <si>
    <t>快速切换两条名称相似的告警</t>
  </si>
  <si>
    <t>不把前一条的通知、视频、授权、急停状态显示到后一条</t>
  </si>
  <si>
    <t>第八轮：第八轮实际快速切换告警004（已确认待反制）002（待核实）；地图目标004、视频告警002、待核实按钮和通知未启用提示一致；另切换误报003正确去掉核实操作。无可用实际视频/授权执行回执，相关硬件分支另列。</t>
  </si>
  <si>
    <t>r8-alarm-switch.txt</t>
  </si>
  <si>
    <t>两个人同时核实，或一人快速重复点击提交</t>
  </si>
  <si>
    <t>不重复处理，不无声覆盖别人的结果；需要时提示重新读取</t>
  </si>
  <si>
    <t>无核实权限或缺关键依据时尝试处理</t>
  </si>
  <si>
    <t>有清楚的阻止原因；能进页面不等于能做所有操作</t>
  </si>
  <si>
    <t>打开告警及反制详情的视频，收起后再展开</t>
  </si>
  <si>
    <t>默认展开，支持收起；没接入、没权限、读取失败分别说明；看视频不触发反制</t>
  </si>
  <si>
    <t>已核验飞手、短信电话都可用，让无人机持续留在告警区域，再核实属实</t>
  </si>
  <si>
    <t>先短信，观察，再电话，再观察；仍没离开才到待反制。不能少等、乱跳步骤</t>
  </si>
  <si>
    <t>第八轮：未完成本行全部步骤。缺核验飞手及可用短信/电话回执链，未建立满足本分支的独立事件；不伪造送达、播放完成或飞离。</t>
  </si>
  <si>
    <t>没有已核验执行飞手时核实属实</t>
  </si>
  <si>
    <t>直接到待反制，不给未核验的人发短信打电话</t>
  </si>
  <si>
    <t>短信渠道不可用时核实属实</t>
  </si>
  <si>
    <t>按既定流程到待反制，不假装短信已送达</t>
  </si>
  <si>
    <t>短信可用、电话不可用，无人机还在区域内</t>
  </si>
  <si>
    <t>先发短信并完成观察，再到待反制；不能直接跳过观察</t>
  </si>
  <si>
    <t>短信送达后让无人机真正飞离，继续上报位置</t>
  </si>
  <si>
    <t>有位置证明离开后，不再升级电话或待反制；原告警确认记录仍保留</t>
  </si>
  <si>
    <t>一条始终不核实，另一条判为误报，多次打开页面</t>
  </si>
  <si>
    <t>两条都不发短信或电话；打开、刷新页面不触发通知</t>
  </si>
  <si>
    <t>短信送达后停止无人机位置上报，但设备还在线</t>
  </si>
  <si>
    <t>不当作飞走，也不继续自动打电话；即使显示待反制，缺少有效位置仍不能实际反制</t>
  </si>
  <si>
    <t>电话播放完成后让无人机飞离</t>
  </si>
  <si>
    <t>第二次观察根据实际位置判断离开，保留电话通知记录</t>
  </si>
  <si>
    <t>短信只发出但没确认送达，或电话没接通、没播放完</t>
  </si>
  <si>
    <t>不把这些状态当成已通知完成；不错误启动下一段观察</t>
  </si>
  <si>
    <t>请开发重复发送同一条通知回复，或把短信、电话回复顺序打乱</t>
  </si>
  <si>
    <t>不重复发送，不混用两个渠道结果，旧回复不覆盖新事实</t>
  </si>
  <si>
    <t>用别的事件或上一次模拟的回复干扰本次事件</t>
  </si>
  <si>
    <t>本次告警不被推进，本次无人机不因此触发撤离</t>
  </si>
  <si>
    <t>已有送达记录后关闭渠道，或让当前位置过期</t>
  </si>
  <si>
    <t>当时已经送达的事实仍保留，不能改成“从未发送”</t>
  </si>
  <si>
    <t>通知开始后关闭前台和收件箱，过一段时间再打开</t>
  </si>
  <si>
    <t>已启用的后台流程能继续按条件处理，不依赖人守着页面</t>
  </si>
  <si>
    <t>通知处理中断网或重启测试服务，再恢复</t>
  </si>
  <si>
    <t>先核对原任务，不盲目重复发送；未知结果如实显示</t>
  </si>
  <si>
    <t>普通申请人对符合条件的告警选择设备并提交反制申请</t>
  </si>
  <si>
    <t>进入审批流程，申请人和对象正确；审批前不能执行</t>
  </si>
  <si>
    <t>第八轮：未完成本行全部步骤。缺可用反制/干扰测试设备受理及最终回执，自动授权依据仍待确认；既有隔离回归不能替代此现场完整流程。 浏览器12:04起返回User unavailable；恢复确认后重连仍失败，剩余页面交互无法执行。</t>
  </si>
  <si>
    <t>用另一有权账号分别批准和驳回，再尝试由申请人审批自己的申请</t>
  </si>
  <si>
    <t>按现有审批约束处理；不允许的自批被拦；驳回不能继续执行</t>
  </si>
  <si>
    <t>用执行账号执行已批准且有效的任务</t>
  </si>
  <si>
    <t>收到命令、开始执行、执行完成分别显示；只有设备结果才能证明实际执行情况</t>
  </si>
  <si>
    <t>对已经过期、撤销、驳回的授权执行，包括停留在旧页面再点</t>
  </si>
  <si>
    <t>都重新检查当前状态，不因旧按钮还在就发命令</t>
  </si>
  <si>
    <t>用明确有直接反制权限的账号操作符合条件的事件</t>
  </si>
  <si>
    <t>可以免逐次审批；记下真实发起人，不捏造审批人</t>
  </si>
  <si>
    <t>用普通申请、审批、执行账号，以及没有单独授予直接权限的管理员尝试直接反制</t>
  </si>
  <si>
    <t>不能把这些身份自动当成直接反制许可</t>
  </si>
  <si>
    <t>第八轮：管理员、第二位操作员、只读账号均未显式授予 disposal:direct；三者调用直接反制入口均403，不创建授权或设备命令。</t>
  </si>
  <si>
    <t>有直接权限，但对象、区域、设备不在允许范围，或已经过期</t>
  </si>
  <si>
    <t>仍然阻止操作，不能超范围执行</t>
  </si>
  <si>
    <t>分别使用过期位置、未知或合法结论、证据不足、另一事件的研判</t>
  </si>
  <si>
    <t>申请、直接发起、实际执行都要挡住；不能拿旧现场记录凑依据</t>
  </si>
  <si>
    <t>命令排队时撤权，或让授权、位置过期</t>
  </si>
  <si>
    <t>真正发命令之前再检查，不把失效的任务继续下发</t>
  </si>
  <si>
    <t>任务需要继续执行时，让原授权到期或撤销资格</t>
  </si>
  <si>
    <t>后续命令仍重新检查，不能超出原来允许的时间</t>
  </si>
  <si>
    <t>设备忙、离线、故障时操作，再试重复点击和两个人同时提交</t>
  </si>
  <si>
    <t>说明失败或冲突；不重复下发；不能改走“人工填写执行成功”</t>
  </si>
  <si>
    <t>设备已经收到命令，但回复迟迟不到，过后再补回结果</t>
  </si>
  <si>
    <t>超时不能证明设备没执行；不要盲目重发；后到结果对应原任务</t>
  </si>
  <si>
    <t>执行中点击急停</t>
  </si>
  <si>
    <t>停止按钮容易找到；急停请求、设备回复、实际停机核查分别看，不能一点就当已停机</t>
  </si>
  <si>
    <t>未开始执行时撤销；急停后刷新或重新打开任务</t>
  </si>
  <si>
    <t>撤销与急停分清；刷新不自动恢复执行或授权</t>
  </si>
  <si>
    <t>急停失败、结果不明、重复急停或设备回复顺序错乱</t>
  </si>
  <si>
    <t>不能显示成已经安全停机；不串任务，继续清楚提示实际状况</t>
  </si>
  <si>
    <t>准备超过一页的待办，进入“待我处理”，再看“全部记录”</t>
  </si>
  <si>
    <t>待办不漏页；读取失败不能说没待办；当前事件和历史记录区分正确</t>
  </si>
  <si>
    <t>查看以前的人工执行记录</t>
  </si>
  <si>
    <t>只读保留，不重新进入可审批、可执行队列，不提供人工登记成功或失败</t>
  </si>
  <si>
    <t>请开发配合，让批准、撤销、执行同时发生，并模拟短时服务中断</t>
  </si>
  <si>
    <t>只接受当时合法的操作，不重复发命令；办理历史与实际结果一致</t>
  </si>
  <si>
    <t>打开本次事件的移送记录，核对目标、材料和来源</t>
  </si>
  <si>
    <t>是同一件事，不把反制申请审批放回这里办理</t>
  </si>
  <si>
    <t>第八轮：当前正式处罚接收方查询 items=[]。专用已核实事件无反制时申请人工交接，返回409 RECIPIENT_NOT_CONFIGURED；缺少可冻结的本轮交接和有效投递/回执，无法验收本行正向闭环。隔离H2/PostgreSQL相关回归另列，不冒充真实页面及通道通过。</t>
  </si>
  <si>
    <t>r8-handoff-recipients.json；r8-api-evidence.jsonl；r8-frozen-final-summary.json</t>
  </si>
  <si>
    <t>分别检查自动建交接、自动发送和人工补发；引擎关闭与对应规则停用使用独立批次</t>
  </si>
  <si>
    <t>按实际触发条件显示；自动建交接检查干扰完成，人工交接不要求先反制。只读刷新不写入；发送、送达、签收和处罚结果分别记录</t>
  </si>
  <si>
    <t>查看待发送、等送达确认、已送达、发送失败的记录</t>
  </si>
  <si>
    <t>四种情况分清，保留每次发送记录，不能把未知写成成功</t>
  </si>
  <si>
    <t>查看未进入签收、等签收、已签收、签收超时</t>
  </si>
  <si>
    <t>签收与送达分开；已送达不等于已签收，已签收不等于处罚完成</t>
  </si>
  <si>
    <t>对允许补发的未发送或明确失败记录操作，再对结果未知的记录尝试重发</t>
  </si>
  <si>
    <t>只允许当前合法操作；结果未知先核对，不反复发送</t>
  </si>
  <si>
    <t>请开发模拟重复、迟到或发错事件的送达签收回复</t>
  </si>
  <si>
    <t>不重复处理，不串事件，历史事实不被随便覆盖</t>
  </si>
  <si>
    <t>查看已有正式办理结果和还没有决定的记录</t>
  </si>
  <si>
    <t>没有决定不编出处罚结果；收到材料不自动结案</t>
  </si>
  <si>
    <t>已固定保存的材料之后又增加新证据，或改变当前配置</t>
  </si>
  <si>
    <t>原材料内容保留，新资料另行关联；直接反制记录写真实发起人</t>
  </si>
  <si>
    <t>用范围受限或无办理权限的账号看详情、下载材料、尝试发送</t>
  </si>
  <si>
    <t>查看、下载、处理都受权限限制，不能越权</t>
  </si>
  <si>
    <t>分别打开图片、PDF、视频和文本证据</t>
  </si>
  <si>
    <t>内容可读，采集时间与模拟标记明确</t>
  </si>
  <si>
    <t>第八轮：JPEG图片1813×826显示正常；WEBM实际播放到0.532494秒、ended=true且无解码错误；文本安全转义。有效单页PDF接口HTTP200且哈希一致，但浏览器预览空白。误用PNG类型的JPEG副本被415正确拒绝，不是产品缺陷。</t>
  </si>
  <si>
    <t>r8-preview-pdf.png；r8-preview-jpeg.jpg；r8-preview-binary-results.json；r8-video-played.json</t>
  </si>
  <si>
    <t>BUG-010</t>
  </si>
  <si>
    <t>同一事件有多个同名文件，从业务页点击查看证据详情</t>
  </si>
  <si>
    <t>精确打开刚才那个文件，不能换成第一个或最新的文件</t>
  </si>
  <si>
    <t>第八轮：告警0928-001材料弹窗第2份为同名A，第3份为同名B；从第3份点击查看证据详情准确定位b3a241aa文件，刷新仍显示第二份B，未被同名第一份替代。</t>
  </si>
  <si>
    <t>r8-same-name-event-dialog.txt; r8-same-name-event-refresh.txt</t>
  </si>
  <si>
    <t>BUG-002</t>
  </si>
  <si>
    <t>同一目标有多条轨迹，从业务页跳到轨迹证据</t>
  </si>
  <si>
    <t>打开正确的那一条，不能把轨迹编号当成文件编号找错内容</t>
  </si>
  <si>
    <t>第七轮：从告警详情打开2份轨迹，第一份为84179afa融合轨迹；点击下一份变为074c95d4原始轨迹。通过“查看证据详情”跳转后URL仍为074c95d4并带原事件上下文，页面显示166个真实上报观测点；刷新仍正确，未把轨迹编号当文件编号。</t>
  </si>
  <si>
    <t>打开已丢失、损坏或不支持预览的文件</t>
  </si>
  <si>
    <t>明确提示，不能用样例文件冒充；有文件名不代表文件一定还在</t>
  </si>
  <si>
    <t>第八轮：页面实测受控损坏副本提示内容与入库不一致且禁下载；受控缺失副本提示原件缺失且禁下载；BIN提示格式不支持并仅按权限下载原件。两份副本均设50秒自动恢复，再检查AVAILABLE和原哈希。</t>
  </si>
  <si>
    <t>r8-corrupt-file-ui.txt; r8-missing-file-ui.txt; r8-unsupported-file-ui.txt; r8-temporary-file-fault-restored.json; r8-temporary-missing-restored.json</t>
  </si>
  <si>
    <t>用无权限账号，或退出后再打开原文件链接</t>
  </si>
  <si>
    <t>不能因为知道地址就下载或预览</t>
  </si>
  <si>
    <t>第八轮：只读用户可读元信息，但二进制预览返回403；不带会话打开原文件内容返回401，管理员相同文件200且哈希一致。</t>
  </si>
  <si>
    <t>r8-file-access.jsonl</t>
  </si>
  <si>
    <t>检查一份完整文件和一份受控损坏的测试副本</t>
  </si>
  <si>
    <t>如实给出完整性结果；“文件完整”不代表“内容一定真实”</t>
  </si>
  <si>
    <t>第八轮：真实文件哈希校验通过；仅对本轮合成副本追加字节或临时移走，分别识别 CORRUPT/MISSING；均在 finally 中还原并校验 AVAILABLE、matches=true。</t>
  </si>
  <si>
    <t>r8-integrity-copies.json</t>
  </si>
  <si>
    <t>视频加载时快速切换目标，或离开告警、研判、反制页面</t>
  </si>
  <si>
    <t>旧画面停止，不把上一目标画面放到下一目标上</t>
  </si>
  <si>
    <t>查看长文件名、大图片、冻结记录，连续开关预览</t>
  </si>
  <si>
    <t>内容不被裁掉，页面不越来越卡，历史资料不被改变</t>
  </si>
  <si>
    <t>第八轮：本轮新增长文件名图片可按精确 ID 打开，1813826 预览正常；但名称单元格 nowrap 撑至1746px，在左栏被裁切且需横向滚动。冻结/解除已回读验证内容哈希不变。</t>
  </si>
  <si>
    <t>r8-long-file.json；r8-long-file-ui.jpg；r8-file-access.jsonl</t>
  </si>
  <si>
    <t>BUG-011</t>
  </si>
  <si>
    <t>用本次能对得上的目标、立案和处罚结果核对数字</t>
  </si>
  <si>
    <t>新目标按首次发现计数，不因重复上报重复算；立案按立案时间，处罚只算有效结果</t>
  </si>
  <si>
    <t>第八轮部分验证，整项未完成：统计接口今日14目标与1670条报文后的去重结果对应；月度41、昨日7，CSV同范围一致。不存在本轮正式立案/处罚正向记录，不能验证全业务数字；以上为12:03附近快照，后续新增目标另存证。</t>
  </si>
  <si>
    <t>r8-stats-api.json；r8-stats-today.csv；r8-soak-scenario-final.json</t>
  </si>
  <si>
    <t>改时间、单位等条件，再快速切换</t>
  </si>
  <si>
    <t>数字和图表一起按同样条件变化，不被旧查询结果覆盖</t>
  </si>
  <si>
    <t>第八轮：运行统计页面只有固定日期范围文字，没有计划要求的时间或单位筛选控件；接口支持from/to但不能代替页面操作，无法进行页面快速换条件验收。</t>
  </si>
  <si>
    <t>r8-stats-api.json；dongying-vue/src/pages/StatsPage.vue</t>
  </si>
  <si>
    <t>BUG-012</t>
  </si>
  <si>
    <t>分别查看真实为零、缺少数据、读取失败的情况</t>
  </si>
  <si>
    <t>零就是零；不知道或读取失败要说清楚，不能全部补成零</t>
  </si>
  <si>
    <t>真实0和海拔缺失提示已核对；再阻断stats/operations请求，页面明确网络失败、统计区间—、导出禁用，没有补零。解除阻断点击重试后恢复统计。</t>
  </si>
  <si>
    <t>第五、六轮证据：stats-ui.txt；stats-failure.txt；stats-failure.png；stats-recovered.txt</t>
  </si>
  <si>
    <t>带筛选条件导出统计文件</t>
  </si>
  <si>
    <t>文件内容与页面同一范围，中文和时间正确，不能只导出一页却说是全部</t>
  </si>
  <si>
    <t>第八轮部分验证，整项未完成：正式CSV接口按今日、昨日、月度范围分别导出，UTF-8中文、统计数字与同范围API一致。浏览器点击导出时连接超时，实际下载完成未证实；页面也无时间/单位筛选入口。</t>
  </si>
  <si>
    <t>r8-stats-api.json；r8-stats-today.csv；r8-stats-yesterday.csv；r8-stats-month.csv</t>
  </si>
  <si>
    <t>检查跨天和开始、结束时间附近的记录</t>
  </si>
  <si>
    <t>按已确定的时间边界统计，不多算、不漏算</t>
  </si>
  <si>
    <t>用只能看本单位的账号查询和导出</t>
  </si>
  <si>
    <t>图表和文件也不能包含其他单位资料</t>
  </si>
  <si>
    <t>查看很长的分类名称、空图表和全零图表</t>
  </si>
  <si>
    <t>看得全、分得清，不靠省略文字掩盖重要内容</t>
  </si>
  <si>
    <t>用较小窗口和长名称检查各页、表格、弹窗</t>
  </si>
  <si>
    <t>无文字重叠、关键内容裁切或省略号截断；整页不被迫左右拖动</t>
  </si>
  <si>
    <t>CSS视口1000×750，空域页刷新与重新定位按钮right分别1013.16/1015.16，超出1000宽且容器overflow:hidden；恢复1982宽后完整。其他6业务页已截图；合法性研判页脚可通过滚动到达。</t>
  </si>
  <si>
    <t>第五、六轮证据：r6-small-airspace-layout.json；r6-small-airspace-confirmed.png；r6-airspace-wide-layout.json；r6-small-legality-scroll.json；r6-small-legality-scrolled.png</t>
  </si>
  <si>
    <t>BUG-005</t>
  </si>
  <si>
    <t>对照检查全部业务页和大屏的背景、卡片、文字、状态颜色</t>
  </si>
  <si>
    <t>当前深蓝主题一致，正文易读，同一状态颜色含义一致</t>
  </si>
  <si>
    <t>第八轮：本行旧预期要求普通业务页和大屏均深宝蓝；2026-09-27最新项目约定改为普通页低饱和蓝灰、大屏独立宝蓝。按旧统一配色无法验收；新主题已页面观察，不擅自恢复旧色。</t>
  </si>
  <si>
    <t>E:/rwurenji/_rong/AGENTS.md 界面文字完整展示及配色约定</t>
  </si>
  <si>
    <t>查看地图异常图标，再恢复正常；开启系统减少动态效果设置</t>
  </si>
  <si>
    <t>红光只出现在地图当前异常图标；恢复后停止；减少动态效果时保留静态提示</t>
  </si>
  <si>
    <t>分别滚动列表和详情，切页签、开关详情</t>
  </si>
  <si>
    <t>地图仍可用，重要按钮和关闭入口不被遮住</t>
  </si>
  <si>
    <t>测空列表、加载中、填写错误、无权限、读取失败</t>
  </si>
  <si>
    <t>每种提示清楚；保存中不会让人反复提交；失败不能弹成功</t>
  </si>
  <si>
    <t>有权和无权账号分别开大屏，进入全屏后再退出</t>
  </si>
  <si>
    <t>权限正确，退出正常，数字与业务事实一致</t>
  </si>
  <si>
    <t>只用键盘操作，并把浏览器放大到200%</t>
  </si>
  <si>
    <t>主要功能仍能找到和操作，焦点看得见，状态有文字说明</t>
  </si>
  <si>
    <t>一般检查</t>
  </si>
  <si>
    <t>普通页面和大屏分别连续开至少2小时，期间切换和恢复网络</t>
  </si>
  <si>
    <t>不白屏，不越来越卡，不一直显示早已失效的数据却称实时</t>
  </si>
  <si>
    <t>第八轮10:48:19重新开始普通页和大屏长稳，最后成功采样69.3分钟；此后浏览器连接中断，无法证明两小时连续状态。断网后普通页仍显示更新成功已复现，故本项仍不通过。后台及源代码期间有并行变更。</t>
  </si>
  <si>
    <t>r8-soak-samples.json；r8-soak-target-read-failed.txt；r8-browser-recovery.json</t>
  </si>
  <si>
    <t>BUG-003 / BLOCK-008</t>
  </si>
  <si>
    <t>在本机Chrome和Edge各走一遍关键操作</t>
  </si>
  <si>
    <t>登录、表单、地图、视频都能正常用，记录浏览器版本；其他约定浏览器另测</t>
  </si>
  <si>
    <t>第八轮：Edge已执行多项关键操作；本机浏览器工具没有可连接Chrome，且12:04起Edge连接也返回User unavailable，双浏览器验收尚未完成。</t>
  </si>
  <si>
    <t>r8-browser-recovery.json</t>
  </si>
  <si>
    <t>启动一批独立测试信号，依次找发送记录、平台目标、前台展示</t>
  </si>
  <si>
    <t>一步步对得上；模拟器显示“发送成功”还不等于平台已产生目标、研判或告警</t>
  </si>
  <si>
    <t>分别模拟正常飞行、偏航、无计划、进入限飞区、鸟群、设备故障</t>
  </si>
  <si>
    <t>各类结果由实际判断产生；鸟群不进入无人机合法性页；设备故障不冒充无人机违规</t>
  </si>
  <si>
    <t>在模拟器和前台同时看同一设备、无人机、航线和区域</t>
  </si>
  <si>
    <t>实际位置一致，不能用示意坐标代替；高度含义不明时不擅自换算</t>
  </si>
  <si>
    <t>分别选择短信后撤离、电话后撤离、继续飞行、短信后停止上报</t>
  </si>
  <si>
    <t>只响应本次目标的通知；撤离过程中继续发送真实模拟位置；停报不算飞离</t>
  </si>
  <si>
    <t>第八轮：未完成本行全部步骤。缺核验飞手及可用短信/电话回执链，未建立满足本分支的独立事件；不伪造送达、播放完成或飞离。 实际处罚接收方列表为空，正式提交返回RECIPIENT_NOT_CONFIGURED；无法验证投递、签收及处罚决定闭环。 浏览器12:04起返回User unavailable；恢复确认后重连仍失败，剩余页面交互无法执行。</t>
  </si>
  <si>
    <t>打开短信、电话、风险、处罚收件箱，刷新和翻页</t>
  </si>
  <si>
    <t>只查看既有记录；不能因此发送、拨号或签收；未送达或未知不能算已经收到</t>
  </si>
  <si>
    <t>输入一份计划或天气资料，再重复提交相同的一次消息</t>
  </si>
  <si>
    <t>前台资料正确，不因为重复提交而多出一份业务事实；不改旧历史</t>
  </si>
  <si>
    <t>独立计划和全覆盖天气均通过真实表单重复提交相同消息；回读分别仅1条接收记录，计划总数7未因重复变8。前台SN、时段、预报数值正确，原6份计划保留。随后另建历史QA计划供30项测试。</t>
  </si>
  <si>
    <t>第五、六轮证据：plan-input-r5.json；plan-repeat-sim.txt；input-repeat-context-r5.json；weather-repeat-context-r5.json；weather-full.txt</t>
  </si>
  <si>
    <t>运行中暂停、停止，或让登录失效、重启模拟器</t>
  </si>
  <si>
    <t>如实停止或显示失效；重启不自行续发；旧批次保留，前台不假装仍有新位置</t>
  </si>
  <si>
    <t>第八轮部分验证，整项未完成：模拟批次暂停时 elapsed=23.1秒、sent=33，间隔后保持不变；恢复后继续至60秒/84条并COMPLETED，批次回读无错误。重启和会话过期分支由模拟器自动测试补充。</t>
  </si>
  <si>
    <t>r8-control-pause.json；r8-control-resume.json；r8-control-finish.json；r8-simulator-tests.log</t>
  </si>
  <si>
    <t>分别让登录失效、权限不足、记录不存在、服务出错、请求超时</t>
  </si>
  <si>
    <t>提示对应真实原因，不全部显示“暂无数据”，不不停重试</t>
  </si>
  <si>
    <t>操作已经到系统，但页面没收到回复，再恢复网络</t>
  </si>
  <si>
    <t>先查询原结果，不重复核实、通知、申请或下发</t>
  </si>
  <si>
    <t>第八轮：对本轮测试事件核实，CDP 在服务端返回 200 后丢弃响应；页面主动回读为待反制，历史仅 1 条。此前同幂等键重放 409且无重复，旧版本提交 409。拦截已清除。</t>
  </si>
  <si>
    <t>r8-response-lost.json；r8-response-lost-history.json；r8-response-lost-ui.txt；r8-api-evidence.jsonl</t>
  </si>
  <si>
    <t>第八轮响应丢失复测通过</t>
  </si>
  <si>
    <t>先查甲记录再查乙记录，让甲的结果更晚返回</t>
  </si>
  <si>
    <t>最后仍显示乙，不被甲覆盖；离开页面后旧结果不回来乱改</t>
  </si>
  <si>
    <t>两个人同时核实、批准、撤销同一件事</t>
  </si>
  <si>
    <t>有冲突提示，重新读取当前状态，不无声覆盖别人</t>
  </si>
  <si>
    <t>隐藏标签页后恢复，断网后恢复，观察自动刷新</t>
  </si>
  <si>
    <t>不积压大量请求，不重叠刷新；能重新显示当前数据</t>
  </si>
  <si>
    <t>第八轮：仅普通页 /api/v1/targets* 被阻断22秒，CDP记录4次 inspector 阻断；页面依然显示数据已更新与新时间，无失败提示。已清除阻断，大屏未受此注入影响。</t>
  </si>
  <si>
    <t>r8-soak-target-read-failed.txt；r8-network-fault-events.json</t>
  </si>
  <si>
    <t>用有代表性的数据量检查首次打开、筛选、详情和地图的速度</t>
  </si>
  <si>
    <t>记录真实等待时间；先确定可接受标准，不能为了快而漏掉列表和待办</t>
  </si>
  <si>
    <t>输入长文本、特殊符号和类似网页代码的测试文字</t>
  </si>
  <si>
    <t>当普通文字显示，不执行代码、不破坏页面；不合法输入清楚提示</t>
  </si>
  <si>
    <t>空域名称含&lt;b&gt;特殊文字&lt;/b&gt;及&amp;，模拟器和前台列表/详情均按普通文字显示；此前维护进展1001字拒绝、有效长说明只追加记录。未触发脚本或破坏页面。</t>
  </si>
  <si>
    <t>第五、六轮证据：airspace-input-sim.txt；airspace-new-detail.txt；airspace-new-detail.png；progress-validation.json</t>
  </si>
  <si>
    <t>准备不同单位、不同来源但同名的数据，再换账号查询</t>
  </si>
  <si>
    <t>不混数据，不越权；模拟、回放和真实来源分清</t>
  </si>
  <si>
    <t>当前业务继续变化，回头查看已固定保存的历史材料</t>
  </si>
  <si>
    <t>过去事实保持原样，新情况另有记录，不能事后补出假的审批或回复</t>
  </si>
  <si>
    <t>第八轮部分验证，整项未完成：风险通知冻结材料保持提交前v1/PENDING_NOTIFICATION；当前风险已推进v2/NOTIFIED，重复读取与只读拒绝后快照内容完全不变。尚未完成新增证据或配置改变后的处罚材料及页面回看分支。</t>
  </si>
  <si>
    <t>r8-risk-handoff.json；r8-risk-final.json</t>
  </si>
  <si>
    <t>自动执行没有开启，只保存或启用一条规则配置</t>
  </si>
  <si>
    <t>不能把“规则存好了”当成自动动作已经开启；人工操作仍按原权限和条件办理</t>
  </si>
  <si>
    <t>第八轮：未完成本行全部步骤。自动规则完整组合未执行：缺可用反制/干扰测试设备受理及最终回执，自动授权依据仍待确认；既有隔离回归不能替代此现场完整流程。 实际处罚接收方列表为空，正式提交返回RECIPIENT_NOT_CONFIGURED；无法验证投递、签收及处罚决定闭环。</t>
  </si>
  <si>
    <t>自动服务正在启动、运行异常，之后恢复</t>
  </si>
  <si>
    <t>不假装已经成功执行；恢复后不重复办同一件事</t>
  </si>
  <si>
    <t>在本轮测试自动模式下，分别准备条件全满足、不满足、未知、持续时间不够</t>
  </si>
  <si>
    <t>只有符合已批准条件时才推进；不知道不能当作满足</t>
  </si>
  <si>
    <t>自动反制条件表面满足，但账号、设备、位置、证据或急停条件不允许</t>
  </si>
  <si>
    <t>仍须阻止动作，不能用“规则通过了”代替反制资格</t>
  </si>
  <si>
    <t>动作排队后，规则、授权或允许时段发生变化</t>
  </si>
  <si>
    <t>真正发送和继续执行之前再次检查，不能照旧结果继续办</t>
  </si>
  <si>
    <t>某类规则没有启用，或已经暂停，再尝试有权限的人工操作</t>
  </si>
  <si>
    <t>自动部分按设置暂停；人工入口不被错误隐藏，也不能因此绕过权限</t>
  </si>
  <si>
    <t>测试准备与操作说明</t>
  </si>
  <si>
    <t>完整安排、六个操作示例、误判提醒和验收要求均在本页。</t>
  </si>
  <si>
    <t>事项</t>
  </si>
  <si>
    <t>怎么准备或怎么做</t>
  </si>
  <si>
    <t>补充说明</t>
  </si>
  <si>
    <t>阅读说明</t>
  </si>
  <si>
    <t>这份文档给实际使用系统、负责测试和参与验收的人看。按下面的顺序操作，检查页面显示和实际处理结果是否一致。每测一项，记下“通过、有问题、暂时测不了、还没测”。</t>
  </si>
  <si>
    <t>本文是测试安排，下面写的是系统应该怎样表现，不是已经测过的结果。</t>
  </si>
  <si>
    <t>一 这次主要测什么</t>
  </si>
  <si>
    <t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t>
  </si>
  <si>
    <t>要检查的不只是“按钮能不能点”。还要看：点完后事情有没有真正办成、处理的是不是这架无人机、换个账号能不能看到不该看的数据、出了问题会不会误显示成功。</t>
  </si>
  <si>
    <t>打开哪个系统</t>
  </si>
  <si>
    <t>地址</t>
  </si>
  <si>
    <t>测试时用它做什么</t>
  </si>
  <si>
    <t>业务前台</t>
  </si>
  <si>
    <t>http://localhost:5173/#/login?redirect=/legality</t>
  </si>
  <si>
    <t>主要测试对象，按值班人员的日常操作来测</t>
  </si>
  <si>
    <t>管理后台</t>
  </si>
  <si>
    <t>http://127.0.0.1:5175/login?redirect=/system/roles</t>
  </si>
  <si>
    <t>准备账号、设置权限，检查设备、通知和规则配置</t>
  </si>
  <si>
    <t>信号模拟器</t>
  </si>
  <si>
    <t>http://127.0.0.1:8766/</t>
  </si>
  <si>
    <t>模拟无人机、设备和飞行过程，配合检查前台反应</t>
  </si>
  <si>
    <t>模拟测试使用测试设备和测试通知渠道。模拟短信成功，只能说明这次模拟过程正常，不能据此认定真实手机收到了短信；视频和设备动作也一样。</t>
  </si>
  <si>
    <t>二 开始之前准备好这些东西</t>
  </si>
  <si>
    <t>1 准备能做不同事情的账号</t>
  </si>
  <si>
    <t>不需要把所有操作都放在一个管理员账号里。至少准备能覆盖下面几种情况的账号，哪些账号可以兼用，由管理员按实际权限安排。</t>
  </si>
  <si>
    <t>账号能做什么</t>
  </si>
  <si>
    <t>用来检查什么</t>
  </si>
  <si>
    <t>只能查看</t>
  </si>
  <si>
    <t>能看资料，但不能核实告警、审批或反制</t>
  </si>
  <si>
    <t>能核实告警、申请反制</t>
  </si>
  <si>
    <t>能提交申请，但不能跳过审批</t>
  </si>
  <si>
    <t>能审批</t>
  </si>
  <si>
    <t>使用另一账号审批，检查申请和审批是否分开</t>
  </si>
  <si>
    <t>能执行已批准的反制</t>
  </si>
  <si>
    <t>只能执行当前允许执行的任务</t>
  </si>
  <si>
    <t>被明确授予直接反制权限</t>
  </si>
  <si>
    <t>可以免去逐次审批，但仍要满足设备、范围、时间和证据要求</t>
  </si>
  <si>
    <t>只能看某个单位或区域</t>
  </si>
  <si>
    <t>不能看到、下载或处理其他单位、区域的资料</t>
  </si>
  <si>
    <t>没有某个页面权限</t>
  </si>
  <si>
    <t>即使知道页面地址，也不能直接进入</t>
  </si>
  <si>
    <t>已停用</t>
  </si>
  <si>
    <t>不能继续登录或操作</t>
  </si>
  <si>
    <t>没有被授予直接反制权限的管理员</t>
  </si>
  <si>
    <t>检查“管理员”身份是否被错误地当成直接反制许可</t>
  </si>
  <si>
    <t>测试记录里写账号名称和权限，不写密码。</t>
  </si>
  <si>
    <t>2 准备几组能互相对应的数据</t>
  </si>
  <si>
    <t>请开发或环境维护人员配合，通过现有录入、接入和模拟工具准备。不要为了让页面有数据，直接把“执行成功”“已签收”等结果填进数据库。</t>
  </si>
  <si>
    <t>准备什么</t>
  </si>
  <si>
    <t>具体例子</t>
  </si>
  <si>
    <t>正常飞行</t>
  </si>
  <si>
    <t>有有效飞行计划，沿计划航线飞行的无人机</t>
  </si>
  <si>
    <t>异常飞行</t>
  </si>
  <si>
    <t>偏离航线、没有计划、进入测试限飞区域的无人机，各准备一组</t>
  </si>
  <si>
    <t>不是无人机的目标</t>
  </si>
  <si>
    <t>鸟、气球、风筝，以及暂时不知道类别的目标</t>
  </si>
  <si>
    <t>信息不够的情况</t>
  </si>
  <si>
    <t>没有新位置、资料不全、系统暂时不能确定是否合法</t>
  </si>
  <si>
    <t>不同通知结果</t>
  </si>
  <si>
    <t>没有核验飞手、短信可用或不可用、电话可用或不可用、发送失败或结果未知</t>
  </si>
  <si>
    <t>不同飞行动作</t>
  </si>
  <si>
    <t>收到短信后离开、收到电话后离开、继续飞、停止上报位置</t>
  </si>
  <si>
    <t>不同办理进度</t>
  </si>
  <si>
    <t>待审批、已批准、已驳回、已过期、排队中、执行中、执行失败、已急停</t>
  </si>
  <si>
    <t>不同风险情况</t>
  </si>
  <si>
    <t>待核验、待通知、已经通知但风险仍在、已经排除、暂时不能确认</t>
  </si>
  <si>
    <t>不同天气资料</t>
  </si>
  <si>
    <t>完全覆盖飞行时间、只覆盖一部分、不覆盖、缺少计划时间</t>
  </si>
  <si>
    <t>不同证据</t>
  </si>
  <si>
    <t>图片、视频、文件、飞行轨迹；还要有文件丢失、损坏和无查看权限的情况</t>
  </si>
  <si>
    <t>容易混淆的数据</t>
  </si>
  <si>
    <t>名称一样但实际不同的无人机、计划、文件；至少三页的列表；很长的名称</t>
  </si>
  <si>
    <t>每次模拟都记下本次运行编号，以及对应的无人机、计划和告警编号。后续跨页面检查时，始终对着同一件事看，不能在几个页面各找一条看起来相似的数据。</t>
  </si>
  <si>
    <t>3 有几件事要先说清楚</t>
  </si>
  <si>
    <t>这些问题来自前一轮编制时对说明文档和代码的核对。正式测试前，应由负责人员确认当前实际情况。</t>
  </si>
  <si>
    <t>要先确认的事</t>
  </si>
  <si>
    <t>为什么要确认</t>
  </si>
  <si>
    <t>短信送达后到底观察3秒还是10秒</t>
  </si>
  <si>
    <t>当前已确认说明为短信10秒，现代码仍为3秒。按10秒保留验收预期，记录差异；若调整为3秒，须保存新确认。</t>
  </si>
  <si>
    <t>后台自动和手动分别怎样设置</t>
  </si>
  <si>
    <t>自动和手动均测试。8种组合需引擎开启并按类别设置；自动执行的人为授权依据另行核对，代码存在不等于授权已确认。</t>
  </si>
  <si>
    <t>哪些自动功能已经开启</t>
  </si>
  <si>
    <t>页面能打开，不代表自动研判、短信、电话、移送都已经开启</t>
  </si>
  <si>
    <t>用哪些测试账号</t>
  </si>
  <si>
    <t>不直接假定旧演示账号、旧密码还能用</t>
  </si>
  <si>
    <t>计划、空域等测试资料从哪里录入</t>
  </si>
  <si>
    <t>旧模拟器的配套方式与较新的数据录入要求存在差异，需要先确定本轮允许的办法</t>
  </si>
  <si>
    <t>没有确认的相关项目，写“暂时测不了”和具体原因。能独立测试的其他项目继续做。</t>
  </si>
  <si>
    <t>三 建议按这个顺序测试</t>
  </si>
  <si>
    <t>顺序</t>
  </si>
  <si>
    <t>做什么</t>
  </si>
  <si>
    <t>做到什么程度再往下走</t>
  </si>
  <si>
    <t>第一步</t>
  </si>
  <si>
    <t>检查账号、配置和测试数据</t>
  </si>
  <si>
    <t>能登录，知道自己能做什么，本次数据能查到</t>
  </si>
  <si>
    <t>第二步</t>
  </si>
  <si>
    <t>每个页面先走一遍</t>
  </si>
  <si>
    <t>能正常打开、查列表、看详情，关键位置不空白、不报错</t>
  </si>
  <si>
    <t>第三步</t>
  </si>
  <si>
    <t>完整处理一件事</t>
  </si>
  <si>
    <t>从发现无人机，一直检查到通知、反制、移送和证据；未具备的必测环节记录暂时测不了，不据此宣布全流程通过</t>
  </si>
  <si>
    <t>第四步</t>
  </si>
  <si>
    <t>换条件、换账号再测</t>
  </si>
  <si>
    <t>检查误报、没权限、信息不足、设备故障、断网、重复点击等情况</t>
  </si>
  <si>
    <t>第五步</t>
  </si>
  <si>
    <t>修复后重新测</t>
  </si>
  <si>
    <t>原问题确实消失，前后相关操作没有被改坏</t>
  </si>
  <si>
    <t>原5～7.5人工日只对应最初模块计划。现已加入8种组合、30条流程与48项补充测试，需要按实际批次数、配合人员和环境重新排期。</t>
  </si>
  <si>
    <t>四 先完整走通这六种情况</t>
  </si>
  <si>
    <t>第一种 无人机正常飞行</t>
  </si>
  <si>
    <t>先准备一份有效飞行计划，再让模拟无人机沿计划航线飞行。到“融合感知”里找到它，查看位置和轨迹；再打开对应飞行计划和合法性研判。</t>
  </si>
  <si>
    <t>正常表现：几个页面显示的是同一架无人机，计划匹配正确；有充分依据时显示合法；已飞过且符合计划的轨迹显示绿色，尚未飞过的计划航线显示灰色。不能无故产生违规告警或反制动作。</t>
  </si>
  <si>
    <t>第二种 无人机违规后按申请审批流程处理</t>
  </si>
  <si>
    <t>准备一架持续在告警区域内飞行的违规无人机，并为它准备已核验的飞手和可用的模拟短信、电话渠道。值班账号核实告警后，观察短信、等待观察、电话、再次观察的过程。</t>
  </si>
  <si>
    <t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t>
  </si>
  <si>
    <t>正常表现：每一步处理同一个事件，审批前不能执行，页面提交成功不能冒充设备已经执行成功；移送、送达和签收分别有对应记录。</t>
  </si>
  <si>
    <t>第三种 有直接反制权限并在执行中急停</t>
  </si>
  <si>
    <t>使用被明确授予直接反制权限的账号，对一条符合条件的告警发起反制。执行过程中点击急停，查看设备回复和停机核查结果。</t>
  </si>
  <si>
    <t>正常表现：可以免去逐次审批，但仍检查对象、设备、范围、时间和当前证据；记录真实操作人。点击急停后，只有确认了设备的实际结果，才能认定已经停机。重新打开页面不能自动恢复执行。</t>
  </si>
  <si>
    <t>第四种 告警是误报或者信息不够</t>
  </si>
  <si>
    <t>一条告警选择“误报”；另一条保留为资料不足或位置已过期。分别查看通知和反制情况。</t>
  </si>
  <si>
    <t>正常表现：误报不会继续发短信、打电话或反制；资料不足时明确说明缺什么，不把“不知道”当成“合法”“已经飞走”或者“可以反制”。原始记录和处理历史保留。</t>
  </si>
  <si>
    <t>第五种 风险已经通知但还没有解除</t>
  </si>
  <si>
    <t>选一条计划或空域风险，核验后通知上级。对方收到或签收之后，保持风险仍存在；随后再提供能够证明风险解除的有效依据。</t>
  </si>
  <si>
    <t>正常表现：收到通知时，风险仍然显示存在；有解除依据后才按规定退出当前风险列表。之前的通知记录仍能查到。</t>
  </si>
  <si>
    <t>第六种 操作后突然断网</t>
  </si>
  <si>
    <t>请开发人员在测试环境配合，模拟“系统可能已经收到操作，但页面没收到回复”。分别检查核实、通知、反制申请等操作，再恢复网络查看结果。</t>
  </si>
  <si>
    <t>正常表现：页面说明结果还不能确定，先查原操作是否已经办成。不能因为没看到回复就重复发短信、重复申请或重复下发设备命令。</t>
  </si>
  <si>
    <t>六 这几种情况最容易误判</t>
  </si>
  <si>
    <t>页面上看到的情况</t>
  </si>
  <si>
    <t>正确理解</t>
  </si>
  <si>
    <t>点了发送，出现提交成功</t>
  </si>
  <si>
    <t>说明系统接到了这次操作，还要继续看实际发送和送达结果</t>
  </si>
  <si>
    <t>短信已送达、电话已播放</t>
  </si>
  <si>
    <t>说明通知到了，还要看无人机的新位置，才能判断有没有离开</t>
  </si>
  <si>
    <t>无人机不再上报位置</t>
  </si>
  <si>
    <t>可能失联或数据中断，不能直接认定飞走</t>
  </si>
  <si>
    <t>显示待反制</t>
  </si>
  <si>
    <t>仍要检查权限、有效位置、违规依据和设备条件</t>
  </si>
  <si>
    <t>反制审批通过或直接授权成功</t>
  </si>
  <si>
    <t>获得了相应授权，不代表设备已经执行</t>
  </si>
  <si>
    <t>急停请求已提交</t>
  </si>
  <si>
    <t>还要看设备回复和实际停机核查</t>
  </si>
  <si>
    <t>上级已收到、处罚部门已签收</t>
  </si>
  <si>
    <t>说明交接到了相应阶段，不代表风险解除或处罚办结</t>
  </si>
  <si>
    <t>文件完整性检查通过</t>
  </si>
  <si>
    <t>文件内容没有出现相应的完整性问题，不代表内容所描述的事实一定真实</t>
  </si>
  <si>
    <t>页面显示0</t>
  </si>
  <si>
    <t>只有确实为零时才正确；没有读到数据应写未知或失败</t>
  </si>
  <si>
    <t>七 发现问题怎么记录</t>
  </si>
  <si>
    <t>每个实际测试情况单独记一条。比如短信可用、短信不可用是两种情况，应分别记录。</t>
  </si>
  <si>
    <t>记录什么</t>
  </si>
  <si>
    <t>怎么写</t>
  </si>
  <si>
    <t>测试日期和测试人</t>
  </si>
  <si>
    <t>谁在什么时候测的</t>
  </si>
  <si>
    <t>测的是哪一项</t>
  </si>
  <si>
    <t>例如“短信送达后无人机停止上报位置”</t>
  </si>
  <si>
    <t>用了什么账号和数据</t>
  </si>
  <si>
    <t>账号权限、这次模拟编号、无人机或告警编号；不要写密码</t>
  </si>
  <si>
    <t>怎么操作的</t>
  </si>
  <si>
    <t>按1、2、3写出别人能重复的步骤</t>
  </si>
  <si>
    <t>应该看到什么</t>
  </si>
  <si>
    <t>按本文件对应要求写</t>
  </si>
  <si>
    <t>实际看到了什么</t>
  </si>
  <si>
    <t>如实写页面状态和实际结果，不只写“不正常”</t>
  </si>
  <si>
    <t>结果</t>
  </si>
  <si>
    <t>通过、有问题、暂时测不了、还没测；确定不在范围内的另写理由</t>
  </si>
  <si>
    <t>证据</t>
  </si>
  <si>
    <t>截图、短视频、操作时间；必要时由开发补充处理和设备记录</t>
  </si>
  <si>
    <t>修好后再测</t>
  </si>
  <si>
    <t>哪个版本修的，再测结果如何，有没有影响其他步骤</t>
  </si>
  <si>
    <t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t>
  </si>
  <si>
    <t>记录“暂时测不了”时，写清楚差什么：没有合适账号、设备没接入、模拟通知没开、时长还没确认等。这些都不能当成通过。</t>
  </si>
  <si>
    <t>八 测到什么程度可以说通过</t>
  </si>
  <si>
    <t>必须先满足以下要求：</t>
  </si>
  <si>
    <t>1. 登录、主要页面和日常处理流程能正常使用。</t>
  </si>
  <si>
    <t>2. 普通申请审批、直接反制、执行、急停等本轮需要交付的关键流程，都有完整结果，不能有还没测或测不了的关键环节。</t>
  </si>
  <si>
    <t>3. 无越权查看、下载或操作；无错误反制、重复下发、急停假成功；无跨事件串数据。</t>
  </si>
  <si>
    <t>4. 通知、位置、授权、执行、移送、处罚分别显示真实状态，没有把未知显示成成功。</t>
  </si>
  <si>
    <t>5. 当前数据和历史材料正确，列表、地图、详情、统计和导出能对得上。</t>
  </si>
  <si>
    <t>6. 常用屏幕和浏览器里能看清、能操作；修复过的问题重新测过。</t>
  </si>
  <si>
    <t>7. 剩余问题逐条列出。影响主流程、权限、反制或历史事实的问题必须先处理；轻微问题由业务负责人明确接受后再安排修复。</t>
  </si>
  <si>
    <t>测试报告要分别写“通过多少、有问题多少、暂时测不了多少、还没测多少”。不要只写一句“基本正常”。真实设备或真实通知如果在交付范围内，要补真实验证，不能用模拟测试替代。</t>
  </si>
  <si>
    <t>结束时停止本轮模拟、核对测试设备已停止、恢复临时调整的网络和测试配置。保存测试记录，不为清理页面而删除原有业务历史或已固定的材料。</t>
  </si>
  <si>
    <t>后台设备运维测试准备</t>
  </si>
  <si>
    <t>新增后台范围</t>
  </si>
  <si>
    <t>设备管理、设备实时监测、设备接入调测；关联的接入通道管理、维护待办与站内消息。</t>
  </si>
  <si>
    <t>本轮不扩展到地图、报表或所有系统管理模块。</t>
  </si>
  <si>
    <t>后台入口</t>
  </si>
  <si>
    <t>http://127.0.0.1:5175/operations/devices
http://127.0.0.1:5175/operations/monitor
http://127.0.0.1:5175/operations/commission</t>
  </si>
  <si>
    <t>登录后进入；没权限不要求强行打开。</t>
  </si>
  <si>
    <t>仍需前台和模拟器</t>
  </si>
  <si>
    <t>前台 http://localhost:5173/#/login?redirect=/legality
模拟器 http://127.0.0.1:8766/</t>
  </si>
  <si>
    <t>F33须由前台原事项报修，不能在后台随便找一条历史待办冒充。</t>
  </si>
  <si>
    <t>账号准备</t>
  </si>
  <si>
    <t>准备设备只读、设备操作、监测操作、调测操作、连接只读/操作、范围受限账号，以及两名可并发处理人员。</t>
  </si>
  <si>
    <t>monitoring.read与monitoring.op负责维护动作；进入页面还需当前菜单与读取权限。</t>
  </si>
  <si>
    <t>测试设备准备</t>
  </si>
  <si>
    <t>准备TCP雷达、MQTT主动上报、光电、四通道测试设备与天气传感器档案；每类注明协议、来源及模拟标记。</t>
  </si>
  <si>
    <t>没有某类能力就暂时测不了；不拿另一协议的通过结果代替。</t>
  </si>
  <si>
    <t>通道准备</t>
  </si>
  <si>
    <t>准备唯一、多个、无可用接入通道三种范围；准备通知未发送、未知、失败和送达的模拟回执。</t>
  </si>
  <si>
    <t>devices.op不自动获得interfaces.op。连接成功不等于设备在线。</t>
  </si>
  <si>
    <t>删除专用数据</t>
  </si>
  <si>
    <t>另建可弃测试设备，预先留下可追溯历史。先验证忙碌拒绝，再验证停用空闲后的逻辑删除。</t>
  </si>
  <si>
    <t>仅用于计划执行时的专用测试数据；本次编制没有删除设备。</t>
  </si>
  <si>
    <t>来源与配置记录</t>
  </si>
  <si>
    <t>每轮保存前后端版本、实际配置、账号角色、设备ID、协议、来源模式、模拟批次与时间。</t>
  </si>
  <si>
    <t>代码默认值不是运行值；记录实际设备超时设置。</t>
  </si>
  <si>
    <t>维护流程顺序</t>
  </si>
  <si>
    <t>待处理 → 处理中 → 待恢复核验 → 完成。核验FAIL/UNKNOWN可恢复处理，再提交新一轮核验。</t>
  </si>
  <si>
    <t>核验PASS本身不自动完成；完成动作还会重新检查当前事实。</t>
  </si>
  <si>
    <t>恢复必须有依据</t>
  </si>
  <si>
    <t>设备启用；状态和心跳来自报修后且非未来、300秒内；在线GOOD且明确无告警；没有未恢复异常或执行中工作。</t>
  </si>
  <si>
    <t>模拟与真实来源必须一致；不直接改数据库填成功。</t>
  </si>
  <si>
    <t>两个300秒别混淆</t>
  </si>
  <si>
    <t>一是状态与心跳的新鲜度；二是既有恢复PASS距离完成不超过300秒。分别测试。</t>
  </si>
  <si>
    <t>完成时仍会重新检查，不凭旧PASS办结。</t>
  </si>
  <si>
    <t>异常事件与维护任务分开</t>
  </si>
  <si>
    <t>先通过既有异常恢复核验确认未恢复事件，再做维护任务恢复核验和完成。</t>
  </si>
  <si>
    <t>维护工作流本身不关闭异常，也不调用设备重启或自动开始调测。</t>
  </si>
  <si>
    <t>协议边界</t>
  </si>
  <si>
    <t>主动上报协议按task_supported检查诊断能力；不支持重启就不能假装重启。四通道调测只读查询，不代表射频验收。</t>
  </si>
  <si>
    <t>光电默认心跳3秒、MQTT工参默认30秒；以实际配置核对，不混用。</t>
  </si>
  <si>
    <t>完整流程对应</t>
  </si>
  <si>
    <t>F31接入到前台；F32掉线恢复；F33前台报修到完成；F34核验失败重做；F35并发断网；F36退役历史保留。</t>
  </si>
  <si>
    <t>每条10步，同一设备/任务/批次贯穿，截图和日志可互相对应。</t>
  </si>
  <si>
    <t>完成标准</t>
  </si>
  <si>
    <t>64项运维清单加6条新增流程纳入总览；所有必测项有证据、关键缺陷关闭，才可提交联合验收。</t>
  </si>
  <si>
    <t>通知送达、标已读、填写进展、调测通过都不单独代表设备恢复。</t>
  </si>
  <si>
    <t>当前逻辑依据</t>
  </si>
  <si>
    <t>后台docs/设备运维接口契约.md；docs/device-maintenance-workflow.md；设备管理、实时监测、接入调测页面及DeviceMaintenanceWorkflowService。</t>
  </si>
  <si>
    <t>核对时间2026-09-27；真实运行配置和硬件联调结果本次未验证。</t>
  </si>
  <si>
    <t>测试问题记录</t>
  </si>
  <si>
    <t>本轮只记录，不修改。BUG为已复现问题；OBS为待核实观察；BLOCK为执行条件不足，不混算产品缺陷。</t>
  </si>
  <si>
    <t>检查项编号</t>
  </si>
  <si>
    <t>问题简述</t>
  </si>
  <si>
    <t>怎么操作会出现</t>
  </si>
  <si>
    <t>本来应该怎样</t>
  </si>
  <si>
    <t>实际出现什么</t>
  </si>
  <si>
    <t>严重程度</t>
  </si>
  <si>
    <t>负责人</t>
  </si>
  <si>
    <t>处理进度</t>
  </si>
  <si>
    <t>修复版本和复测情况</t>
  </si>
  <si>
    <t>BUG-001</t>
  </si>
  <si>
    <t>后台登录页（新增观察项）</t>
  </si>
  <si>
    <t>后台多个页面的标签标题出现 undefined</t>
  </si>
  <si>
    <t>打开后台登录页；登录后进入设备接入调测，再查看设备管理。</t>
  </si>
  <si>
    <t>各标签标题应显示正确页面名称及平台名称。</t>
  </si>
  <si>
    <t>登录页标题为“登录 - undefined”；登录后调测页仍为“设备接入调测 - undefined”。</t>
  </si>
  <si>
    <t>轻微体验</t>
  </si>
  <si>
    <t>待分配</t>
  </si>
  <si>
    <t>复测通过</t>
  </si>
  <si>
    <t>第五轮浏览器实测登录、设备管理、接入调测及实时监测标签标题正常，无undefined。证据：第五、六轮证据：admin-login-title.png；commission-eo.png；未修改产品代码。</t>
  </si>
  <si>
    <t>OBS-001</t>
  </si>
  <si>
    <t>SIM-01（部分观察）</t>
  </si>
  <si>
    <t>模拟器地图缺少3个纹理的控制台告警</t>
  </si>
  <si>
    <t>打开8766信号地图，等待地图加载，读取浏览器控制台。</t>
  </si>
  <si>
    <t>地图所用纹理应能加载，无缺图告警。</t>
  </si>
  <si>
    <t>出现theme-tex-farm、theme-tex-forest、theme-tex-urban could not be loaded。地图加载提示随后消失；尚未判定业务影响。</t>
  </si>
  <si>
    <t>一般问题</t>
  </si>
  <si>
    <t>暂缓并说明</t>
  </si>
  <si>
    <t>第五轮仍有三类缺纹理告警，地图可显示。前台也出现同类警告；尚未确认业务影响。证据：第五、六轮证据：sim-console.json；sim-map.png</t>
  </si>
  <si>
    <t>BLOCK-001</t>
  </si>
  <si>
    <t>AUTH-01、AUTH-02部分、OPS-01部分、F01/F31起步</t>
  </si>
  <si>
    <t>缺少有效测试登录及角色账号</t>
  </si>
  <si>
    <t>按用户提供的三个地址打开系统，检查当前登录状态。</t>
  </si>
  <si>
    <t>使用指定测试账号进入前台、后台及模拟器，再准备隔离批次。</t>
  </si>
  <si>
    <t>三个入口均未登录；截至本轮记录未取得有效账号。空值及虚构账号拒绝已局部检查。</t>
  </si>
  <si>
    <t>影响主要操作</t>
  </si>
  <si>
    <t>测试准备负责人</t>
  </si>
  <si>
    <t>2026-09-27第二轮已解除：用户提供账号，前台进入合法性页、后台进入设备接入调测。密码不记录在文档中。后续受BLOCK-002影响。</t>
  </si>
  <si>
    <t>BLOCK-002</t>
  </si>
  <si>
    <t>AUTH-01刷新、F01/F31准备、模拟器登录、全部依赖数据库业务</t>
  </si>
  <si>
    <t>测试中途数据库连接中断</t>
  </si>
  <si>
    <t>约18:05登录前台和后台成功；刷新前台，登录模拟器，再读取设备页。核查后端日志和监听端口。</t>
  </si>
  <si>
    <t>数据库持续可用，已登录会话可读取业务资料，模拟器能完成登录。</t>
  </si>
  <si>
    <t>前台提示后端响应超时；模拟器提示无法连接API；后台读取失败。8081仍监听，25432无监听；日志Connection refused、连接池约30秒超时。</t>
  </si>
  <si>
    <t>运行环境负责人</t>
  </si>
  <si>
    <t>第三轮已恢复原Docker引擎与deploy-db-1、deploy-mosquitto-1。数据库pg_isready通过，health=UP，认证及设备接口200，MQTT新批次成功接收。未清库、未新建替代库。</t>
  </si>
  <si>
    <t>BLOCK-003</t>
  </si>
  <si>
    <t>前后台页面验收及完整流程</t>
  </si>
  <si>
    <t>Codex浏览器站点权限仍拒绝访问</t>
  </si>
  <si>
    <t>前台reload被已保存的localhost:5173禁止设置拦截；后台127.0.0.1:5175访问也被拒绝。</t>
  </si>
  <si>
    <t>用户允许后，浏览器能正常访问测试页面。</t>
  </si>
  <si>
    <t>用户已文字允许继续，但工具仍报告保存的拒绝设置。独立接口测试可执行，页面交互无法执行。</t>
  </si>
  <si>
    <t>浏览器权限设置</t>
  </si>
  <si>
    <t>第五轮已实际访问5173、5175、8766并完成页面交互，浏览器权限阻塞解除。证据：第五、六轮证据：front-session-recovered.png；weather-onboard.png；inbox-checks.json</t>
  </si>
  <si>
    <t>107及108–114</t>
  </si>
  <si>
    <t>证据台账接口缺失导致页面不可用</t>
  </si>
  <si>
    <t>打开前台证据管理，点击重新读取</t>
  </si>
  <si>
    <t>证据台账与统计可读取</t>
  </si>
  <si>
    <t>/api/v1/evidence-ledger无后端映射；页面及统计资源不存在</t>
  </si>
  <si>
    <t>重要功能不可用</t>
  </si>
  <si>
    <t>前后台契约负责人</t>
  </si>
  <si>
    <t>已修复并复测</t>
  </si>
  <si>
    <t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t>
  </si>
  <si>
    <t>OBS-002</t>
  </si>
  <si>
    <t>模拟器地图</t>
  </si>
  <si>
    <t>恢复场景名称显示undefined</t>
  </si>
  <si>
    <t>恢复模拟器，查看场景名称输入框</t>
  </si>
  <si>
    <t>缺名称应显示空值或合理默认</t>
  </si>
  <si>
    <t>场景名称为字面量undefined；运行时长3分钟也未匹配下拉选项</t>
  </si>
  <si>
    <t>一般体验</t>
  </si>
  <si>
    <t>模拟器负责人</t>
  </si>
  <si>
    <t>待核实</t>
  </si>
  <si>
    <t>第五、六轮证据：sim-map.txt；sim-map.png；规范化场景恢复路径，尚未扩大为所有新建场景问题。</t>
  </si>
  <si>
    <t>OBS-003</t>
  </si>
  <si>
    <t>后台服务恢复</t>
  </si>
  <si>
    <t>服务不可用提示端口与当前后端不一致</t>
  </si>
  <si>
    <t>后端停止时打开后台设备页</t>
  </si>
  <si>
    <t>提示当前部署的后端地址</t>
  </si>
  <si>
    <t>提示默认8080，本轮实际local服务8081</t>
  </si>
  <si>
    <t>管理端负责人</t>
  </si>
  <si>
    <t>第五、六轮证据：admin-service-unavailable.txt；reachability.json</t>
  </si>
  <si>
    <t>TEST-001</t>
  </si>
  <si>
    <t>前台契约自动测试</t>
  </si>
  <si>
    <t>3项现有测试脚本失败</t>
  </si>
  <si>
    <t>运行6个现有前台契约测试文件</t>
  </si>
  <si>
    <t>测试适配当前源码及Windows换行</t>
  </si>
  <si>
    <t>notificationConnectivity旧函数断言；statsApi和targetVideo脚本未兼容CRLF导致import残留</t>
  </si>
  <si>
    <t>测试自动化阻塞</t>
  </si>
  <si>
    <t>前台测试负责人</t>
  </si>
  <si>
    <t>待处理</t>
  </si>
  <si>
    <t>第五、六轮证据：front-contract-tests.log；共8项5通过3失败。未修改脚本，不能当作业务功能通过。</t>
  </si>
  <si>
    <t>权限、范围、并发</t>
  </si>
  <si>
    <t>专用权限测试账号未齐</t>
  </si>
  <si>
    <t>核对前后台与模拟器登录</t>
  </si>
  <si>
    <t>提供只读/范围受限/第二操作员等身份</t>
  </si>
  <si>
    <t>用户已明确确认尚无只读、范围受限及第二操作员测试账号；管理员会话有效。</t>
  </si>
  <si>
    <t>阻塞权限验收</t>
  </si>
  <si>
    <t>部分解除</t>
  </si>
  <si>
    <t>只读及第二操作员已准备，本轮多个写入403与并发冲突已实测；范围受限配置已从当前产品撤回，不再以缺账号笼统阻塞全部权限测试。</t>
  </si>
  <si>
    <t>自动组合及F01–F30相关步骤</t>
  </si>
  <si>
    <t>自动引擎和有效业务测试样本未齐</t>
  </si>
  <si>
    <t>查看规则运行提示及业务列表</t>
  </si>
  <si>
    <t>具备合法测试授权、引擎、研判/告警及模拟通知输入</t>
  </si>
  <si>
    <t>引擎明确未启用，当前研判/告警/交接为空；未开启真实反制或发送真实通知</t>
  </si>
  <si>
    <t>阻塞自动链验收</t>
  </si>
  <si>
    <t>测试环境与业务负责人</t>
  </si>
  <si>
    <t>当前融合/研判/告警及鸟类风险链已实测恢复。剩余是外部通知配置、处罚接收方、设备回执与完整自动授权条件；详见第八轮报告。</t>
  </si>
  <si>
    <t>F31/F32/F33与运维协议分支</t>
  </si>
  <si>
    <t>缺独立健康GOOD及TCP测试设备回执</t>
  </si>
  <si>
    <t>检查现有主动上报模拟设备能力</t>
  </si>
  <si>
    <t>能产生可信健康字段与所需协议回执</t>
  </si>
  <si>
    <t>MQTT心跳恢复只给UNKNOWN；没有补造GOOD或调测通过</t>
  </si>
  <si>
    <t>阻塞完整设备闭环</t>
  </si>
  <si>
    <t>设备联调负责人</t>
  </si>
  <si>
    <t>第五、六轮证据：device-lifecycle-r5.jsonl；commission-eo.txt；maintenance-final-ui.txt</t>
  </si>
  <si>
    <t>22/138/142</t>
  </si>
  <si>
    <t>目标读取失败被后续刷新覆盖为零目标及更新成功</t>
  </si>
  <si>
    <t>浏览器阻断/api/v1/targets后进入或刷新融合感知</t>
  </si>
  <si>
    <t>持续明确目标读取失败，不把未知显示为0</t>
  </si>
  <si>
    <t>两次稳定显示今日目标0和数据已更新；解除阻断后4目标</t>
  </si>
  <si>
    <t>重要状态误导</t>
  </si>
  <si>
    <t>前台负责人</t>
  </si>
  <si>
    <t>第八轮再次通过普通页读取阻断复现旧值仍提示更新成功；解除拦截后恢复。r8-soak-target-read-failed.txt；r8-soak-samples.json。原BUG-003仍未修复。</t>
  </si>
  <si>
    <t>TEST-002</t>
  </si>
  <si>
    <t>93/急停测试</t>
  </si>
  <si>
    <t>尚未执行撤销测试与发起人权限守卫冲突</t>
  </si>
  <si>
    <t>扩展套件及单独复跑EmergencyStopApiTest指定方法</t>
  </si>
  <si>
    <t>测试预期200，当前实现仅发起人可撤销</t>
  </si>
  <si>
    <t>均409 NOT_REQUESTER；测试使用operator而非requester</t>
  </si>
  <si>
    <t>测试与现行规则待对齐</t>
  </si>
  <si>
    <t>后端与测试负责人</t>
  </si>
  <si>
    <t>原H2急停冲突在PostgreSQL的同一继承方法也返回409。第六轮证据：r6-stage-failures.json；r6-stage-postgres.log；不因此放宽仅发起人可撤销的规则。</t>
  </si>
  <si>
    <t>TEST-003</t>
  </si>
  <si>
    <t>89/直接续链测试</t>
  </si>
  <si>
    <t>续链执行事件在组合套件中不稳定缺失</t>
  </si>
  <si>
    <t>扩展套件运行DirectDisposalBackgroundTest</t>
  </si>
  <si>
    <t>ACCEPTED分支应记录EXECUTE</t>
  </si>
  <si>
    <t>组合套件缺EXECUTE；单独复跑ACCEPTED/REJECTED均通过</t>
  </si>
  <si>
    <t>自动测试不稳定</t>
  </si>
  <si>
    <t>后端测试负责人</t>
  </si>
  <si>
    <t>第五、六轮证据：server-expanded-tests.log；server-two-failures-recheck.log；保留首轮失败，尚未确认并发/夹具原因。</t>
  </si>
  <si>
    <t>BUG-004</t>
  </si>
  <si>
    <t>OPS-14</t>
  </si>
  <si>
    <t>MQTT设备编辑保存500</t>
  </si>
  <si>
    <t>编辑独立模拟雷达，仅修改厂家</t>
  </si>
  <si>
    <t>可编辑字段保存成功，身份字段不可改</t>
  </si>
  <si>
    <t>PostgreSQL could not determine data type of parameter $6；原档案未覆盖</t>
  </si>
  <si>
    <t>后端设备负责人</t>
  </si>
  <si>
    <t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t>
  </si>
  <si>
    <t>122/125</t>
  </si>
  <si>
    <t>小窗口空域操作按钮被裁切</t>
  </si>
  <si>
    <t>CSS视口1000×750打开空域管理</t>
  </si>
  <si>
    <t>刷新、地图定位按钮完整可操作</t>
  </si>
  <si>
    <t>按钮right&gt;1013而视口1000，容器overflow:hidden；宽屏恢复</t>
  </si>
  <si>
    <t>一般功能体验</t>
  </si>
  <si>
    <t>第六轮证据：r6-small-airspace-layout.json；r6-small-airspace-confirmed.png；r6-airspace-wide-layout.json</t>
  </si>
  <si>
    <t>12/24/32</t>
  </si>
  <si>
    <t>空筛选后计划详情与URL身份不一致</t>
  </si>
  <si>
    <t>选择8e31945d→已取消空列表→全部状态</t>
  </si>
  <si>
    <t>详情和URL指向同一计划，刷新不换对象</t>
  </si>
  <si>
    <t>详情29f39fa7但URL8e31945d；刷新又回8e31945d</t>
  </si>
  <si>
    <t>业务上下文错误</t>
  </si>
  <si>
    <t>第六轮证据：r6-plan-filter-context-before.json；r6-plan-filter-context-after.json；FlightsPage.vue loadPlans回退选择未同步route。</t>
  </si>
  <si>
    <t>BUG-007</t>
  </si>
  <si>
    <t>OPS-64</t>
  </si>
  <si>
    <t>运维审计动作缺名称且详情丢对象展示</t>
  </si>
  <si>
    <t>打开本轮维护提交、核验和继续处理审计</t>
  </si>
  <si>
    <t>能分辨具体动作并对应任务或设备</t>
  </si>
  <si>
    <t>动作未配置名称；详情未展示数据库已有的对象类型与ID</t>
  </si>
  <si>
    <t>审计可追溯性不足</t>
  </si>
  <si>
    <t>第六轮证据：r6-audit-list.txt；r6-audit-maintenance-detail.txt；r6-audit-verification-detail.txt；r6-audit-maintenance-db.csv；AuditView.vue未呈现object_type/object_id。</t>
  </si>
  <si>
    <t>TEST-004</t>
  </si>
  <si>
    <t>生产隔离自动测试</t>
  </si>
  <si>
    <t>混合production/local配置测试出现admin1</t>
  </si>
  <si>
    <t>运行ProductionDevSeedIsolationTest并单独复跑</t>
  </si>
  <si>
    <t>production+local时不产生开发账号</t>
  </si>
  <si>
    <t>测试预期admin1为0实为1；六个开发Seeder不在上下文，InitialAdminBootstrap需核对</t>
  </si>
  <si>
    <t>隔离契约失败</t>
  </si>
  <si>
    <t>后端负责人</t>
  </si>
  <si>
    <t>第六轮证据：r6-additional-failures.json；r6-additional-failures-retest.log；只在隔离H2测试中复现，不代表已测试生产部署。</t>
  </si>
  <si>
    <t>TEST-005</t>
  </si>
  <si>
    <t>语音模拟隔离测试</t>
  </si>
  <si>
    <t>local/test适配器接受live模拟判定</t>
  </si>
  <si>
    <t>运行AutoVoiceRecordingTest失败方法并复跑</t>
  </si>
  <si>
    <t>simulationAvailable(live)为false</t>
  </si>
  <si>
    <t>返回true；production分支并未证明失效，不扩大为生产实际拨号</t>
  </si>
  <si>
    <t>来源隔离契约失败</t>
  </si>
  <si>
    <t>第六轮证据：r6-additional-failures.json；r6-additional-failures-retest.log</t>
  </si>
  <si>
    <t>TEST-006</t>
  </si>
  <si>
    <t>审计标签测试</t>
  </si>
  <si>
    <t>7种审计动作缺中文标签</t>
  </si>
  <si>
    <t>运行AuditLabelsCoverageTest并复跑</t>
  </si>
  <si>
    <t>全部写入动作具备中文名称</t>
  </si>
  <si>
    <t>缺airspace_upstream_received、接口配置保存/本地绑定/输入/回执、天气新建/修改</t>
  </si>
  <si>
    <t>审计展示契约失败</t>
  </si>
  <si>
    <t>前后台负责人</t>
  </si>
  <si>
    <t>第六轮证据：r6-additional-failures.json；r6-additional-failures-retest.log；与BUG-007维护动作前端缺名分别记录。</t>
  </si>
  <si>
    <t>TEST-007</t>
  </si>
  <si>
    <t>空域PostgreSQL测试</t>
  </si>
  <si>
    <t>4项旧空域写入测试返回405</t>
  </si>
  <si>
    <t>默认配置执行Stage9PostgresTest</t>
  </si>
  <si>
    <t>测试预期创建201或并发201/409</t>
  </si>
  <si>
    <t>均受legacy-write-enabled关闭影响；完整类22项复跑仍4项405失败。单方法复跑另遇缺初始化单位外键错误，单列保留</t>
  </si>
  <si>
    <t>旧测试契约未对齐</t>
  </si>
  <si>
    <t>空域测试负责人</t>
  </si>
  <si>
    <t>第六轮证据：r6-stage-failures.json；r6-stage-postgres.log；r6-stage-failures-retest.log；r6-stage9-ordered-retest.log；飞行及合法外部空域输入另有24项通过批次。</t>
  </si>
  <si>
    <t>TEST-008</t>
  </si>
  <si>
    <t>研判PostgreSQL测试</t>
  </si>
  <si>
    <t>2项待复核统计断言少旧记录</t>
  </si>
  <si>
    <t>执行Stage7PostgresTest两项needsReview/attention用例</t>
  </si>
  <si>
    <t>旧断言将基础历史研判算待复核</t>
  </si>
  <si>
    <t>实际只收decision_assurance_code=INSUFFICIENT；基础夹具未写此字段，旧记录不等同依据不足</t>
  </si>
  <si>
    <t>夹具与当前规则待对齐</t>
  </si>
  <si>
    <t>研判测试负责人</t>
  </si>
  <si>
    <t>第六轮证据：r6-stage-failures.json；r6-stage-postgres.log；未据此断言应放宽人工复核条件。</t>
  </si>
  <si>
    <t>TEST-009</t>
  </si>
  <si>
    <t>自动规则PostgreSQL测试</t>
  </si>
  <si>
    <t>未知依据提示的文字断言过时</t>
  </si>
  <si>
    <t>执行AutomationRuntimePostgresTest指定方法</t>
  </si>
  <si>
    <t>测试期望含“缺少当前判定依据”</t>
  </si>
  <si>
    <t>实际UNKNOWN且提示“当前条件缺少可用判定依据”，失败点为字符串匹配</t>
  </si>
  <si>
    <t>测试断言维护</t>
  </si>
  <si>
    <t>自动规则测试负责人</t>
  </si>
  <si>
    <t>第六轮证据：r6-automation-failures.json；r6-automation-postgres.log</t>
  </si>
  <si>
    <t>BUG-008</t>
  </si>
  <si>
    <t>43</t>
  </si>
  <si>
    <t>研判详情轨迹链接导致Vue渲染异常</t>
  </si>
  <si>
    <t>打开有轨迹引用的研判详情</t>
  </si>
  <si>
    <t>轨迹证据链接可显示且保持目标上下文</t>
  </si>
  <si>
    <t>模板中new URLSearchParams被编译为_ctx调用并报错</t>
  </si>
  <si>
    <t>主要页面可用性</t>
  </si>
  <si>
    <t>前台</t>
  </si>
  <si>
    <t>改为setup函数trackEvidenceHref；构建通过，5173重启HTTP200，页面恢复。r8-legality-render-error.json；r8-legality-fixed.png</t>
  </si>
  <si>
    <t>38</t>
  </si>
  <si>
    <t>告警核实后对应研判仍显示待复核</t>
  </si>
  <si>
    <t>核实事件44817f65后查询同一evaluation</t>
  </si>
  <si>
    <t>关联核实事实应一致展示</t>
  </si>
  <si>
    <t>本次回读仍待复核，未新增对应review历史</t>
  </si>
  <si>
    <t>跨页面状态一致性</t>
  </si>
  <si>
    <t>前后台</t>
  </si>
  <si>
    <t>r8-shared-review.json；需按同一研判版本复现，不把随后新研判混入</t>
  </si>
  <si>
    <t>107</t>
  </si>
  <si>
    <t>有效PDF页面预览空白</t>
  </si>
  <si>
    <t>打开本轮597字节PDF证据</t>
  </si>
  <si>
    <t>显示PDF内容或明确不支持原因</t>
  </si>
  <si>
    <t>HTTP200、原件哈希正确，PDF解析有效，但浏览器预览区空白</t>
  </si>
  <si>
    <t>一般功能</t>
  </si>
  <si>
    <t>前台/浏览器</t>
  </si>
  <si>
    <t>待定位</t>
  </si>
  <si>
    <t>r8-evidence-fixtures.json；PDF内容校验通过，不能认定文件损坏；视频已实际播放完成</t>
  </si>
  <si>
    <t>114/122</t>
  </si>
  <si>
    <t>长文件名证据表格内容被裁切</t>
  </si>
  <si>
    <t>打开本轮长文件名JPEG</t>
  </si>
  <si>
    <t>完整可读，不仅靠悬浮提示</t>
  </si>
  <si>
    <t>文字nowrap，单元格约1746px，局部表格需横向滚动且面板裁切</t>
  </si>
  <si>
    <t>r8-long-file.json；r8-long-file-ui.jpg</t>
  </si>
  <si>
    <t>116/118</t>
  </si>
  <si>
    <t>统计页缺测试计划要求的筛选入口</t>
  </si>
  <si>
    <t>进入运行统计尝试切换时间或单位</t>
  </si>
  <si>
    <t>按计划提供筛选及导出同范围</t>
  </si>
  <si>
    <t>页面仅固定日期文字；API有from/to但页面无控件</t>
  </si>
  <si>
    <t>计划与实现差异</t>
  </si>
  <si>
    <t>产品/前台</t>
  </si>
  <si>
    <t>待对齐</t>
  </si>
  <si>
    <t>r8-stats-api.json；StatsPage.vue；需确认需求后实现，不自行新增业务功能</t>
  </si>
  <si>
    <t>BUG-013</t>
  </si>
  <si>
    <t>OPS-19/F36</t>
  </si>
  <si>
    <t>退役设备身份重用返回500</t>
  </si>
  <si>
    <t>专用设备停用退役后重用原编号创建</t>
  </si>
  <si>
    <t>明确身份占用冲突且保留历史</t>
  </si>
  <si>
    <t>数据库device_no唯一键冲突返回INTERNAL_ERROR</t>
  </si>
  <si>
    <t>接口错误处理</t>
  </si>
  <si>
    <t>后端设备</t>
  </si>
  <si>
    <t>r8-device-lifecycle-api.json；未删除历史，原记录逻辑退役</t>
  </si>
  <si>
    <t>TEST-010</t>
  </si>
  <si>
    <t>光电MQTT</t>
  </si>
  <si>
    <t>CameraStatus写入UNKNOWN违反数据库约束</t>
  </si>
  <si>
    <t>固定版本完整回归及独立类复跑</t>
  </si>
  <si>
    <t>状态合法持久化且不伪造在线心跳</t>
  </si>
  <si>
    <t>EoEdgeMqttTest三项报ck_protocol_connection_state约束错误</t>
  </si>
  <si>
    <t>接口/存储契约</t>
  </si>
  <si>
    <t>新版本定向复测通过</t>
  </si>
  <si>
    <t>旧12:10副本3项约束错误保留；其他任务更新后另取12:43副本，4类43项全通过。r8-latest-device-summary.json；不等于新版本全量通过。</t>
  </si>
  <si>
    <t>TEST-011</t>
  </si>
  <si>
    <t>MQTT监测事件</t>
  </si>
  <si>
    <t>新监测事件计数断言不通过</t>
  </si>
  <si>
    <t>固定版本MqttIngressTest独立复跑</t>
  </si>
  <si>
    <t>预期1条对应监测事件</t>
  </si>
  <si>
    <t>实际0条；其余断言需逐项核对</t>
  </si>
  <si>
    <t>回归失败</t>
  </si>
  <si>
    <t>旧12:10副本监测事件断言失败保留；12:43新副本EoEdge/MqttIngress/DeviceEvents/DeviceMonitoring共43项通过。r8-latest-device-summary.json</t>
  </si>
  <si>
    <t>TEST-012</t>
  </si>
  <si>
    <t>目标摘要测试</t>
  </si>
  <si>
    <t>组合套件目标摘要两项失败，独立类通过</t>
  </si>
  <si>
    <t>完整回归后隔离复跑TargetSummariesApiTest</t>
  </si>
  <si>
    <t>套件与单类均稳定</t>
  </si>
  <si>
    <t>组合缺摘要/列表受其他种子影响；独立复跑通过</t>
  </si>
  <si>
    <t>测试隔离</t>
  </si>
  <si>
    <t>后端测试</t>
  </si>
  <si>
    <t>待稳定性修复</t>
  </si>
  <si>
    <t>保留首轮失败：r8-frozen-surefire-full；最终隔离结果：r8-frozen-surefire-isolated</t>
  </si>
  <si>
    <t>BLOCK-008</t>
  </si>
  <si>
    <t>页面剩余分支/129/130</t>
  </si>
  <si>
    <t>浏览器控制连接中断</t>
  </si>
  <si>
    <t>12:04导出时超时后重连，用户确认恢复后再次连接</t>
  </si>
  <si>
    <t>可继续控制原普通页和大屏标签</t>
  </si>
  <si>
    <t>仍返回User unavailable，原标签连续状态无法读取</t>
  </si>
  <si>
    <t>阻塞页面验收</t>
  </si>
  <si>
    <t>浏览器连接环境</t>
  </si>
  <si>
    <t>待恢复</t>
  </si>
  <si>
    <t>r8-browser-recovery.json；最后有效长稳采样69.3分钟；不等同历史站点拒绝BLOCK-003</t>
  </si>
  <si>
    <t>BUG-014</t>
  </si>
  <si>
    <t>R29</t>
  </si>
  <si>
    <t>未来观测推进目标最后出现时间及融合轨迹</t>
  </si>
  <si>
    <t>向专用replay识别中目标发重复、旧时刻及未来24小时观测</t>
  </si>
  <si>
    <t>异常时间应隔离，不能把未来点作为当前最新有效位置</t>
  </si>
  <si>
    <t>原轨迹重复未增点；未来观测另入RAW并进入FUSED，last_seen_at推进到次日</t>
  </si>
  <si>
    <t>目标时间可信性</t>
  </si>
  <si>
    <t>融合后端</t>
  </si>
  <si>
    <t>r8-time-order-input.json；r8-time-order-result.json；未验证控制资格，不能扩大为自动反制绕过</t>
  </si>
  <si>
    <t>自动与手动的8种组合</t>
  </si>
  <si>
    <t>8种组合均先保证规则引擎开启且健康，再按类别启停规则。停止整个引擎另测，不能当成切手动。</t>
  </si>
  <si>
    <t>组合</t>
  </si>
  <si>
    <t>核实告警</t>
  </si>
  <si>
    <t>发起反制</t>
  </si>
  <si>
    <t>通知处罚部门</t>
  </si>
  <si>
    <t>后台怎样设置</t>
  </si>
  <si>
    <t>前台应该怎样运行</t>
  </si>
  <si>
    <t>每轮要保存的记录</t>
  </si>
  <si>
    <t>M1</t>
  </si>
  <si>
    <t>手动</t>
  </si>
  <si>
    <t>引擎开启并健康。
核实类：无启用规则，保留人工处理。
反制类：无启用规则，保留人工处理。
通知处罚类：无启用规则，保留人工处理。</t>
  </si>
  <si>
    <t>人员核实；短信与电话按约定观察。人员按申请审批发起反制。分别核对反制、干扰续链及两次回执。干扰完成后查看冻结交接，由有权人员手动发送处罚通知。送达、签收和办理结果分开。</t>
  </si>
  <si>
    <t>配置截图、规则版本、生效范围和时间、运行健康、本轮账号与设备、模拟批次、目标及告警编号。</t>
  </si>
  <si>
    <t>M2</t>
  </si>
  <si>
    <t>自动</t>
  </si>
  <si>
    <t>引擎开启并健康。
核实类：无启用规则，保留人工处理。
反制类：无启用规则，保留人工处理。
通知处罚类：启用规则，全部条件满足。</t>
  </si>
  <si>
    <t>人员核实；短信与电话按约定观察。人员按申请审批发起反制。分别核对反制、干扰续链及两次回执。干扰完成后查看冻结交接，规则满足后自动发送处罚通知。送达、签收和办理结果分开。</t>
  </si>
  <si>
    <t>M3</t>
  </si>
  <si>
    <t>引擎开启并健康。
核实类：无启用规则，保留人工处理。
反制类：启用规则，全部条件满足。
通知处罚类：无启用规则，保留人工处理。
须记录允许系统自动执行的有效授权依据。</t>
  </si>
  <si>
    <t>人员核实；短信与电话按约定观察。授权口径确认后系统发起反制。分别核对反制、干扰续链及两次回执。干扰完成后查看冻结交接，由有权人员手动发送处罚通知。送达、签收和办理结果分开。</t>
  </si>
  <si>
    <t>M4</t>
  </si>
  <si>
    <t>引擎开启并健康。
核实类：无启用规则，保留人工处理。
反制类：启用规则，全部条件满足。
通知处罚类：启用规则，全部条件满足。
须记录允许系统自动执行的有效授权依据。</t>
  </si>
  <si>
    <t>人员核实；短信与电话按约定观察。授权口径确认后系统发起反制。分别核对反制、干扰续链及两次回执。干扰完成后查看冻结交接，规则满足后自动发送处罚通知。送达、签收和办理结果分开。</t>
  </si>
  <si>
    <t>M5</t>
  </si>
  <si>
    <t>引擎开启并健康。
核实类：启用规则，全部条件满足。
反制类：无启用规则，保留人工处理。
通知处罚类：无启用规则，保留人工处理。</t>
  </si>
  <si>
    <t>系统核实；短信与电话按约定观察。人员按申请审批发起反制。分别核对反制、干扰续链及两次回执。干扰完成后查看冻结交接，由有权人员手动发送处罚通知。送达、签收和办理结果分开。</t>
  </si>
  <si>
    <t>M6</t>
  </si>
  <si>
    <t>引擎开启并健康。
核实类：启用规则，全部条件满足。
反制类：无启用规则，保留人工处理。
通知处罚类：启用规则，全部条件满足。</t>
  </si>
  <si>
    <t>系统核实；短信与电话按约定观察。人员按申请审批发起反制。分别核对反制、干扰续链及两次回执。干扰完成后查看冻结交接，规则满足后自动发送处罚通知。送达、签收和办理结果分开。</t>
  </si>
  <si>
    <t>M7</t>
  </si>
  <si>
    <t>引擎开启并健康。
核实类：启用规则，全部条件满足。
反制类：启用规则，全部条件满足。
通知处罚类：无启用规则，保留人工处理。
须记录允许系统自动执行的有效授权依据。</t>
  </si>
  <si>
    <t>系统核实；短信与电话按约定观察。授权口径确认后系统发起反制。分别核对反制、干扰续链及两次回执。干扰完成后查看冻结交接，由有权人员手动发送处罚通知。送达、签收和办理结果分开。</t>
  </si>
  <si>
    <t>M8</t>
  </si>
  <si>
    <t>引擎开启并健康。
核实类：启用规则，全部条件满足。
反制类：启用规则，全部条件满足。
通知处罚类：启用规则，全部条件满足。
须记录允许系统自动执行的有效授权依据。</t>
  </si>
  <si>
    <t>系统核实；短信与电话按约定观察。授权口径确认后系统发起反制。分别核对反制、干扰续链及两次回执。干扰完成后查看冻结交接，规则满足后自动发送处罚通知。送达、签收和办理结果分开。</t>
  </si>
  <si>
    <t>执行提醒</t>
  </si>
  <si>
    <t>怎么理解自动</t>
  </si>
  <si>
    <t>本轮要真正启用的，是对应类别的自动执行；不仅是“保存了一条规则”。服务运行正常、规则范围和时段有效、条件满足，才能验证自动动作。</t>
  </si>
  <si>
    <t>怎么理解手动</t>
  </si>
  <si>
    <t>手动组合是在引擎开启时停用对应类别的自动规则。关闭整个引擎不保证处罚通知停止自动发送。仍要核对人工权限。</t>
  </si>
  <si>
    <t>当前后台入口</t>
  </si>
  <si>
    <t>系统管理 → 规则管理：核实规则、反制规则、通知处罚规则。当前页面通过规则启停及生效设置决定是否自动处理；不假设存在一个控制所有流程的总开关。</t>
  </si>
  <si>
    <t>条件不满足时</t>
  </si>
  <si>
    <t>自动规则没有通过，不应误执行。人工入口按原有权限与业务条件决定是否可用，不能因某条规则未通过就一律隐藏，也不能借人工绕过安全条件。</t>
  </si>
  <si>
    <t>直接反制另测</t>
  </si>
  <si>
    <t>人员直接反制要求显式权限；系统规则发起采用特殊系统身份。会议要求的人为授权依据须另行核对，不能只凭DIRECT字段认定授权已合格。</t>
  </si>
  <si>
    <t>三个开关互不替代</t>
  </si>
  <si>
    <t>关掉自动核实，不等于关掉核实后的飞手短信电话；关掉自动反制，不等于禁止人工反制；通知处罚不等于作出处罚决定。</t>
  </si>
  <si>
    <t>本轮先记录时长</t>
  </si>
  <si>
    <t>当前业务约定短信送达后观察10秒，电话播放完成后再10秒；现代码短信3秒，与约定冲突。未有新确认前保留10秒验收基准，详见R16–R19。</t>
  </si>
  <si>
    <t>切换什么时候生效</t>
  </si>
  <si>
    <t>切换时记录保存、生效、授权创建、命令排队及实际发送时刻。排队后切手动是否阻断不能假定已实现，按R44核查；切换不是急停。</t>
  </si>
  <si>
    <t>数据与通道</t>
  </si>
  <si>
    <t>每种组合使用新批次和独立事件。只用获准的测试资料入口、模拟通知和测试设备；不要在结果表中直接写入成功。</t>
  </si>
  <si>
    <t>验收要求</t>
  </si>
  <si>
    <t>8种组合仍需测；正向自动反制必须有明确授权口径。缺少授权依据、渠道或账号填暂时测不了；不能删除该组合，也不能直接标通过。</t>
  </si>
  <si>
    <t>整体流程验收</t>
  </si>
  <si>
    <t>共36条完整流程。F01至F30为前台与业务联动，F31至F36为设备接入、掉线恢复、报修处理、核验失败、并发重试和退役。</t>
  </si>
  <si>
    <t>“流程结果”自动读取流程步骤记录。任何一步失败、受阻或没有测完，都不能显示整条流程通过。</t>
  </si>
  <si>
    <t>流程编号</t>
  </si>
  <si>
    <t>本轮场景</t>
  </si>
  <si>
    <t>配置组合</t>
  </si>
  <si>
    <t>本轮重点怎么做</t>
  </si>
  <si>
    <t>走到哪里才算跑通</t>
  </si>
  <si>
    <t>数据批次及事件编号</t>
  </si>
  <si>
    <t>流程结果</t>
  </si>
  <si>
    <t>执行日期或轮次</t>
  </si>
  <si>
    <t>问题及证据索引</t>
  </si>
  <si>
    <t>F01</t>
  </si>
  <si>
    <t>手动 / 手动 / 手动</t>
  </si>
  <si>
    <t>按对应组合跑同一事件：输入、研判、核实、飞手通知、反制、干扰续链、处罚通知、证据和统计。自动授权口径确认后才验正向执行。</t>
  </si>
  <si>
    <t>分别取得反制与干扰两次回执，父子授权可追溯；通知、送达、签收和办理结果正确。无依据的自动授权不能算通过。</t>
  </si>
  <si>
    <t>第八轮：分支证据见J列；未完成整链</t>
  </si>
  <si>
    <t>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t>
  </si>
  <si>
    <t>F02</t>
  </si>
  <si>
    <t>手动 / 手动 / 自动</t>
  </si>
  <si>
    <t>F03</t>
  </si>
  <si>
    <t>手动 / 自动 / 手动</t>
  </si>
  <si>
    <t>F04</t>
  </si>
  <si>
    <t>手动 / 自动 / 自动</t>
  </si>
  <si>
    <t>F05</t>
  </si>
  <si>
    <t>自动 / 手动 / 手动</t>
  </si>
  <si>
    <t>F06</t>
  </si>
  <si>
    <t>自动 / 手动 / 自动</t>
  </si>
  <si>
    <t>F07</t>
  </si>
  <si>
    <t>自动 / 自动 / 手动</t>
  </si>
  <si>
    <t>F08</t>
  </si>
  <si>
    <t>自动 / 自动 / 自动</t>
  </si>
  <si>
    <t>F09</t>
  </si>
  <si>
    <t>正常飞行不误触发</t>
  </si>
  <si>
    <t>提供有效计划并持续沿计划飞行。</t>
  </si>
  <si>
    <t>合法依据明确，不产生无故通知、反制或处罚交接。</t>
  </si>
  <si>
    <t>F10</t>
  </si>
  <si>
    <t>手动核实为误报</t>
  </si>
  <si>
    <t>待核实事件由人员判误报。</t>
  </si>
  <si>
    <t>后续虽配置自动，仍不能发短信、反制或通知处罚；误报历史保留。</t>
  </si>
  <si>
    <t>第八轮部分验证，整项未完成：专用待核实告警由管理员在前台判误报，状态和历史正确；M4规则组合与后续自动化不误触发的整链未按独立批次完成。
证据：r8-chain-initial.json；r8-filter-confirmed.txt</t>
  </si>
  <si>
    <t>F11</t>
  </si>
  <si>
    <t>短信后飞离</t>
  </si>
  <si>
    <t>短信送达后，目标持续上报飞离区域的有效位置。</t>
  </si>
  <si>
    <t>通知升级及反制停止；保留告警确认和短信记录，不把移送规则当作处罚依据。</t>
  </si>
  <si>
    <t>F12</t>
  </si>
  <si>
    <t>电话后飞离</t>
  </si>
  <si>
    <t>短信后仍在域，电话播放完成后飞离并继续上报。</t>
  </si>
  <si>
    <t>第二段观察确认飞离，不继续反制；电话事实保留。</t>
  </si>
  <si>
    <t>F13</t>
  </si>
  <si>
    <t>通知后停止上报</t>
  </si>
  <si>
    <t>短信送达后停掉主辅目标位置，设备心跳保留。</t>
  </si>
  <si>
    <t>显示无法确认离开；不误打电话或误反制，不能拿旧位置继续执行。</t>
  </si>
  <si>
    <t>F14</t>
  </si>
  <si>
    <t>没有核验飞手或渠道不可用</t>
  </si>
  <si>
    <t>F14必须分别完成R40、R41、R42，三个子批次均留证。</t>
  </si>
  <si>
    <t>无飞手/无短信不假造通知；电话不可用仍先短信观察。符合其他条件时才进入后续反制。</t>
  </si>
  <si>
    <t>F15</t>
  </si>
  <si>
    <t>自动改手动</t>
  </si>
  <si>
    <t>M8→M1</t>
  </si>
  <si>
    <t>F15分别完成R43、R44、R45，不能只测一个时机。</t>
  </si>
  <si>
    <t>保存生效后未发送动作停止自动推进，有权人员可接手；已发动作继续核对实际结果。</t>
  </si>
  <si>
    <t>F16</t>
  </si>
  <si>
    <t>手动改自动</t>
  </si>
  <si>
    <t>M1→M8</t>
  </si>
  <si>
    <t>F16须分别记录核实、反制、通知三个切换子批次；全部完成后才汇总。</t>
  </si>
  <si>
    <t>生效后重新检查当前依据和条件，只执行尚未完成的动作；不会重办已完成步骤。</t>
  </si>
  <si>
    <t>F17</t>
  </si>
  <si>
    <t>自动与人员同时操作</t>
  </si>
  <si>
    <t>F17须分别记录核实、反制、通知三个并发子批次及动作数量。</t>
  </si>
  <si>
    <t>同一事件同一步只产生一次有效动作；冲突有提示，不重复发设备命令或通知。</t>
  </si>
  <si>
    <t>F18</t>
  </si>
  <si>
    <t>规则不满足后再满足</t>
  </si>
  <si>
    <t>F18须分别记录时间、范围、阈值、持续观测、数据不足五类条件及边界。</t>
  </si>
  <si>
    <t>先停在对应步骤并说明原因，不能自动通过；有效条件满足后只继续一次。</t>
  </si>
  <si>
    <t>F19</t>
  </si>
  <si>
    <t>服务暂停或断网后恢复</t>
  </si>
  <si>
    <t>分别模拟执行服务未启用/异常、页面断网、后台处理重启，然后恢复。</t>
  </si>
  <si>
    <t>未启用或异常如实显示；恢复后对账，不重复核实、通知、下发或移送。</t>
  </si>
  <si>
    <t>F20</t>
  </si>
  <si>
    <t>设备失败并急停核查</t>
  </si>
  <si>
    <t>分别模拟设备忙、命令失败、结果未知；另运行一批执行中急停。</t>
  </si>
  <si>
    <t>失败不能当成功，不虚构后续移送；急停需要回复与实际停机核查，切换模式不替代急停。</t>
  </si>
  <si>
    <t>F21</t>
  </si>
  <si>
    <t>排队后资格变化</t>
  </si>
  <si>
    <t>在排队及续链前，让授权/规则时段到期、观测过期，或取消可执行资格。</t>
  </si>
  <si>
    <t>真正发送前重新检查，不超范围或原授权窗口，不拿以前规则通过的结果继续下发。</t>
  </si>
  <si>
    <t>F22</t>
  </si>
  <si>
    <t>权限不足人员尝试接手</t>
  </si>
  <si>
    <t>系统自动条件暂未满足时，用只读和范围受限账号分别操作；再换有权账号。</t>
  </si>
  <si>
    <t>无权人员不能接手，自动模式不授予个人权限；换有权账号也须满足当前业务条件。</t>
  </si>
  <si>
    <t>F23</t>
  </si>
  <si>
    <t>人员直接反制完整链路</t>
  </si>
  <si>
    <t>换显式直接授权账号人工发起；另用未授直接权限的管理员尝试。</t>
  </si>
  <si>
    <t>有权者免逐次审批但保留真实操作人；无权者被阻止；设备结果、交接和证据仍完整。</t>
  </si>
  <si>
    <t>F24</t>
  </si>
  <si>
    <t>处罚通知失败及迟到回执</t>
  </si>
  <si>
    <t>设备执行完成后模拟移送发送失败、送达未知、签收超时，再补迟到/重复回复。</t>
  </si>
  <si>
    <t>失败与未知明确；先对账再决定补发；只更新同一交接，不重复移送、不把签收当处罚办结。</t>
  </si>
  <si>
    <t>F25</t>
  </si>
  <si>
    <t>计划天气风险与通知上级</t>
  </si>
  <si>
    <t>独立风险流程</t>
  </si>
  <si>
    <t>录入计划和覆盖其时段的天气，产生有效风险后核验并通知上级；先保持风险，再提供解除依据。</t>
  </si>
  <si>
    <t>天气、计划当前风险、核验、通知送达与签收、解除、历史及统计完整对应；签收不能提前解除风险。</t>
  </si>
  <si>
    <t>第八轮：未完成整项。已录入四种天气覆盖样本，但天气风险及上级有效回执链未准备齐全。
证据：第八轮报告；r8-current-preconditions.json；r8-frozen-final-summary.json</t>
  </si>
  <si>
    <t>F26</t>
  </si>
  <si>
    <t>计划未见目标与设备恢复</t>
  </si>
  <si>
    <t>设备异常联动</t>
  </si>
  <si>
    <t>计划到时未发现目标，测试设备异常检查及通知后台；后台处理后分别验证恢复成功和未恢复。</t>
  </si>
  <si>
    <t>前台计划检查、异常通知、后台处理事项和实际设备恢复能对应；已通知或已处理不能冒充恢复。</t>
  </si>
  <si>
    <t>第八轮：未完成整项。缺独立健康GOOD的恢复样本或所需TCP/光电协议测试回执；MQTT在线和UNKNOWN不能冒充健康恢复。
证据：第八轮报告；r8-current-preconditions.json；r8-frozen-final-summary.json</t>
  </si>
  <si>
    <t>F27</t>
  </si>
  <si>
    <t>鸟群风险独立闭环</t>
  </si>
  <si>
    <t>风险主线</t>
  </si>
  <si>
    <t>用同一鸟群从发现走到通知、反馈和风险解除；不进入无人机合法性或反制链。</t>
  </si>
  <si>
    <t>风险与通知事实可追溯；有解除依据才解除；旧记录保留。</t>
  </si>
  <si>
    <t>第八轮部分验证，整项未完成：同一鸟类批次已完成发现、风险生成、核验和通知交接，未进无人机研判；配置未启用阻断实际投递，反馈/解除闭环未完成。
证据：r8-bird-evaluation.json；r8-risk-verification.json；r8-risk-final.json</t>
  </si>
  <si>
    <t>F28</t>
  </si>
  <si>
    <t>三路融合及降级恢复</t>
  </si>
  <si>
    <t>三路输入</t>
  </si>
  <si>
    <t>融合箱、5G-A、TDOA观察同一目标，制造掉线和补传后回看全链路。</t>
  </si>
  <si>
    <t>统一ID及原始对应完整，降级可见，恢复不触发历史假动作。</t>
  </si>
  <si>
    <t>第八轮：未完成整项。已实测RADAR/TDOA双源及掉线样本，尚无融合箱/5G-A/TDOA三路完整同批来源及补传链。
证据：第八轮报告；r8-current-preconditions.json；r8-frozen-final-summary.json</t>
  </si>
  <si>
    <t>F29</t>
  </si>
  <si>
    <t>雷达光电与授权处置</t>
  </si>
  <si>
    <t>雷达发现、任务式光电跟踪、人工授权、两段设备动作、证据关联。</t>
  </si>
  <si>
    <t>跟踪与授权各有依据，两段回执可追溯，画面和证据不串目标。</t>
  </si>
  <si>
    <t>第八轮：未完成整项。缺可用反制/干扰测试设备受理及最终回执，自动授权依据仍待确认；既有隔离回归不能替代此现场完整流程。 缺光电跟踪和视频回执。
证据：第八轮报告；r8-current-preconditions.json；r8-frozen-final-summary.json</t>
  </si>
  <si>
    <t>F30</t>
  </si>
  <si>
    <t>未反制事件的人工交接</t>
  </si>
  <si>
    <t>手动交接</t>
  </si>
  <si>
    <t>已核实事件没有反制记录，也不满足自动干扰完成分支；验证人工交接的实际入口和结果。</t>
  </si>
  <si>
    <t>按当前权限和业务条件办理；前台缺入口要记录，不能用接口联验替代前台通过。</t>
  </si>
  <si>
    <t>第八轮部分验证，整项未完成：人工交接前提接口已到接收方校验，无反制不是拒绝原因；现无有效处罚接收方，创建返回409且未投递，不能把接口前置检查作为完整前台流程通过。
证据：r8-handoff-recipients.json；r8-api-evidence.jsonl</t>
  </si>
  <si>
    <t>F31</t>
  </si>
  <si>
    <t>设备接入到前台感知</t>
  </si>
  <si>
    <t>测试TCP设备</t>
  </si>
  <si>
    <t>登记测试雷达，完成调测并发送目标，核对前后台同源。</t>
  </si>
  <si>
    <t>台账、协议任务、原始样本、目标及状态可对应；调测不冒充现场验收。</t>
  </si>
  <si>
    <t>F32</t>
  </si>
  <si>
    <t>MQTT掉线与连接恢复</t>
  </si>
  <si>
    <t>MQTT主动上报</t>
  </si>
  <si>
    <t>有效工参上报、超时离线、事件去重、新心跳及恢复核验。</t>
  </si>
  <si>
    <t>连接恢复与整体健康、维护完成分开证明。</t>
  </si>
  <si>
    <t>F33</t>
  </si>
  <si>
    <t>前台报修到后台完成</t>
  </si>
  <si>
    <t>维护正向闭环</t>
  </si>
  <si>
    <t>前台发现设备异常，后台处理、核验、完成，再回前台确认。</t>
  </si>
  <si>
    <t>同一设备同一事项走通；恢复核验有事实，不以通知或填说明办结。</t>
  </si>
  <si>
    <t>F34</t>
  </si>
  <si>
    <t>核验失败后重新处理</t>
  </si>
  <si>
    <t>维护异常闭环</t>
  </si>
  <si>
    <t>制造未知、旧状态或再次异常，走失败、恢复处理、再次核验。</t>
  </si>
  <si>
    <t>不凭一次旧PASS办结；旧核验历史保留，恢复后新一轮完成。</t>
  </si>
  <si>
    <t>F35</t>
  </si>
  <si>
    <t>并发处理与断网重试</t>
  </si>
  <si>
    <t>权限与幂等</t>
  </si>
  <si>
    <t>两个运维人员抢同一任务，提交响应丢失后回查，再撤权验证。</t>
  </si>
  <si>
    <t>状态只推进一次，旧版本不覆盖，重放仍检查当前权限。</t>
  </si>
  <si>
    <t>第八轮部分验证，整项未完成：两账号抢同一QA维护任务：操作员200、管理员409，1条START，处理人唯一；只读维护写403且无变更。告警响应丢失后回查已另测通过，但不能代替同一维护任务的断网/撤权全流程。
证据：r8-maintenance-concurrency.json；r8-maintenance-readonly.json；r8-response-lost-history.json</t>
  </si>
  <si>
    <t>F36</t>
  </si>
  <si>
    <t>设备退役与历史保留</t>
  </si>
  <si>
    <t>专用可弃设备</t>
  </si>
  <si>
    <t>从忙碌删除拒绝，到停用空闲后逻辑删除，再查前后台与历史。</t>
  </si>
  <si>
    <t>当前列表清理、旧业务证据保留，设备身份不可重新占用。</t>
  </si>
  <si>
    <t>第八轮：启用设备删除拒绝、空闲停用后删除和详情隐藏已执行；身份复用被数据库挡住但返回500而非业务说明。执行中设备分支仅隔离回归支持，不能算完整闭环通过。
证据：r8-device-lifecycle-api.json</t>
  </si>
  <si>
    <t>完整流程逐步记录</t>
  </si>
  <si>
    <t>共360个步骤。每条流程使用同一可追溯批次；全部步骤通过且H至L记录齐全，才计为流程通过。</t>
  </si>
  <si>
    <t>每步填写实际结果、执行人、日期、证据位置及目标/事件编号；准备和收尾步骤可填批次编号。多子批次逐一列出，不用一个通过代替。</t>
  </si>
  <si>
    <t>步骤</t>
  </si>
  <si>
    <t>测试阶段</t>
  </si>
  <si>
    <t>场景</t>
  </si>
  <si>
    <t>怎么做</t>
  </si>
  <si>
    <t>这一步应该看到什么</t>
  </si>
  <si>
    <t>本步结果</t>
  </si>
  <si>
    <t>实际结果及子批次</t>
  </si>
  <si>
    <t>截图和证据位置</t>
  </si>
  <si>
    <t>目标或事件编号</t>
  </si>
  <si>
    <t>后台配置与测试准备</t>
  </si>
  <si>
    <t>引擎开启并健康，按本组合逐类启停规则；保存回读版本、范围、时段、通道及授权依据。缺授权口径时记录暂时测不了。</t>
  </si>
  <si>
    <t>实际运行设置与本轮相符；模拟通道可用。无。按组合从头执行。</t>
  </si>
  <si>
    <t>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t>
  </si>
  <si>
    <t>第八轮报告；r8-current-preconditions.json；r8-frozen-final-summary.json</t>
  </si>
  <si>
    <t>仅引用本轮分支证据，不虚构整链批次</t>
  </si>
  <si>
    <t>输入数据并识别目标</t>
  </si>
  <si>
    <t>启动新批次，通过获准入口输入计划和目标数据；记录唯一目标、计划和设备编号。</t>
  </si>
  <si>
    <t>能在融合感知查到同一目标，位置、时间和模拟标记正确；发送成功不代替平台已接收。</t>
  </si>
  <si>
    <t>研判和告警关联</t>
  </si>
  <si>
    <t>打开计划、合法性研判和告警，核对同一目标、计划、研判和事件关系。</t>
  </si>
  <si>
    <t>主链准备明确违规且证据充分的事件；各页同一事实。若本轮是合法或误报分支，按该分支正确阻止后续。</t>
  </si>
  <si>
    <t>用值班账号核实属实；提交前先观察系统是否等待人工。</t>
  </si>
  <si>
    <t>手动模式不自动核实；有权人员提交后记录真实操作人并进入后续阶段。</t>
  </si>
  <si>
    <t>飞手通知和位置观察</t>
  </si>
  <si>
    <t>检查短信发送/送达、观察开始/结束、电话接通/播放与新位置；按本轮条件操作目标。</t>
  </si>
  <si>
    <t>主链持续在域时按已确认时长推进到待反制；短信、电话、飞离各凭自己的真实依据。</t>
  </si>
  <si>
    <t>反制发起和授权</t>
  </si>
  <si>
    <t>等待人工接手，发起申请；换有权审批账号批准，再由执行账号操作测试设备。</t>
  </si>
  <si>
    <t>未人工办理不自动发起；审批、授权有效后才下发；人员权限与设备资格正确。</t>
  </si>
  <si>
    <t>反制与干扰两段结果</t>
  </si>
  <si>
    <t>核对反制父授权、命令和实际回执；完成后核对干扰子授权、父子关系、第二条命令及回执。</t>
  </si>
  <si>
    <t>续链仍需当前证据、有效授权、范围、设备及急停检查。两段分别记结果；干扰失败不把反制完成抹掉，也不能冒充干扰完成。</t>
  </si>
  <si>
    <t>移送送达签收与办理结果</t>
  </si>
  <si>
    <t>干扰完成后查冻结交接。自动通知组合等待规则通过后投递；手动组合在引擎开启且本类停用时由有权人员发送。分别查送达、签收和正式办理结果。</t>
  </si>
  <si>
    <t>通知方式符合配置。发送、送达、签收分开；有正式办理结果才展示，没有就明确尚无结果，不能强行显示处罚完成。</t>
  </si>
  <si>
    <t>证据统计与跨页一致</t>
  </si>
  <si>
    <t>在证据、统计、告警、计划和移送页按同一事件核对。记录所有关联编号和重要时间。</t>
  </si>
  <si>
    <t>原始与冻结材料完整；事件、授权、命令、通知、交接能互相对应；统计按真实事实计数，不把签收当结案。</t>
  </si>
  <si>
    <t>关闭页面与重登复查</t>
  </si>
  <si>
    <t>本轮适用的自动等待阶段关闭页面再打开；结束后刷新、退出重登。核对动作次数并停止模拟。</t>
  </si>
  <si>
    <t>自动办理不依赖页面打开；刷新重登不重复动作；最终结果稳定，历史保留，模拟任务已明确停止。</t>
  </si>
  <si>
    <t>进入待反制后不点发起，等待规则满足；检查当前证据和唯一可用测试设备。</t>
  </si>
  <si>
    <t>符合条件才由系统发起；记录系统身份和实际授权依据，不伪造人工审批。</t>
  </si>
  <si>
    <t>不点击核实，等待已启用规则满足。</t>
  </si>
  <si>
    <t>系统按规则核实一次；留有系统处理身份、时间和判定依据。</t>
  </si>
  <si>
    <t>按M8设置三类规则，并保存回读。记录有效时长、账号、范围、设备、通道和规则版本。</t>
  </si>
  <si>
    <t>实际运行设置与本轮相符；模拟通道可用。提供有效计划并持续沿计划飞行。</t>
  </si>
  <si>
    <t>明确合法依据与计划一致；没有无故告警。</t>
  </si>
  <si>
    <t>合法目标无须违规核实</t>
  </si>
  <si>
    <t>查看研判和告警列表，不人为捏造告警。</t>
  </si>
  <si>
    <t>无需要处理的违规告警；不强行要求人工确认可靠明确结论。</t>
  </si>
  <si>
    <t>确认没有误发通知</t>
  </si>
  <si>
    <t>核对该目标相关的通知任务与收件箱。</t>
  </si>
  <si>
    <t>没有因正常飞行误发短信或电话。</t>
  </si>
  <si>
    <t>反制正确阻断</t>
  </si>
  <si>
    <t>尝试查看/发起反制并检查后台是否产生了自动动作。</t>
  </si>
  <si>
    <t>合法依据明确，不产生无故通知、反制或处罚交接。 本步骤以正确阻断及无多余命令为通过。</t>
  </si>
  <si>
    <t>确认没有错误设备动作</t>
  </si>
  <si>
    <t>核对当前事件的指令记录和测试设备接收记录。</t>
  </si>
  <si>
    <t>本轮不应执行的动作确实没有发生；不能只因页面没显示就判为未下发。</t>
  </si>
  <si>
    <t>确认没有错误处罚交接</t>
  </si>
  <si>
    <t>核对本事件是否产生了不该有的处罚通知或交接；查看保留的历史。</t>
  </si>
  <si>
    <t>不因开了自动通知处罚就跳过实际依据；本轮无合法触发条件时不得错误移送。</t>
  </si>
  <si>
    <t>按M4设置三类规则，并保存回读。记录有效时长、账号、范围、设备、通道和规则版本。</t>
  </si>
  <si>
    <t>实际运行设置与本轮相符；模拟通道可用。待核实事件由人员判误报。</t>
  </si>
  <si>
    <t>第八轮：本流程本步尚未作为同一事件的完整链路验收。第八轮部分验证，整项未完成：专用待核实告警由管理员在前台判误报，状态和历史正确；M4规则组合与后续自动化不误触发的整链未按独立批次完成。</t>
  </si>
  <si>
    <t>r8-chain-initial.json；r8-filter-confirmed.txt</t>
  </si>
  <si>
    <t>人工判误报</t>
  </si>
  <si>
    <t>先确认处于待核实，值班人员选择误报并说明原因。</t>
  </si>
  <si>
    <t>误报事实和处理人保存；后续自动开关不能把该事件当属实。</t>
  </si>
  <si>
    <t>误报不进入通知链</t>
  </si>
  <si>
    <t>查看该事件短信与电话记录并等待调度检查。</t>
  </si>
  <si>
    <t>误报不发短信、电话，不进入待反制。</t>
  </si>
  <si>
    <t>后续虽配置自动，仍不能发短信、反制或通知处罚；误报历史保留。 本步骤以正确阻断及无多余命令为通过。</t>
  </si>
  <si>
    <t>实际运行设置与本轮相符；模拟通道可用。短信送达后，目标持续上报飞离区域的有效位置。</t>
  </si>
  <si>
    <t>检查短信发送/送达、观察开始/结束、电话接通/播放与新位置；按本轮条件操作目标。 短信送达后，目标持续上报飞离区域的有效位置。</t>
  </si>
  <si>
    <t>通知升级及反制停止；保留告警确认和短信记录，不把移送规则当作处罚依据。 本步骤以正确阻断及无多余命令为通过。</t>
  </si>
  <si>
    <t>飞离或失联本身不能触发设备处置或自动干扰完成交接。若事件已核实且符合人工交接条件，可以按当前业务权限移送；不能因为未反制就一律禁止交接。</t>
  </si>
  <si>
    <t>实际运行设置与本轮相符；模拟通道可用。短信后仍在域，电话播放完成后飞离并继续上报。</t>
  </si>
  <si>
    <t>检查短信发送/送达、观察开始/结束、电话接通/播放与新位置；按本轮条件操作目标。 短信后仍在域，电话播放完成后飞离并继续上报。</t>
  </si>
  <si>
    <t>第二段观察确认飞离，不继续反制；电话事实保留。 本步骤以正确阻断及无多余命令为通过。</t>
  </si>
  <si>
    <t>实际运行设置与本轮相符；模拟通道可用。短信送达后停掉主辅目标位置，设备心跳保留。</t>
  </si>
  <si>
    <t>检查短信发送/送达、观察开始/结束、电话接通/播放与新位置；按本轮条件操作目标。 短信送达后停掉主辅目标位置，设备心跳保留。</t>
  </si>
  <si>
    <t>显示无法确认离开；不误打电话或误反制，不能拿旧位置继续执行。 本步骤以正确阻断及无多余命令为通过。</t>
  </si>
  <si>
    <t>实际运行设置与本轮相符；模拟通道可用。分别测试无核验飞手、短信不可用、电话不可用三个子批次。</t>
  </si>
  <si>
    <t>检查短信发送/送达、观察开始/结束、电话接通/播放与新位置；按本轮条件操作目标。 分别测试无核验飞手、短信不可用、电话不可用三个子批次。</t>
  </si>
  <si>
    <t>无飞手/无短信不假造通知；电话不可用仍先短信观察。符合其他条件时才进入后续反制。 三个子批次分开记录。</t>
  </si>
  <si>
    <t>两段设备动作及分支结果</t>
  </si>
  <si>
    <t>核对同一授权的设备、命令、受理和实际回执；失败、超时及急停分支分别留证。 对有条件接续干扰的批次，分别记录反制父授权和干扰子授权、两条命令及回执。</t>
  </si>
  <si>
    <t>主链取得明确测试执行结果；提交不等于成功，未知不盲目重发，急停不等于已经停机。</t>
  </si>
  <si>
    <t>设备结果满足通知处罚条件后，不点击通知按钮，观察自动办理。 回读交接材料、送达、签收和办理结果。</t>
  </si>
  <si>
    <t>按M8→M1设置三类规则，并保存回读。记录有效时长、账号、范围、设备、通道和规则版本。</t>
  </si>
  <si>
    <t>实际运行设置与本轮相符；模拟通道可用。在核实前、反制排队未下发、通知处罚尚未发送三个节点，分别保存为手动。</t>
  </si>
  <si>
    <t>用值班账号核实属实；提交前先观察系统是否等待人工。 本节点另用独立子批次执行：在核实前、反制排队未下发、通知处罚尚未发送三个节点，分别保存为手动。</t>
  </si>
  <si>
    <t>手动模式不自动核实；有权人员提交后记录真实操作人并进入后续阶段。 保存生效后未发送动作停止自动推进，有权人员可接手；已发动作继续核对实际结果。</t>
  </si>
  <si>
    <t>等待人工接手，发起申请；换有权审批账号批准，再由执行账号操作测试设备。 本节点另用独立子批次执行：在核实前、反制排队未下发、通知处罚尚未发送三个节点，分别保存为手动。</t>
  </si>
  <si>
    <t>未人工办理不自动发起；审批、授权有效后才下发；人员权限与设备资格正确。 保存生效后未发送动作停止自动推进，有权人员可接手；已发动作继续核对实际结果。</t>
  </si>
  <si>
    <t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t>
  </si>
  <si>
    <t>通知方式符合配置。发送、送达、签收分开；有正式办理结果才展示，没有就明确尚无结果，不能强行显示处罚完成。 保存生效后未发送动作停止自动推进，有权人员可接手；已发动作继续核对实际结果。</t>
  </si>
  <si>
    <t>按M1→M8设置三类规则，并保存回读。记录有效时长、账号、范围、设备、通道和规则版本。</t>
  </si>
  <si>
    <t>实际运行设置与本轮相符；模拟通道可用。分别在待核实、待反制、可通知处罚但尚未发送时改为自动。</t>
  </si>
  <si>
    <t>不点击核实，等待已启用规则满足。 本节点另用独立子批次执行：分别在待核实、待反制、可通知处罚但尚未发送时改为自动。</t>
  </si>
  <si>
    <t>系统按规则核实一次；留有系统处理身份、时间和判定依据。 生效后重新检查当前依据和条件，只执行尚未完成的动作；不会重办已完成步骤。</t>
  </si>
  <si>
    <t>进入待反制后不点发起，等待规则满足；检查当前证据和唯一可用测试设备。 本节点另用独立子批次执行：分别在待核实、待反制、可通知处罚但尚未发送时改为自动。</t>
  </si>
  <si>
    <t>符合条件才由系统发起；记录系统身份和实际授权依据，不伪造人工审批。 生效后重新检查当前依据和条件，只执行尚未完成的动作；不会重办已完成步骤。</t>
  </si>
  <si>
    <t>设备结果满足通知处罚条件后，不点击通知按钮，观察自动办理。 回读交接材料、送达、签收和办理结果。 本节点另用独立子批次执行：分别在待核实、待反制、可通知处罚但尚未发送时改为自动。</t>
  </si>
  <si>
    <t>通知方式符合配置。发送、送达、签收分开；有正式办理结果才展示，没有就明确尚无结果，不能强行显示处罚完成。 生效后重新检查当前依据和条件，只执行尚未完成的动作；不会重办已完成步骤。</t>
  </si>
  <si>
    <t>实际运行设置与本轮相符；模拟通道可用。自动条件即将满足时，另一账号同时点击对应核实、反制或通知按钮。</t>
  </si>
  <si>
    <t>不点击核实，等待已启用规则满足。 本节点另用独立子批次执行：自动条件即将满足时，另一账号同时点击对应核实、反制或通知按钮。</t>
  </si>
  <si>
    <t>系统按规则核实一次；留有系统处理身份、时间和判定依据。 同一事件同一步只产生一次有效动作；冲突有提示，不重复发设备命令或通知。</t>
  </si>
  <si>
    <t>进入待反制后不点发起，等待规则满足；检查当前证据和唯一可用测试设备。 本节点另用独立子批次执行：自动条件即将满足时，另一账号同时点击对应核实、反制或通知按钮。</t>
  </si>
  <si>
    <t>符合条件才由系统发起；记录系统身份和实际授权依据，不伪造人工审批。 同一事件同一步只产生一次有效动作；冲突有提示，不重复发设备命令或通知。</t>
  </si>
  <si>
    <t>设备结果满足通知处罚条件后，不点击通知按钮，观察自动办理。 回读交接材料、送达、签收和办理结果。 本节点另用独立子批次执行：自动条件即将满足时，另一账号同时点击对应核实、反制或通知按钮。</t>
  </si>
  <si>
    <t>通知方式符合配置。发送、送达、签收分开；有正式办理结果才展示，没有就明确尚无结果，不能强行显示处罚完成。 同一事件同一步只产生一次有效动作；冲突有提示，不重复发设备命令或通知。</t>
  </si>
  <si>
    <t>按M8设置三类规则，并保存回读。记录有效时长、账号、范围、设备、通道和规则版本。 配好不满足/未知/时段外等子批次。</t>
  </si>
  <si>
    <t>实际运行设置与本轮相符；模拟通道可用。逐项测试一条不满足、未知、持续时间不足、范围外、时间窗外；再满足。</t>
  </si>
  <si>
    <t>不点击核实，等待已启用规则满足。 先观察条件不满足，再补足当前有效条件。</t>
  </si>
  <si>
    <t>系统按规则核实一次；留有系统处理身份、时间和判定依据。 先停在对应步骤并说明原因，不能自动通过；有效条件满足后只继续一次。</t>
  </si>
  <si>
    <t>进入待反制后不点发起，等待规则满足；检查当前证据和唯一可用测试设备。 先观察条件不满足，再补足当前有效条件。</t>
  </si>
  <si>
    <t>符合条件才由系统发起；记录系统身份和实际授权依据，不伪造人工审批。 先停在对应步骤并说明原因，不能自动通过；有效条件满足后只继续一次。</t>
  </si>
  <si>
    <t>设备结果满足通知处罚条件后，不点击通知按钮，观察自动办理。 回读交接材料、送达、签收和办理结果。 先观察条件不满足，再补足当前有效条件。</t>
  </si>
  <si>
    <t>通知方式符合配置。发送、送达、签收分开；有正式办理结果才展示，没有就明确尚无结果，不能强行显示处罚完成。 先停在对应步骤并说明原因，不能自动通过；有效条件满足后只继续一次。</t>
  </si>
  <si>
    <t>实际运行设置与本轮相符；模拟通道可用。分别模拟执行服务未启用/异常、页面断网、后台处理重启，然后恢复。</t>
  </si>
  <si>
    <t>不点击核实，等待已启用规则满足。 请开发在此等待阶段制造服务异常或断网并恢复。</t>
  </si>
  <si>
    <t>系统按规则核实一次；留有系统处理身份、时间和判定依据。 未启用或异常如实显示；恢复后对账，不重复核实、通知、下发或移送。</t>
  </si>
  <si>
    <t>检查短信发送/送达、观察开始/结束、电话接通/播放与新位置；按本轮条件操作目标。 请开发在此等待阶段制造服务异常或断网并恢复。</t>
  </si>
  <si>
    <t>主链持续在域时按已确认时长推进到待反制；短信、电话、飞离各凭自己的真实依据。 未启用或异常如实显示；恢复后对账，不重复核实、通知、下发或移送。</t>
  </si>
  <si>
    <t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t>
  </si>
  <si>
    <t>主链取得明确测试执行结果；提交不等于成功，未知不盲目重发，急停不等于已经停机。 未启用或异常如实显示；恢复后对账，不重复核实、通知、下发或移送。</t>
  </si>
  <si>
    <t>设备结果满足通知处罚条件后，不点击通知按钮，观察自动办理。 回读交接材料、送达、签收和办理结果。 请开发在此等待阶段制造服务异常或断网并恢复。</t>
  </si>
  <si>
    <t>通知方式符合配置。发送、送达、签收分开；有正式办理结果才展示，没有就明确尚无结果，不能强行显示处罚完成。 未启用或异常如实显示；恢复后对账，不重复核实、通知、下发或移送。</t>
  </si>
  <si>
    <t>实际运行设置与本轮相符；模拟通道可用。分别模拟设备忙、命令失败、结果未知；另运行一批执行中急停。</t>
  </si>
  <si>
    <t>分别模拟设备忙、命令失败、结果未知；另运行一批执行中急停。 对有条件接续干扰的批次，分别记录反制父授权和干扰子授权、两条命令及回执。</t>
  </si>
  <si>
    <t>设备失败、未知或停止不能伪装成已完成干扰并触发后续；每个子批次只按其实际结果办理。</t>
  </si>
  <si>
    <t>实际运行设置与本轮相符；模拟通道可用。在排队及续链前，让授权/规则时段到期、观测过期，或取消可执行资格。</t>
  </si>
  <si>
    <t>进入待反制后不点发起，等待规则满足；检查当前证据和唯一可用测试设备。 在排队及续链前，让授权/规则时段到期、观测过期，或取消可执行资格。</t>
  </si>
  <si>
    <t>未取得允许的设备实际结果，不应冒充完成进入自动处罚通知。</t>
  </si>
  <si>
    <t>实际运行设置与本轮相符；模拟通道可用。系统自动条件暂未满足时，用只读和范围受限账号分别操作；再换有权账号。</t>
  </si>
  <si>
    <t>不点击核实，等待已启用规则满足。 本环节另用无权、范围受限账号尝试，再用有权账号。</t>
  </si>
  <si>
    <t>系统按规则核实一次；留有系统处理身份、时间和判定依据。 无权人员不能接手，自动模式不授予个人权限；换有权账号也须满足当前业务条件。</t>
  </si>
  <si>
    <t>进入待反制后不点发起，等待规则满足；检查当前证据和唯一可用测试设备。 本环节另用无权、范围受限账号尝试，再用有权账号。</t>
  </si>
  <si>
    <t>符合条件才由系统发起；记录系统身份和实际授权依据，不伪造人工审批。 无权人员不能接手，自动模式不授予个人权限；换有权账号也须满足当前业务条件。</t>
  </si>
  <si>
    <t>设备结果满足通知处罚条件后，不点击通知按钮，观察自动办理。 回读交接材料、送达、签收和办理结果。 本环节另用无权、范围受限账号尝试，再用有权账号。</t>
  </si>
  <si>
    <t>通知方式符合配置。发送、送达、签收分开；有正式办理结果才展示，没有就明确尚无结果，不能强行显示处罚完成。 无权人员不能接手，自动模式不授予个人权限；换有权账号也须满足当前业务条件。</t>
  </si>
  <si>
    <t>按M1设置三类规则，并保存回读。记录有效时长、账号、范围、设备、通道和规则版本。</t>
  </si>
  <si>
    <t>实际运行设置与本轮相符；模拟通道可用。换显式直接授权账号人工发起；另用未授直接权限的管理员尝试。</t>
  </si>
  <si>
    <t>人工直接反制与对照账号</t>
  </si>
  <si>
    <t>被明确授予直接权限的人员手动发起；另一子批次用没有direct的管理员尝试。</t>
  </si>
  <si>
    <t>有权限且条件满足才免逐次审批；真实发起人保留；对照账号被拒绝且未下发。</t>
  </si>
  <si>
    <t>设备结果满足条件后，先确认系统等待人工，再由有权人员通知处罚部门。 回读交接材料、送达、签收和办理结果。</t>
  </si>
  <si>
    <t>实际运行设置与本轮相符；模拟通道可用。设备执行完成后模拟移送发送失败、送达未知、签收超时，再补迟到/重复回复。</t>
  </si>
  <si>
    <t>设备结果满足通知处罚条件后，不点击通知按钮，观察自动办理。 回读交接材料、送达、签收和办理结果。 设备执行完成后模拟移送发送失败、送达未知、签收超时，再补迟到/重复回复。</t>
  </si>
  <si>
    <t>准备计划和天气</t>
  </si>
  <si>
    <t>经获准入口录入计划、空域和覆盖飞行时段的有效测试预报。</t>
  </si>
  <si>
    <t>计划资料、预报来源和时段正确；与无人机告警到处罚的三类自动开关分开记录。</t>
  </si>
  <si>
    <t>第八轮：本流程本步尚未作为同一事件的完整链路验收。第八轮：未完成整项。已录入四种天气覆盖样本，但天气风险及上级有效回执链未准备齐全。</t>
  </si>
  <si>
    <t>风险进入计划</t>
  </si>
  <si>
    <t>运行已接入的风险判断，查看本计划当前风险及全部风险事件。</t>
  </si>
  <si>
    <t>同一计划出现对应风险；缺依据或未接入如实显示，不能人工把结果表改成成功。</t>
  </si>
  <si>
    <t>跨页面定位</t>
  </si>
  <si>
    <t>从计划进入风险详情，再到空域查看同一风险。</t>
  </si>
  <si>
    <t>计划、空域、风险编号及生效时间一致，不打开其他风险替代。</t>
  </si>
  <si>
    <t>核验风险</t>
  </si>
  <si>
    <t>在风险详情用有权账号核验属实；另测排除分支。</t>
  </si>
  <si>
    <t>记录真实核验结论；通知与回执页签不重复核验，排除分支没有误通知。</t>
  </si>
  <si>
    <t>通知上级</t>
  </si>
  <si>
    <t>按实际允许的入口通知上级，记录发送结果。</t>
  </si>
  <si>
    <t>接收对象为上级；不额外要求选职责单位，不因配置通知处罚而发错收件人。</t>
  </si>
  <si>
    <t>送达和签收</t>
  </si>
  <si>
    <t>查看已发送、送达未知、成功、失败及签收；各异常子批次分开记录。</t>
  </si>
  <si>
    <t>阶段清楚，未知先对账；重复或迟到回复不能串风险或重复通知。</t>
  </si>
  <si>
    <t>签收后风险仍在</t>
  </si>
  <si>
    <t>保持风险有效，刷新计划当前风险与地图。</t>
  </si>
  <si>
    <t>送达或签收不会自动解除风险；当前数量与列表一致。</t>
  </si>
  <si>
    <t>风险解除及待确认</t>
  </si>
  <si>
    <t>提供有效解除依据；另一子批次只停止更新而不提供依据。</t>
  </si>
  <si>
    <t>有依据才按规则解除；无法确认的单独标记，不因失联当解除。</t>
  </si>
  <si>
    <t>历史证据和统计</t>
  </si>
  <si>
    <t>核对风险历史、通知内容、接收方和同范围统计。</t>
  </si>
  <si>
    <t>旧记录保留且关联同一计划；历史通知快照不随配置变化重写。</t>
  </si>
  <si>
    <t>刷新重登检查</t>
  </si>
  <si>
    <t>重新登录，从计划与空域分别回查本风险并停止模拟。</t>
  </si>
  <si>
    <t>处理结果一致，无重复通知；受限账号看不到范围外数据。</t>
  </si>
  <si>
    <t>准备计划与测试设备</t>
  </si>
  <si>
    <t>准备已到计划起飞时间但未收到目标的计划；设备异常、正常、信息不足三个子批次。</t>
  </si>
  <si>
    <t>设备与计划范围匹配，独立编号可追溯；只用测试设备。</t>
  </si>
  <si>
    <t>第八轮：本流程本步尚未作为同一事件的完整链路验收。第八轮：未完成整项。缺独立健康GOOD的恢复样本或所需TCP/光电协议测试回执；MQTT在线和UNKNOWN不能冒充健康恢复。</t>
  </si>
  <si>
    <t>前台发现未见目标</t>
  </si>
  <si>
    <t>打开飞行计划检查结果和最近观测。</t>
  </si>
  <si>
    <t>未见目标不直接当作没有起飞；说明当前设备和观测依据。</t>
  </si>
  <si>
    <t>检查附近设备</t>
  </si>
  <si>
    <t>按已有规则读取设备检查；对照实际设备异常及最近上报。</t>
  </si>
  <si>
    <t>设备异常、设备正常、资料不足分开；缺依据不造出检查通过。</t>
  </si>
  <si>
    <t>发送设备异常通知</t>
  </si>
  <si>
    <t>对实际异常用有权账号通知，重复点击并记录操作结果。</t>
  </si>
  <si>
    <t>通知对应同一设备/计划；无权账号被拒；不重复创建处理事项。</t>
  </si>
  <si>
    <t>后台接到处理事项</t>
  </si>
  <si>
    <t>在管理后台找到前台产生的同一事项，核对设备、时间及异常原因。</t>
  </si>
  <si>
    <t>前后台同一件事；不是拿另一条历史待办替代。</t>
  </si>
  <si>
    <t>后台办理并记录结果</t>
  </si>
  <si>
    <t>按已有流程处理测试设备异常；分别模拟处理成功、失败及回复未知。</t>
  </si>
  <si>
    <t>操作提交、设备回复和后台办理状态分开；未知不标成功。</t>
  </si>
  <si>
    <t>验证实际恢复</t>
  </si>
  <si>
    <t>恢复设备上报和健康数据；另一子批次仅完成后台处理但不恢复设备。</t>
  </si>
  <si>
    <t>实际恢复需真实依据；工单处理完、收到命令、设备心跳恢复不能互相替代。</t>
  </si>
  <si>
    <t>前台回读检查结果</t>
  </si>
  <si>
    <t>回到原计划和融合感知查看设备状态、异常提示及检查依据。</t>
  </si>
  <si>
    <t>已验证恢复才更新对应异常；未恢复继续提示，计划和设备仍正确关联。</t>
  </si>
  <si>
    <t>计划与历史一致</t>
  </si>
  <si>
    <t>核对计划未见目标提示、处理历史及异常通知记录。</t>
  </si>
  <si>
    <t>设备恢复不等于无人机已起飞或计划获准；历史异常与通知不删除。</t>
  </si>
  <si>
    <t>重新登录回查同一计划和设备；结束模拟并核对停止。</t>
  </si>
  <si>
    <t>数据一致、不重复生成待办；权限范围依旧有效。</t>
  </si>
  <si>
    <t>准备鸟群和重点区域</t>
  </si>
  <si>
    <t>准备鸟群原始输入、重点区域、核验账号及模拟上级通道。</t>
  </si>
  <si>
    <t>记录来源、分类依据、范围、时段与批次；缺风险生成能力如实记暂时测不了。</t>
  </si>
  <si>
    <t>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t>
  </si>
  <si>
    <t>r8-bird-evaluation.json；r8-risk-verification.json；r8-risk-final.json</t>
  </si>
  <si>
    <t>发出鸟群数据</t>
  </si>
  <si>
    <t>经真实测试接入发原始样本，记录平台统一目标。</t>
  </si>
  <si>
    <t>可追到原始来源；不是直接写已生成风险结果。</t>
  </si>
  <si>
    <t>核对风险发现</t>
  </si>
  <si>
    <t>在空域或飞行计划全部风险中找到本次风险。</t>
  </si>
  <si>
    <t>同一鸟群、位置、时段和风险原因对应。</t>
  </si>
  <si>
    <t>核对业务分流</t>
  </si>
  <si>
    <t>查看合法性及无人机反制记录。</t>
  </si>
  <si>
    <t>鸟群不因没有飞行计划被判黑飞，不进无人机反制。</t>
  </si>
  <si>
    <t>人员核验风险</t>
  </si>
  <si>
    <t>有权账号在风险详情核验属实。</t>
  </si>
  <si>
    <t>核验依据与历史保存；只读通知页不重复核验。</t>
  </si>
  <si>
    <t>发送本风险通知并核对接收对象。</t>
  </si>
  <si>
    <t>提交、送达分开；接收人来自当前有效配置。</t>
  </si>
  <si>
    <t>签收但风险仍在</t>
  </si>
  <si>
    <t>返回签收回执，同时保持鸟群有效观测。</t>
  </si>
  <si>
    <t>风险仍显示存在，签收不能代替解除。</t>
  </si>
  <si>
    <t>处置反馈与解除</t>
  </si>
  <si>
    <t>按现有接口提供明确反馈及当前解除依据。</t>
  </si>
  <si>
    <t>区分处置回复与真实风险状态；依据不足保留待确认。</t>
  </si>
  <si>
    <t>历史证据与统计</t>
  </si>
  <si>
    <t>核对风险、通知、回执、证据及相关统计。</t>
  </si>
  <si>
    <t>同一组ID和事实；不把鸟群计入无人机违法数。</t>
  </si>
  <si>
    <t>重登复查与结束</t>
  </si>
  <si>
    <t>刷新重登，查历史并结束模拟。</t>
  </si>
  <si>
    <t>无重复风险通知，历史完整，模拟明确停止。</t>
  </si>
  <si>
    <t>冻结来源与数据真值</t>
  </si>
  <si>
    <t>登记三路协议版本、设备、目标真值和坐标时间。</t>
  </si>
  <si>
    <t>三路输入可独立追溯；模拟标签明确。</t>
  </si>
  <si>
    <t>第八轮：本流程本步尚未作为同一事件的完整链路验收。第八轮：未完成整项。已实测RADAR/TDOA双源及掉线样本，尚无融合箱/5G-A/TDOA三路完整同批来源及补传链。</t>
  </si>
  <si>
    <t>启动雷达所在融合箱</t>
  </si>
  <si>
    <t>先只发送融合箱雷达帧。</t>
  </si>
  <si>
    <t>有有效点和轨迹，不以TDOA缺失否定雷达存在。</t>
  </si>
  <si>
    <t>接入5G-A同目标</t>
  </si>
  <si>
    <t>发送相同时空的5G-A目标。</t>
  </si>
  <si>
    <t>按已确认融合规则关联，保留原始来源ID。</t>
  </si>
  <si>
    <t>接入TDOA同目标</t>
  </si>
  <si>
    <t>补入同目标TDOA及遥控器位置。</t>
  </si>
  <si>
    <t>统一目标稳定，遥控器单独关联不多算无人机。</t>
  </si>
  <si>
    <t>加入相邻目标</t>
  </si>
  <si>
    <t>加入第二架交叉飞行目标。</t>
  </si>
  <si>
    <t>两目标身份不交换、不错误合并。</t>
  </si>
  <si>
    <t>核对业务研判</t>
  </si>
  <si>
    <t>关联有效计划，核对合法性及告警。</t>
  </si>
  <si>
    <t>业务消费统一目标；证据不足明确未知。</t>
  </si>
  <si>
    <t>中断一路</t>
  </si>
  <si>
    <t>停止TDOA，其他两路持续。</t>
  </si>
  <si>
    <t>降级说明可见，目标不因一路掉线飞离。</t>
  </si>
  <si>
    <t>恢复并补传</t>
  </si>
  <si>
    <t>恢复当前数据，同时按协议补传旧数据。</t>
  </si>
  <si>
    <t>历史和实时区分，不因补传产生新的错误通知或反制。</t>
  </si>
  <si>
    <t>对照原始和融合轨迹</t>
  </si>
  <si>
    <t>查原始来源、轨迹、证据和统计。</t>
  </si>
  <si>
    <t>预测或弥合部分如实标记，不冒充实测点。</t>
  </si>
  <si>
    <t>记录指标并重登</t>
  </si>
  <si>
    <t>记录ID稳定、重复数、时延，重登核对并停模拟。</t>
  </si>
  <si>
    <t>只有功能观察值；算法精度未单独验收不能冒充正式精度。</t>
  </si>
  <si>
    <t>准备支持的测试能力</t>
  </si>
  <si>
    <t>读取光电与反制设备协议、账号、M1配置和授权范围。</t>
  </si>
  <si>
    <t>不要求协议尚不支持的点动或角度控制；只用测试设备。</t>
  </si>
  <si>
    <t>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t>
  </si>
  <si>
    <t>雷达发现违规目标</t>
  </si>
  <si>
    <t>输入持续有效的无人机观测与违规依据。</t>
  </si>
  <si>
    <t>目标与告警可对应，身份尚未明确时不强行反制。</t>
  </si>
  <si>
    <t>发起获准跟踪任务</t>
  </si>
  <si>
    <t>在已有业务入口选择目标和可用光电。</t>
  </si>
  <si>
    <t>任务绑定目标和位置；无权限不能发。</t>
  </si>
  <si>
    <t>核对光电执行回执</t>
  </si>
  <si>
    <t>查看受理、跟踪状态及视频可用状态。</t>
  </si>
  <si>
    <t>受理不等于跟踪成功，不拿旧画面凑成功。</t>
  </si>
  <si>
    <t>保存分类与画面证据</t>
  </si>
  <si>
    <t>核对光电类别、来源、截图与视频关联。</t>
  </si>
  <si>
    <t>归属同一目标；算法推断和设备原始结果分开。</t>
  </si>
  <si>
    <t>核实通知并申请审批</t>
  </si>
  <si>
    <t>核实后按通知计时推进，人员申请，另一账号审批。</t>
  </si>
  <si>
    <t>当前依据满足才可下发；光电画面本身不是授权。</t>
  </si>
  <si>
    <t>反制后接续干扰</t>
  </si>
  <si>
    <t>核对父授权反制结果，再核对干扰子授权与结果。</t>
  </si>
  <si>
    <t>续链检查当前资格与有效期，两个命令和结果分别记录。</t>
  </si>
  <si>
    <t>人工通知处罚部门</t>
  </si>
  <si>
    <t>干扰完成后查看已冻结交接，按M1由有权者通知。</t>
  </si>
  <si>
    <t>引擎开启但dispose停用时等待人工发送；不重建已有交接。</t>
  </si>
  <si>
    <t>证据与交接核对</t>
  </si>
  <si>
    <t>查看原始轨迹、光电证据、授权、回执及冻结材料。</t>
  </si>
  <si>
    <t>形成同一事件证据关系，缺文件或回执不能宣称完整。</t>
  </si>
  <si>
    <t>收尾与审计</t>
  </si>
  <si>
    <t>正常停止或确认结束，重登核对后台审计。</t>
  </si>
  <si>
    <t>操作人、设备、授权、指令、时刻、结果齐全。</t>
  </si>
  <si>
    <t>准备属实事件与接收方</t>
  </si>
  <si>
    <t>核实事件属实，确保没有反制或干扰记录，准备可用模拟处罚接收方。</t>
  </si>
  <si>
    <t>权限、范围、版本和接收方齐备。</t>
  </si>
  <si>
    <t>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t>
  </si>
  <si>
    <t>r8-handoff-recipients.json；r8-api-evidence.jsonl</t>
  </si>
  <si>
    <t>确认未走设备动作</t>
  </si>
  <si>
    <t>回查授权和设备命令清单。</t>
  </si>
  <si>
    <t>确实没有反制或干扰，不拿已有完成事件替代。</t>
  </si>
  <si>
    <t>检查前台交接入口</t>
  </si>
  <si>
    <t>从该事件查找现有允许的交接入口。</t>
  </si>
  <si>
    <t>能定位同事件；没有入口则记录缺口，本步填暂时测不了。</t>
  </si>
  <si>
    <t>提交或接口联验</t>
  </si>
  <si>
    <t>入口存在则由有权者提交；仅有接口时开发配合单独记录。</t>
  </si>
  <si>
    <t>服务端不因没有反制记录而拒绝；前台缺入口仍不能整条通过。</t>
  </si>
  <si>
    <t>核对冻结材料</t>
  </si>
  <si>
    <t>打开交接材料及事件版本。</t>
  </si>
  <si>
    <t>材料如实无设备完成记录，不伪造已反制或已干扰。</t>
  </si>
  <si>
    <t>核对发送事实</t>
  </si>
  <si>
    <t>按实际配置发模拟通知或处理待发送事项。</t>
  </si>
  <si>
    <t>按已有投递进度操作，不重复创建交接。</t>
  </si>
  <si>
    <t>核对送达签收</t>
  </si>
  <si>
    <t>模拟渠道返回对应送达和签收。</t>
  </si>
  <si>
    <t>同一交接关联回执；签收不是处罚决定。</t>
  </si>
  <si>
    <t>后续修改原事件</t>
  </si>
  <si>
    <t>在获准范围更新原事件资料，回看旧冻结材料。</t>
  </si>
  <si>
    <t>冻结材料不随当前资料悄悄改变。</t>
  </si>
  <si>
    <t>统计和证据复核</t>
  </si>
  <si>
    <t>在处罚、证据、统计页对照本事件。</t>
  </si>
  <si>
    <t>计数按真实事实，不能多算设备反制成功。</t>
  </si>
  <si>
    <t>重登并交付记录</t>
  </si>
  <si>
    <t>重登复查，留下入口缺口或完整证据。</t>
  </si>
  <si>
    <t>前台和接口验证结论分别清楚，未验证部分不填通过。</t>
  </si>
  <si>
    <t>准备设备与权限</t>
  </si>
  <si>
    <t>准备专用测试TCP设备、接入范围、协议版本与账号。</t>
  </si>
  <si>
    <t>登记来源和模拟标记，不混入现场设备。</t>
  </si>
  <si>
    <t>接入登记</t>
  </si>
  <si>
    <t>从统一入口选雷达及支持的TCP协议，保存配置。</t>
  </si>
  <si>
    <t>设备ID稳定；保存不等于在线。</t>
  </si>
  <si>
    <t>查看台账</t>
  </si>
  <si>
    <t>核对型号、单位区域、地址和允许启停状态。</t>
  </si>
  <si>
    <t>资料准确，敏感字段按权可见。</t>
  </si>
  <si>
    <t>创建调测</t>
  </si>
  <si>
    <t>创建任务并发起连接。</t>
  </si>
  <si>
    <t>取得任务ID，受理与连接成功分开。</t>
  </si>
  <si>
    <t>配置并开始</t>
  </si>
  <si>
    <t>连接成功后保存本次参数，再开始调测。</t>
  </si>
  <si>
    <t>状态顺序正确，任务保存配置快照。</t>
  </si>
  <si>
    <t>核对协议结果</t>
  </si>
  <si>
    <t>由模拟器返回真实测试协议响应、心跳和点迹。</t>
  </si>
  <si>
    <t>分项依据可查，不回退mock。</t>
  </si>
  <si>
    <t>核对调测报告</t>
  </si>
  <si>
    <t>查看结束状态及完整报告。</t>
  </si>
  <si>
    <t>通过、失败、不可判定如实记录，明确模拟边界。</t>
  </si>
  <si>
    <t>查看实时监测</t>
  </si>
  <si>
    <t>核对设备当前信息、来源时间和健康。</t>
  </si>
  <si>
    <t>与实际测试报文一致，不把厂家参数当实测。</t>
  </si>
  <si>
    <t>前台核对目标</t>
  </si>
  <si>
    <t>前台融合感知查本设备原始来源及统一目标。</t>
  </si>
  <si>
    <t>来源ID、坐标、时段一致，不拿别的目标代替。</t>
  </si>
  <si>
    <t>重登与收尾</t>
  </si>
  <si>
    <t>重登回查报告和目标，结束模拟并核对状态变化。</t>
  </si>
  <si>
    <t>原报告保留，停止上报后状态按协议更新。</t>
  </si>
  <si>
    <t>准备通道</t>
  </si>
  <si>
    <t>准备同范围启用的测试MQTT接入通道及设备。</t>
  </si>
  <si>
    <t>记录协议和实际超时阈值。</t>
  </si>
  <si>
    <t>同范围已启用replay通道，LINGYUN_MQTT_V8_6，离线阈值30秒。</t>
  </si>
  <si>
    <t>Codex（接口测试）</t>
  </si>
  <si>
    <t>2026-09-27</t>
  </si>
  <si>
    <t>第三轮 device-lifecycle.json、device-actions.json、incident-recovered.json</t>
  </si>
  <si>
    <t>sim-0927184141-d977 / 529a027a-41bd-48bd-b13b-e5b3562d6e9a</t>
  </si>
  <si>
    <t>接入并首报</t>
  </si>
  <si>
    <t>登记设备，发送有效工参和目标。</t>
  </si>
  <si>
    <t>设备有稳定内部ID；工参与目标时间分别记录。</t>
  </si>
  <si>
    <t>核对前后台在线</t>
  </si>
  <si>
    <t>查看后台状态和前台设备点。</t>
  </si>
  <si>
    <t>同设备同状态，订阅连接成功不替代工参。</t>
  </si>
  <si>
    <t>第五轮独立sim-0927195329-a584-1在前后台均可定位并显示在线，API同内部ID，未用MQTT订阅连接代替有效工参。</t>
  </si>
  <si>
    <t>第五、六轮证据：monitor-online.txt；front-reloaded-devices.txt；device-lifecycle-r5.jsonl</t>
  </si>
  <si>
    <t>sim-0927195329-a584 / 873c6db9-694f-4e7b-bc9c-2c22ed3582b7</t>
  </si>
  <si>
    <t>停止有效工参</t>
  </si>
  <si>
    <t>停设备上报，记录最后心跳时刻。</t>
  </si>
  <si>
    <t>按配置等待超时，不用暂停页面模拟设备离线。</t>
  </si>
  <si>
    <t>运行第35秒停止工参，上次有效心跳可查；第69秒已经OFFLINE。</t>
  </si>
  <si>
    <t>查看异常生成</t>
  </si>
  <si>
    <t>跨多个调度周期查离线事件。</t>
  </si>
  <si>
    <t>同类未恢复事件不重复；前台异常可见。</t>
  </si>
  <si>
    <t>检查不支持能力</t>
  </si>
  <si>
    <t>查看异常允许动作，尝试获准的恢复入口。</t>
  </si>
  <si>
    <t>不支持重启时说明原因，不造成功。</t>
  </si>
  <si>
    <t>重启返回409 REBOOT_NOT_SUPPORTED；离线恢复核验FAIL。</t>
  </si>
  <si>
    <t>恢复新心跳</t>
  </si>
  <si>
    <t>恢复报修/事件发生后的有效心跳。</t>
  </si>
  <si>
    <t>只能证明当前连接；旧或未来心跳不算。</t>
  </si>
  <si>
    <t>第115秒恢复上报，第118秒接口ONLINE且心跳为事件之后。</t>
  </si>
  <si>
    <t>核验异常恢复</t>
  </si>
  <si>
    <t>使用既有设备异常恢复核验接口或入口。</t>
  </si>
  <si>
    <t>事件按条件恢复；接口不顺便完成维护待办。</t>
  </si>
  <si>
    <t>恢复核验PASS，事件RECOVERED；同键重试结果一致，未完成任何维护待办。</t>
  </si>
  <si>
    <t>核对整体健康</t>
  </si>
  <si>
    <t>检查健康仍未知与已GOOD的独立样本。</t>
  </si>
  <si>
    <t>心跳恢复不让健康未知自动变GOOD。</t>
  </si>
  <si>
    <t>前台及历史复查</t>
  </si>
  <si>
    <t>回前台、后台事件历史，结束模拟。</t>
  </si>
  <si>
    <t>当前异常按事实变化；历史事件和通知仍可查。</t>
  </si>
  <si>
    <t>准备计划与异常设备</t>
  </si>
  <si>
    <t>准备到起飞时间仍未见目标的计划和确有异常的关联设备。</t>
  </si>
  <si>
    <t>分清可能未起飞与设备异常，不误报。</t>
  </si>
  <si>
    <t>前台通知运维</t>
  </si>
  <si>
    <t>由有权账号发起设备异常通知并记源事项ID。</t>
  </si>
  <si>
    <t>后台生成对应待办；重复点击不重复建。</t>
  </si>
  <si>
    <t>后台接收待办</t>
  </si>
  <si>
    <t>查看消息、上报详情和通知投递历史。</t>
  </si>
  <si>
    <t>同一设备、原因、来源和接收对象；已读不算完成。</t>
  </si>
  <si>
    <t>开始处理</t>
  </si>
  <si>
    <t>进入接入调测中的维护工作流并开始处理。</t>
  </si>
  <si>
    <t>记录真实处理人，状态变处理中。</t>
  </si>
  <si>
    <t>接口START成功，真实账号超级管理员，PROCESSING版本2。并发另一次被409拒绝。</t>
  </si>
  <si>
    <t>第四轮 api-checks.json、maintenance-concurrency.json、maintenance-final.json</t>
  </si>
  <si>
    <t>sim-0927184141-d977 / 任务5dc91f6a-bb67-4b1a-955b-10b7e0544aae</t>
  </si>
  <si>
    <t>处理并记录进展</t>
  </si>
  <si>
    <t>保存实际处理说明，必要时关联同设备已有调测。</t>
  </si>
  <si>
    <t>关联不自动启动；处理说明不等于修好。</t>
  </si>
  <si>
    <t>恢复设备实际状态</t>
  </si>
  <si>
    <t>模拟修复，提供新鲜在线GOOD无告警状态，结束活动任务。</t>
  </si>
  <si>
    <t>状态及心跳均来自报修后，来源一致；无假写成功。</t>
  </si>
  <si>
    <t>核验设备异常</t>
  </si>
  <si>
    <t>对未恢复异常逐一走原恢复核验流程。</t>
  </si>
  <si>
    <t>事件确实恢复；维护接口不代替关闭事件。</t>
  </si>
  <si>
    <t>提交并核验恢复</t>
  </si>
  <si>
    <t>提交待核验，再执行恢复核验。</t>
  </si>
  <si>
    <t>PASS后仍待核验，结果含检查时间及原因。</t>
  </si>
  <si>
    <t>确认完成</t>
  </si>
  <si>
    <t>300秒有效窗口内填完成说明，系统重新核验。</t>
  </si>
  <si>
    <t>当前仍满足条件才COMPLETED，操作及审计保留。</t>
  </si>
  <si>
    <t>返回前台复核</t>
  </si>
  <si>
    <t>重登并查原计划、设备点、通知和后台历史。</t>
  </si>
  <si>
    <t>设备恢复事实同步；计划起飞与否仍按真实目标判断。</t>
  </si>
  <si>
    <t>准备处理中待办</t>
  </si>
  <si>
    <t>使用专用异常设备和处理中维护任务。</t>
  </si>
  <si>
    <t>记录同一设备、来源、报修时间及任务版本。</t>
  </si>
  <si>
    <t>本批维护任务已创建并处理，记录task_id、device_id、来源和报修时间。</t>
  </si>
  <si>
    <t>提供不完整恢复信息</t>
  </si>
  <si>
    <t>只恢复心跳，让健康保持未知。</t>
  </si>
  <si>
    <t>在线事实存在，但不能宣布设备整体健康。</t>
  </si>
  <si>
    <t>报修后向同一replay设备发送有效工参，状态ONLINE、health=UNKNOWN，未补造健康指标。</t>
  </si>
  <si>
    <t>提交待核验</t>
  </si>
  <si>
    <t>确保无活动任务，填写说明提交。</t>
  </si>
  <si>
    <t>状态待核验，未自动完成。</t>
  </si>
  <si>
    <t>接口SUBMIT_VERIFICATION进入PENDING_VERIFICATION版本4，没有自动完成。</t>
  </si>
  <si>
    <t>执行恢复核验</t>
  </si>
  <si>
    <t>对健康未知或旧状态进行核验。</t>
  </si>
  <si>
    <t>得到UNKNOWN/FAIL和具体原因，留在待核验。</t>
  </si>
  <si>
    <t>报修后无新鲜状态和心跳，VERIFY_RECOVERY结果UNKNOWN，仍待核验。</t>
  </si>
  <si>
    <t>尝试完成</t>
  </si>
  <si>
    <t>在未PASS时点击或接口尝试完成。</t>
  </si>
  <si>
    <t>拒绝办结，记录真实阻断。</t>
  </si>
  <si>
    <t>未PASS尝试COMPLETE，409 MAINTENANCE_RECOVERY_REQUIRED，未办结。</t>
  </si>
  <si>
    <t>恢复处理</t>
  </si>
  <si>
    <t>点击恢复处理并保存新进展。</t>
  </si>
  <si>
    <t>回到处理中，清当前摘要但保留旧事件。</t>
  </si>
  <si>
    <t>再次恢复并核验</t>
  </si>
  <si>
    <t>补齐全部恢复条件，重新提交核验获得PASS。</t>
  </si>
  <si>
    <t>新轮次有独立检查时刻及有效依据。</t>
  </si>
  <si>
    <t>制造再次异常</t>
  </si>
  <si>
    <t>PASS后、完成前让设备再次故障。</t>
  </si>
  <si>
    <t>完成时重查并拒绝，旧PASS不能覆盖新异常。</t>
  </si>
  <si>
    <t>重做有效核验</t>
  </si>
  <si>
    <t>修复后消除未恢复事件，重新核验并确认完成。</t>
  </si>
  <si>
    <t>只有当前符合且核验有效才完成。</t>
  </si>
  <si>
    <t>对照全历史</t>
  </si>
  <si>
    <t>检查各轮进展、核验失败、PASS与完成记录。</t>
  </si>
  <si>
    <t>顺序可追溯，前台不曾把失败阶段显示成已修好。</t>
  </si>
  <si>
    <t>准备两名人员</t>
  </si>
  <si>
    <t>甲乙账号均有同范围运维权限，打开同一待处理任务。</t>
  </si>
  <si>
    <t>页面版本相同且账号可区分。</t>
  </si>
  <si>
    <t>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t>
  </si>
  <si>
    <t>r8-maintenance-concurrency.json；r8-maintenance-readonly.json；r8-response-lost-history.json</t>
  </si>
  <si>
    <t>同时开始处理</t>
  </si>
  <si>
    <t>两人几乎同时提交开始。</t>
  </si>
  <si>
    <t>只有一次有效开始，处理人真实。</t>
  </si>
  <si>
    <t>冲突后刷新</t>
  </si>
  <si>
    <t>未成功者回查任务，不更换目标。</t>
  </si>
  <si>
    <t>看到最新阶段与版本，不覆盖他人操作。</t>
  </si>
  <si>
    <t>保存进展丢回复</t>
  </si>
  <si>
    <t>提交有效进展后模拟响应丢失。</t>
  </si>
  <si>
    <t>页面保留待确认状态及原提交编号。</t>
  </si>
  <si>
    <t>恢复并查询</t>
  </si>
  <si>
    <t>恢复网络，查询同任务当前事件。</t>
  </si>
  <si>
    <t>先查是否已办成，不直接再提交新动作。</t>
  </si>
  <si>
    <t>原请求重试</t>
  </si>
  <si>
    <t>开发协助使用同键同内容重放。</t>
  </si>
  <si>
    <t>不新增重复事件，返回当前权限下最新工作流。</t>
  </si>
  <si>
    <t>同键不同内容</t>
  </si>
  <si>
    <t>用相同提交编号提交另一内容。</t>
  </si>
  <si>
    <t>明确冲突，不执行第二个动作。</t>
  </si>
  <si>
    <t>处理中撤权</t>
  </si>
  <si>
    <t>管理员撤销甲权限，再尝试原请求重放和新操作。</t>
  </si>
  <si>
    <t>两者仍核对当前权限，不借幂等记录越权。</t>
  </si>
  <si>
    <t>检查消息已读</t>
  </si>
  <si>
    <t>甲乙分别标记已读并查看各自未读数。</t>
  </si>
  <si>
    <t>已读分用户，不改变任务状态和通知回执。</t>
  </si>
  <si>
    <t>核对审计与收尾</t>
  </si>
  <si>
    <t>核对开始、进展、拒绝、版本和任务历史。</t>
  </si>
  <si>
    <t>仅实际成功动作推进，失败与拒绝可追溯。</t>
  </si>
  <si>
    <t>准备退役测试档案</t>
  </si>
  <si>
    <t>选择专用可弃设备，预先留存任务、事件或证据。</t>
  </si>
  <si>
    <t>记录设备编号、身份及历史ID，不使用生产设备。</t>
  </si>
  <si>
    <t>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t>
  </si>
  <si>
    <t>r8-device-lifecycle-api.json</t>
  </si>
  <si>
    <t>启用状态尝试删除</t>
  </si>
  <si>
    <t>在仍启用时执行删除测试。</t>
  </si>
  <si>
    <t>要求先停用，台账不消失。</t>
  </si>
  <si>
    <t>忙碌状态尝试删除</t>
  </si>
  <si>
    <t>停用但保留测试未完成任务，再尝试删除。</t>
  </si>
  <si>
    <t>因活动工作拒绝，关联关系不损坏。</t>
  </si>
  <si>
    <t>完成收尾</t>
  </si>
  <si>
    <t>按允许流程结束或取消活动任务并确认设备停用。</t>
  </si>
  <si>
    <t>无遗留指令、调测或跟踪工作。</t>
  </si>
  <si>
    <t>填写原因删除</t>
  </si>
  <si>
    <t>携当前版本填写有效原因删除。</t>
  </si>
  <si>
    <t>逻辑删除并留审计，提交成功后重新读取。</t>
  </si>
  <si>
    <t>后台列表复查</t>
  </si>
  <si>
    <t>查台账、设备树、选项和统计。</t>
  </si>
  <si>
    <t>当前视图不再列出；删空末页回到有效页。</t>
  </si>
  <si>
    <t>前台地图复查</t>
  </si>
  <si>
    <t>在前台当前设备点和列表查同设备。</t>
  </si>
  <si>
    <t>不再显示为可用当前设备；不删除历史业务资料。</t>
  </si>
  <si>
    <t>历史记录复查</t>
  </si>
  <si>
    <t>按原任务、事件、命令、证据ID回看。</t>
  </si>
  <si>
    <t>历史仍可追溯，按历史权限读取。</t>
  </si>
  <si>
    <t>重复删除和身份复用</t>
  </si>
  <si>
    <t>再次删除，尝试新建同编号或同接入身份。</t>
  </si>
  <si>
    <t>不重复写删除事件，身份继续占用，不通过启用恢复。</t>
  </si>
  <si>
    <t>第八轮：同一专用设备已停用并逻辑退役；重用原device_no创建返回500 INTERNAL_ERROR，数据库唯一键仍阻断，但未给出明确业务冲突。</t>
  </si>
  <si>
    <t>9bcb8019-1b02-45d3-b579-2d889edb3152</t>
  </si>
  <si>
    <t>重登核对</t>
  </si>
  <si>
    <t>前后台重登复查状态、数量及审计。</t>
  </si>
  <si>
    <t>结果稳定，历史和当前视图区分清楚。</t>
  </si>
  <si>
    <t>现有测试计划审查结论</t>
  </si>
  <si>
    <t>2026年9月27日核对三份历史文档、现有计划与当前源码。12项问题中包含口径冲突和漏测，不等于已运行发现12个系统故障。</t>
  </si>
  <si>
    <t>黄色列填写负责人和确认结果。自动模式仍在本轮范围；授权口径、短信时长等未确定时，相关正向测试不能宣布通过。</t>
  </si>
  <si>
    <t>处理顺序</t>
  </si>
  <si>
    <t>问题性质</t>
  </si>
  <si>
    <t>说清楚是什么问题</t>
  </si>
  <si>
    <t>核对发现</t>
  </si>
  <si>
    <t>测试计划怎么改</t>
  </si>
  <si>
    <t>依据</t>
  </si>
  <si>
    <t>关联位置</t>
  </si>
  <si>
    <t>确认意见或变更编号</t>
  </si>
  <si>
    <t>Q01</t>
  </si>
  <si>
    <t>必须先定</t>
  </si>
  <si>
    <t>授权口径冲突</t>
  </si>
  <si>
    <t>自动反制是否有可追溯的人为授权</t>
  </si>
  <si>
    <t>旧计划把规则通过后的自动反制当作正向通过。会议要求人在授权环节，当前代码用系统身份创建直接授权；不能仅凭代码存在就认定已满足业务授权。</t>
  </si>
  <si>
    <t>保留自动模式测试，但把授权人、授权范围、期限及允许自动执行的依据列为开测条件。缺依据时验证阻断，不能签正向通过。</t>
  </si>
  <si>
    <t>会议第1、5、15节；V1.1 第11章；AlarmRuleCounter、DirectDisposalAccess</t>
  </si>
  <si>
    <t>自动手动组合；F03/F04/F07/F08；R01–R03</t>
  </si>
  <si>
    <t>Q02</t>
  </si>
  <si>
    <t>必须先改</t>
  </si>
  <si>
    <t>配置理解错误</t>
  </si>
  <si>
    <t>关闭规则引擎不等于切成手动</t>
  </si>
  <si>
    <t>当前处罚通知代码在引擎关闭时允许自动发送；前提是已完成干扰且满足交接条件。原表没有单独覆盖这条分支。</t>
  </si>
  <si>
    <t>8种组合均在引擎正常运行下，通过每类规则启停切换。另测引擎关闭后的实际行为，记录与预期的差异。</t>
  </si>
  <si>
    <t>HandoffSubmissionService.automaticPunishmentSend；RuleManagementView</t>
  </si>
  <si>
    <t>自动手动组合；R04–R07</t>
  </si>
  <si>
    <t>Q03</t>
  </si>
  <si>
    <t>主流程漏步骤</t>
  </si>
  <si>
    <t>反制完成后还会接续信号干扰</t>
  </si>
  <si>
    <t>原流程写成设备反制结果后直接移送。当前代码是反制完成后尝试接续干扰，干扰完成才触发自动交接。两次设备动作不能算成一次。</t>
  </si>
  <si>
    <t>分别记录反制授权和命令、干扰子授权和命令、两次回执及父子关系。续链前重新检查资格，急停和过期分支单测。</t>
  </si>
  <si>
    <t>会议第5、10节；DisposalReceiptSync、DisposalJammingChain</t>
  </si>
  <si>
    <t>F01–F08步骤7；R08–R11</t>
  </si>
  <si>
    <t>Q04</t>
  </si>
  <si>
    <t>流程条件混用</t>
  </si>
  <si>
    <t>人工处罚交接不必先完成反制</t>
  </si>
  <si>
    <t>当前人工交接接口只要求事件已核实且满足权限等条件，不把反制完成当作前置；自动建交接、自动发送、人工补发也不是同一个动作。</t>
  </si>
  <si>
    <t>增加未反制但已核实的交接路径；分别验建交接、发通知、送达、签收、办理结果。前台没有入口时记录缺口，接口成功不能代替前台通过。</t>
  </si>
  <si>
    <t>HandoffRules；HandoffSubmissionService；PunishmentNotification</t>
  </si>
  <si>
    <t>F30；R12–R15</t>
  </si>
  <si>
    <t>Q05</t>
  </si>
  <si>
    <t>时间口径冲突</t>
  </si>
  <si>
    <t>短信观察3秒与10秒不一致</t>
  </si>
  <si>
    <t>前台项目约定短信观察10秒、电话后10秒；当前NotifyFlow写短信3秒、电话10秒。原表只说先确认，没有逐时间点判定。</t>
  </si>
  <si>
    <t>按已确认的10秒业务约定保留验收标准，记录当前3秒实现差异。要改为3秒需留下新确认，不得按代码自行放宽。</t>
  </si>
  <si>
    <t>前台AGENTS 2026-09-22；NotifyFlow 第7–8行；三个旧文档未规定本时长</t>
  </si>
  <si>
    <t>准备与流程；R16–R19</t>
  </si>
  <si>
    <t>Q06</t>
  </si>
  <si>
    <t>重要补齐</t>
  </si>
  <si>
    <t>业务主线覆盖不足</t>
  </si>
  <si>
    <t>鸟群和异物风险要单独走完</t>
  </si>
  <si>
    <t>已有鸟类不进入合法性页、风险核验和通知等检查，但没有以同一只鸟或同一群鸟从发现到通知、处置反馈、风险解除的独立流程。</t>
  </si>
  <si>
    <t>增加F27。无计划不应让鸟变成黑飞；收到通知不等于风险已解除。未知、识别中、算法推断分别留证。</t>
  </si>
  <si>
    <t>会议第3节及第12节六类场景；功能方案3.2；V1.1 2.3及7.2</t>
  </si>
  <si>
    <t>F27；R20–R24</t>
  </si>
  <si>
    <t>Q07</t>
  </si>
  <si>
    <t>融合验证太粗</t>
  </si>
  <si>
    <t>一条合并检查不足以验收三路融合</t>
  </si>
  <si>
    <t>已有同目标合并和相邻目标不误合并，但缺少稳定来源对应、单路掉线、只有雷达、时间乱序、恢复补传等分项记录。</t>
  </si>
  <si>
    <t>新增三路独立输入和降级恢复流程，按原始来源与统一目标对账；原始点、融合结果、预测段区分。精度指标由算法方确认。</t>
  </si>
  <si>
    <t>会议第2、4、9节；V1.1 第6章、13.2</t>
  </si>
  <si>
    <t>F28；R25–R30</t>
  </si>
  <si>
    <t>Q08</t>
  </si>
  <si>
    <t>历史版本取舍缺失</t>
  </si>
  <si>
    <t>不能照最早方案要求所有设备能力</t>
  </si>
  <si>
    <t>早期功能方案列ADS-B，V1.1明确不纳入；部分云台点动暂不支持；气球等类别可能来自算法，遥控器也不能算成第二架无人机。</t>
  </si>
  <si>
    <t>采用V1.1已明确的设备边界，新增来源标记、遥控器统计、任务式跟踪和不支持能力提示。若后来已支持，以新协议版本留证。</t>
  </si>
  <si>
    <t>V1.1 P0505、P0929–P0931、P1798及目标类型章节</t>
  </si>
  <si>
    <t>F29；R22–R24、R31–R33</t>
  </si>
  <si>
    <t>Q09</t>
  </si>
  <si>
    <t>空间时间验收不够细</t>
  </si>
  <si>
    <t>高度基准与规则版本要分开测</t>
  </si>
  <si>
    <t>原计划只笼统检查地图位置和高度含义。当前后端已有AGL/AMSL同基准比较、版本和时间窗逻辑，需要可复现的边界数据。</t>
  </si>
  <si>
    <t>分别测真高与海拔高、缺基准、边界点、时间起止、版本切换及历史依据不漂移。只通过现有授权入口准备数据。</t>
  </si>
  <si>
    <t>V1.1 3.4、7.4、8.5；CheckSupport、AirspaceCoverageCheck、AirspaceWriteService</t>
  </si>
  <si>
    <t>R34–R39；原AIR/SIM</t>
  </si>
  <si>
    <t>Q10</t>
  </si>
  <si>
    <t>执行记录容易假完整</t>
  </si>
  <si>
    <t>多个子场景不能共用一个通过</t>
  </si>
  <si>
    <t>F14–F18等把多个子批次合在一个结果里；原流程公式只数通过，没有检查实际结果、执行人、时间、证据及事件编号是否填写。</t>
  </si>
  <si>
    <t>补充单独子场景记录；全流程全部通过后还要检查每一步的证据字段。未跑的子批次不能由另一批次代替。</t>
  </si>
  <si>
    <t>现有Excel 全流程验收与流程步骤记录；前台AGENTS 批次留痕约定</t>
  </si>
  <si>
    <t>F14–F18；R40–R45；流程结果公式</t>
  </si>
  <si>
    <t>Q11</t>
  </si>
  <si>
    <t>性能验证范围不足</t>
  </si>
  <si>
    <t>页面快不代表整条链路及时</t>
  </si>
  <si>
    <t>已有页面20次p50/p95测量，缺少目标上报到前台显示、告警生成、设备受理、多人监视等链路测量；文档没有已确认的统一数值门槛。</t>
  </si>
  <si>
    <t>补采链路时间和负载，先确认用户数、目标数、频率及允许时延。未确认门槛只报测量结果，不能直接判性能达标。</t>
  </si>
  <si>
    <t>V1.1 13.1；原NET-06</t>
  </si>
  <si>
    <t>R46–R48</t>
  </si>
  <si>
    <t>Q12</t>
  </si>
  <si>
    <t>开测前记录</t>
  </si>
  <si>
    <t>验收版本和范围不清</t>
  </si>
  <si>
    <t>旧页面数量不能当当前验收目录</t>
  </si>
  <si>
    <t>会议14页、V1.1十个业务页面、当前前后台拆分属于不同版本。代码存在多处未提交改动，正在运行的服务不一定就是本次读到的源码。</t>
  </si>
  <si>
    <t>按当前入口和职责验前台，后台配合验证配置权限及审计；保存前后端版本、配置、模拟批次。旧功能是否恢复另作需求决定，不写成默认缺陷。</t>
  </si>
  <si>
    <t>会议第10节；V1.1第8章；前后台AGENTS与当前路由</t>
  </si>
  <si>
    <t>测试总览开测条件；全部流程</t>
  </si>
  <si>
    <t>历史资料：《无人机融合感知平台_会议纪要_说人话版》2026-08-23；《系统设计方案_V1.1》；《无人机融合感知与低空飞行安全管理平台方案》。</t>
  </si>
  <si>
    <t>采用顺序：用户本次要求与后续已确认约定优先；V1.1已明确修订的设备能力优先于早期方案；代码用于说明现状，不自动成为业务验收标准。</t>
  </si>
  <si>
    <t>保留当前前后台分工、取消人工现场记录、设备回执为准、显式直接反制权限等约定。不因旧会议的页面数量而要求恢复旧页面。</t>
  </si>
  <si>
    <t>本次未登录执行业务、未启停配置、未发送通知或设备指令。现有源码有未提交改动，运行服务版本及实际启用配置需由执行人员记录。</t>
  </si>
  <si>
    <t>详细代码定位见同目录《前台测试计划审查说明-2026-09-27.md》。本表负责需求核对，执行结果仍填写原模块、流程及补充测试清单。</t>
  </si>
  <si>
    <t>补充测试清单</t>
  </si>
  <si>
    <t>新增48项，针对会议要求、当前分支和原表漏测补充。每行单独记录；R29等含对照输入的项目，实际记录须逐项写明输入与结果。</t>
  </si>
  <si>
    <t>H至L为黄色填写区。写通过后还需填写实际结果、批次、证据与关联编号、执行人和日期，M列才显示记录齐全。</t>
  </si>
  <si>
    <t>模块</t>
  </si>
  <si>
    <t>场景和准备条件</t>
  </si>
  <si>
    <t>实际结果及批次</t>
  </si>
  <si>
    <t>证据位置及关联编号</t>
  </si>
  <si>
    <t>执行人</t>
  </si>
  <si>
    <t>执行日期</t>
  </si>
  <si>
    <t>记录检查</t>
  </si>
  <si>
    <t>R01</t>
  </si>
  <si>
    <t>授权</t>
  </si>
  <si>
    <t>规则自动反制缺少明确授权依据
引擎正常，规则满足，测试设备可用；授权依据尚未确认。</t>
  </si>
  <si>
    <t>记录系统生成的授权方式、发起人和依据，不启动真实设备。
留证：授权依据、系统授权记录、规则版本</t>
  </si>
  <si>
    <t>不能凭系统自建DIRECT就认定业务授权合格；确认前此正向验收项填暂时测不了。</t>
  </si>
  <si>
    <t>第八轮：未完成整项。缺可用反制/干扰测试设备受理及最终回执，自动授权依据仍待确认；既有隔离回归不能替代此现场完整流程。 实际处罚接收方列表为空，正式提交返回RECIPIENT_NOT_CONFIGURED；无法验证投递、签收及处罚决定闭环。</t>
  </si>
  <si>
    <t>R02</t>
  </si>
  <si>
    <t>人工直接授权被撤销后排队下发
人工DIRECT仍排队，随后由管理员撤回显式权限。</t>
  </si>
  <si>
    <t>等待队列尝试下发，回查设备收令。
留证：撤权时刻、队列检查、设备命令</t>
  </si>
  <si>
    <t>撤权后不继续下发；已发指令保留事实；管理员身份不替代权限。</t>
  </si>
  <si>
    <t>R03</t>
  </si>
  <si>
    <t>系统自动身份与人员权限分开
分别准备自动规则发起与普通人员直接发起的同类测试事件。</t>
  </si>
  <si>
    <t>对照请求人、审批人、授权方式和审计。
留证：两批事件和授权、审计</t>
  </si>
  <si>
    <t>自动身份不伪装成人员审批；普通人员仍要求显式direct。系统身份的授权来源单独说明。</t>
  </si>
  <si>
    <t>R04</t>
  </si>
  <si>
    <t>配置</t>
  </si>
  <si>
    <t>引擎开启但某类没有启用规则
引擎健康；核实类别0条启用，其他类别保持固定。</t>
  </si>
  <si>
    <t>输入待核实事件并观察，再用有权账号核实。
留证：配置回读、运行状态、核实历史</t>
  </si>
  <si>
    <t>该类暂停自动处理；人工入口按权限可用。不得把0条规则当全部条件通过。</t>
  </si>
  <si>
    <t>R05</t>
  </si>
  <si>
    <t>引擎关闭后的处罚通知
测试事件已干扰完成，接收方唯一，模拟通知可用。</t>
  </si>
  <si>
    <t>关闭引擎后观察后台调度和模拟收件箱，不点发送。
留证：引擎配置、干扰回执、投递记录</t>
  </si>
  <si>
    <t>当前实现可能自动发通知；如本轮要求手动，应记配置语义问题，不能按手动组合通过。</t>
  </si>
  <si>
    <t>R06</t>
  </si>
  <si>
    <t>通知处罚规则全部停用
引擎开启且健康；已干扰完成；dispose无启用规则。</t>
  </si>
  <si>
    <t>查看交接和投递，再由有权人员点击通知。
留证：交接ID、等待原因、人工发送回执</t>
  </si>
  <si>
    <t>可以已有冻结交接，但自动投递等待规则；人工通知按权限执行一次。</t>
  </si>
  <si>
    <t>R07</t>
  </si>
  <si>
    <t>规则一条满足另一条不满足
同类别启用两条可独立控制的规则。</t>
  </si>
  <si>
    <t>先只满足一条，再持续满足两条。
留证：规则版本、逐条判定、触发时刻</t>
  </si>
  <si>
    <t>先不自动通过；全部满足且持续时间达标才通过，记录每条实际依据。</t>
  </si>
  <si>
    <t>R08</t>
  </si>
  <si>
    <t>设备链路</t>
  </si>
  <si>
    <t>反制完成后接续干扰
批准或明确授权的持续违规测试事件，测试设备可用。</t>
  </si>
  <si>
    <t>先确认反制回执，再观察干扰子授权、命令和回执。
留证：父子授权ID、两条命令及回执</t>
  </si>
  <si>
    <t>两次动作各有记录，父子授权可追溯；第二次不能套用第一次成功。</t>
  </si>
  <si>
    <t>R09</t>
  </si>
  <si>
    <t>反制完成但续链时依据失效
反制已回执，干扰续链前使有效观测过期。</t>
  </si>
  <si>
    <t>观察干扰是否仍被创建或下发。
留证：观测时间、阻断原因、设备收令</t>
  </si>
  <si>
    <t>旧观测不能支持新的干扰动作；反制已完成事实保留。</t>
  </si>
  <si>
    <t>R10</t>
  </si>
  <si>
    <t>直接授权到期后不能续链
DIRECT授权窗口将结束，干扰尚未发送。</t>
  </si>
  <si>
    <t>到期后让续链或队列检查运行。
留证：原有效期、检查时间、无新增指令证据</t>
  </si>
  <si>
    <t>不得延长原DIRECT窗口；未发送动作阻断，不伪造审批人。</t>
  </si>
  <si>
    <t>R11</t>
  </si>
  <si>
    <t>干扰失败不能算整链成功
反制成功，干扰测试设备返回失败或明确拒绝。</t>
  </si>
  <si>
    <t>查两段授权、告警详情和自动交接。
留证：两段结果、交接查询、设备日志</t>
  </si>
  <si>
    <t>反制成功与干扰失败分别显示；不能凭反制成功触发干扰完成分支。</t>
  </si>
  <si>
    <t>R12</t>
  </si>
  <si>
    <t>处罚交接</t>
  </si>
  <si>
    <t>未反制的属实事件人工交接
属实事件、可见范围、handoff:create及可用接收方齐全；没有反制记录。</t>
  </si>
  <si>
    <t>通过现有获准入口提交；若仅有接口由开发配合并记录前台入口缺口。
留证：事件、提交入口、交接及入口缺口</t>
  </si>
  <si>
    <t>服务端不以反制未完成为由拒绝；其他条件仍检查。接口通过不代替前台流程通过。</t>
  </si>
  <si>
    <t>第八轮部分验证，整项未完成：已核实且无反制记录的专用事件提交正式人工交接接口，未被“未完成反制”拒绝；实际阻断为RECIPIENT_NOT_CONFIGURED，当前处罚接收方列表为空。无法生成材料及验证前台成功闭环。</t>
  </si>
  <si>
    <t>R13</t>
  </si>
  <si>
    <t>仅完成反制不等于自动交接条件齐全
反制完成，干扰仍未完成，未人工建立交接。</t>
  </si>
  <si>
    <t>观察后台自动建交接和通知记录。
留证：两段状态、调度、交接查询</t>
  </si>
  <si>
    <t>不能把反制完成直接当干扰完成；实际自动交接触发条件需满足。</t>
  </si>
  <si>
    <t>R14</t>
  </si>
  <si>
    <t>接收方不是唯一时自动交接
干扰完成，存在两个有效处罚接收方。</t>
  </si>
  <si>
    <t>等待调度，查看阻断和可用人工处理入口。
留证：接收方配置、交接查询、提示</t>
  </si>
  <si>
    <t>当前自动建交接不应任意挑一个；说明缺少唯一接收方，不假装已送达。</t>
  </si>
  <si>
    <t>R15</t>
  </si>
  <si>
    <t>迟到签收不改成处罚办结
模拟通知已送达且签收超时。</t>
  </si>
  <si>
    <t>补入与原交接对应的有效迟到签收回执。
留证：原交接ID、回执ID、结果页</t>
  </si>
  <si>
    <t>只更新对应投递或签收事实；不另建交接、不自动形成处罚决定。</t>
  </si>
  <si>
    <t>R16</t>
  </si>
  <si>
    <t>通知计时</t>
  </si>
  <si>
    <t>短信送达后3秒节点
有飞手、短信电话均可用，目标持续有效在域。</t>
  </si>
  <si>
    <t>以短信送达时刻起计，在3秒前后记录电话和阶段。
留证：送达、电话任务、观测的时间戳</t>
  </si>
  <si>
    <t>按现有10秒约定此时不能提前打电话；若3秒已升级记录缺陷，不改预期凑通过。</t>
  </si>
  <si>
    <t>第八轮：未完成整项。缺核验飞手及可用短信/电话回执链，未建立满足本分支的独立事件；不伪造送达、播放完成或飞离。</t>
  </si>
  <si>
    <t>R17</t>
  </si>
  <si>
    <t>短信送达后10秒节点
目标持续在域且短信已送达。</t>
  </si>
  <si>
    <t>在10秒前后记录新位置和电话任务；同时记录调度周期。
留证：送达、有效位置、任务创建时间</t>
  </si>
  <si>
    <t>满10秒且当前依据满足后才允许升级；允许的调度延迟需记录，不把提前触发算正常。</t>
  </si>
  <si>
    <t>R18</t>
  </si>
  <si>
    <t>电话播放后10秒节点
电话播放完成，目标持续上报有效位置。</t>
  </si>
  <si>
    <t>以播放完成时刻起计检查9秒和10秒后的阶段。
留证：拨号、播放完成、阶段时间</t>
  </si>
  <si>
    <t>观察未满不升级；满足当前条件后进入待反制。拨号时间不冒充播放完成时间。</t>
  </si>
  <si>
    <t>R19</t>
  </si>
  <si>
    <t>短信只有提交没有送达
短信返回提交成功，但不提供送达回执。</t>
  </si>
  <si>
    <t>持续观察前台通知进度与电话任务。
留证：发送记录、回执查询、阶段</t>
  </si>
  <si>
    <t>不能以点击或提交时间冒充送达时间启动后续计时；真实未送达或未知要保留。</t>
  </si>
  <si>
    <t>R20</t>
  </si>
  <si>
    <t>异物风险</t>
  </si>
  <si>
    <t>鸟进入重点区域全流程
鸟类输入与重点区域资料齐全，模拟上级通知可用。</t>
  </si>
  <si>
    <t>按F27跑发现、风险、核验、通知、反馈和历史。
留证：目标、风险、通知、回执和历史ID</t>
  </si>
  <si>
    <t>进入风险主线，不因没计划判黑飞或走无人机反制链。</t>
  </si>
  <si>
    <t>第八轮部分验证，整项未完成：真实模拟器MQTT鸟类输入形成SPACE_OBJECT/BIRD_FLOCK风险；无人机研判查询该目标为0条。核验及通知交接成功，但实际投递被未启用通知配置阻断，未伪造签收。</t>
  </si>
  <si>
    <t>r8-bird-evaluation.json；r8-risk-handoff.json；r8-risk-final.json</t>
  </si>
  <si>
    <t>R21</t>
  </si>
  <si>
    <t>上级签收但鸟群仍在
同一鸟群风险已通知并签收，继续上报风险位置。</t>
  </si>
  <si>
    <t>回到空域与飞行计划当前风险列表。
留证：签收、持续观测、当前风险</t>
  </si>
  <si>
    <t>风险仍按实际依据存在；签收不自动清除，历史通知保留。</t>
  </si>
  <si>
    <t>第八轮：未完成整项。缺上级有效投递及签收回执；鸟类风险链已有独立API证据。</t>
  </si>
  <si>
    <t>R22</t>
  </si>
  <si>
    <t>类别来源</t>
  </si>
  <si>
    <t>气球细分类来自算法
使用可追溯算法样本，上游原始类别为未知或识别中。</t>
  </si>
  <si>
    <t>看类别、细分类、来源与算法版本说明。
留证：原始类别、算法结果、前台标签</t>
  </si>
  <si>
    <t>不伪称设备直接识别；能力未验证时明确算法推断或未知。</t>
  </si>
  <si>
    <t>第八轮：未完成整项。缺本行要求的可追溯算法/三路接入或设备完整样本。浏览器12:04起返回User unavailable；恢复确认后重连仍失败，剩余页面交互无法执行。</t>
  </si>
  <si>
    <t>R23</t>
  </si>
  <si>
    <t>识别中目标不强行判无人机
输入协议255或当前协议等价识别中目标。</t>
  </si>
  <si>
    <t>看融合感知、合法性、风险和自动动作。
留证：原始枚举、目标详情、自动记录</t>
  </si>
  <si>
    <t>未知/识别中如实显示，不默认无人机或合法，不误触发无人机反制。</t>
  </si>
  <si>
    <t>第八轮部分验证，整项未完成：向本轮专用回放雷达实际发8帧objectType=255/0/100。平台分别保存未定类、UNKNOWN、REMOTE_CONTROLLER；3目标在UAV研判查询均0条，未默认无人机。浏览器断连，识别中页面文案尚未验收。</t>
  </si>
  <si>
    <t>r8-protocol-types-input.json；r8-protocol-types-result.json</t>
  </si>
  <si>
    <t>R24</t>
  </si>
  <si>
    <t>统计口径</t>
  </si>
  <si>
    <t>遥控器不能多算一架无人机
同一批次输入无人机与关联遥控器。</t>
  </si>
  <si>
    <t>核对两个对象身份、关联以及无人机统计。
留证：原始报文、关联、统计</t>
  </si>
  <si>
    <t>位置对象可以分别记录，但不能把遥控器算成第二架无人机；来源可追溯。</t>
  </si>
  <si>
    <t>第八轮部分验证，整项未完成：实际遥控器报文持久化为REMOTE_CONTROLLER，UAV研判无记录。尚未执行同一架无人机及其遥控器绑定关系的完整组合，不能替代整项通过。</t>
  </si>
  <si>
    <t>r8-protocol-types-result.json</t>
  </si>
  <si>
    <t>R25</t>
  </si>
  <si>
    <t>三路融合</t>
  </si>
  <si>
    <t>三路观察同一个目标
融合箱、5G-A、TDOA三路使用一致时空的同一目标样本。</t>
  </si>
  <si>
    <t>按F28核对原始来源及统一目标。
留证：三路输入、统一目标ID、轨迹ID</t>
  </si>
  <si>
    <t>保留三路来源映射，统一目标不重复计数；不能只换来源标签假装三路接入。</t>
  </si>
  <si>
    <t>R26</t>
  </si>
  <si>
    <t>两个相邻目标不能误合并
三路同时观测两架相近且交叉飞行的目标。</t>
  </si>
  <si>
    <t>回放相遇前、中、后，核对各目标来源与轨迹。
留证：样本真值、原始与融合ID序列</t>
  </si>
  <si>
    <t>不互换身份，不把两架合成一架；异常要能按原始记录定位。</t>
  </si>
  <si>
    <t>R27</t>
  </si>
  <si>
    <t>只有雷达也保留有效轨迹
TDOA及5G-A不发送，雷达持续正常上报。</t>
  </si>
  <si>
    <t>看原始点、轨迹、来源与降级说明。
留证：雷达原始帧、轨迹、来源</t>
  </si>
  <si>
    <t>能按现有算法形成轨迹；缺少辅助来源如实说明，不编造身份及可靠度。</t>
  </si>
  <si>
    <t>第八轮：单雷达批次sim-0928111537-2d27产生目标010、34点实测轨迹及真实研判；未编造TDOA或5G-A来源。长稳单雷达批次继续实际上报。</t>
  </si>
  <si>
    <t>r8-control-finish.json; r8-chain-initial.json; r8-soak-scenario.json</t>
  </si>
  <si>
    <t>R28</t>
  </si>
  <si>
    <t>一路掉线后恢复
三路已稳定观测，只停止TDOA一路再恢复。</t>
  </si>
  <si>
    <t>检查来源健康、目标连续性、来源恢复过程。
留证：停发/恢复时间、目标ID序列</t>
  </si>
  <si>
    <t>不凭掉线判飞离，不新建重复目标；降级可见、恢复可追溯。</t>
  </si>
  <si>
    <t>重复乱序和未来时间数据
一条固定轨迹，另发送相同记录、旧时刻点和未来时刻点。</t>
  </si>
  <si>
    <t>每个输入单独保存处理结果，检查当前位置及告警。
留证：原始时间、接收时间、处理结果</t>
  </si>
  <si>
    <t>按契约去重和隔离异常时间；旧点不顶掉新位置，未来点不让有效性永久通过。</t>
  </si>
  <si>
    <t>第八轮：专用replay识别中目标注入重复、旧时刻及未来24小时观测。原RAW仍8点，旧点和未来点各成新RAW，FUSED由8到10；目标last_seen_at从1790569844714推进到1790656825029（次日）。未来数据未在目标最新时间/融合轨迹层隔离；控制资格是否受影响未验证。</t>
  </si>
  <si>
    <t>r8-time-order-input.json；r8-time-order-result.json</t>
  </si>
  <si>
    <t>R30</t>
  </si>
  <si>
    <t>恢复后历史补传不触发新动作
断连期间缓存旧违规样本，恢复后标为补传。</t>
  </si>
  <si>
    <t>回查历史、实时态势、告警和设备指令。
留证：补传标记、原始时间、实时动作查询</t>
  </si>
  <si>
    <t>补传按确认策略进历史，不当最新观测重触发通知或反制；若当前不支持需记录缺口。</t>
  </si>
  <si>
    <t>R31</t>
  </si>
  <si>
    <t>设备能力</t>
  </si>
  <si>
    <t>当前数据源不虚构ADS-B
以已登记协议版本和三路来源运行。</t>
  </si>
  <si>
    <t>核对来源选项、详情与模拟数据标签。
留证：协议清单、前台来源</t>
  </si>
  <si>
    <t>V1.1范围内不虚构ADS-B来源；若后来接入须有新增协议与确认记录。</t>
  </si>
  <si>
    <t>第八轮：未完成整项。浏览器12:04起返回User unavailable；恢复确认后重连仍失败，剩余页面交互无法执行。</t>
  </si>
  <si>
    <t>R32</t>
  </si>
  <si>
    <t>光电联动</t>
  </si>
  <si>
    <t>雷达目标交给光电跟踪
雷达目标有效，测试光电设备支持任务式跟踪。</t>
  </si>
  <si>
    <t>按F29下任务，核对目标、设备、回执、视频和证据。
留证：雷达轨迹、光电任务、画面关联</t>
  </si>
  <si>
    <t>任务受理、跟踪和视频可用分开显示；画面不能串到旁边目标。</t>
  </si>
  <si>
    <t>R33</t>
  </si>
  <si>
    <t>不支持的云台动作有说明
协议将角度定位或CameraStatus标为不支持/待确认。</t>
  </si>
  <si>
    <t>查看业务跟踪和后台对应调测能力。
留证：协议版本、能力提示、任务结果</t>
  </si>
  <si>
    <t>不把暂不支持能力验为可用；任务式跟踪不被无关点动能力误阻断。</t>
  </si>
  <si>
    <t>R34</t>
  </si>
  <si>
    <t>空间规则</t>
  </si>
  <si>
    <t>真高与海拔高分别比较
目标真高80米、海拔130米；准备真高限100和海拔限120两组空域。</t>
  </si>
  <si>
    <t>分别进入两组空间并查看判定依据。
留证：目标双高度、空域基准、判定明细</t>
  </si>
  <si>
    <t>同基准比较：真高组不因130误报，海拔组按130超120判断。</t>
  </si>
  <si>
    <t>R35</t>
  </si>
  <si>
    <t>只有一种高度不能代替另一种
空域要求AGL，目标只有AMSL，其他条件正常。</t>
  </si>
  <si>
    <t>查看研判和后续自动动作。
留证：输入字段、研判缺口、动作查询</t>
  </si>
  <si>
    <t>缺少同基准高度显示未知或缺依据，不用海拔代替真高，不自动通过。</t>
  </si>
  <si>
    <t>R36</t>
  </si>
  <si>
    <t>边界内外与边界点
采用已确认空间关系规则，三组坐标分别位于内、外、边界。</t>
  </si>
  <si>
    <t>通过授权入口输入并检查空间判定。
留证：WGS84坐标、边界规则、判定</t>
  </si>
  <si>
    <t>按后台空间关系和边界规则一致处理；地图像素不能代替坐标判定。</t>
  </si>
  <si>
    <t>R37</t>
  </si>
  <si>
    <t>生效时间起止边界
固定版本有效区间，分别在开始前、开始、结束前、结束输入。</t>
  </si>
  <si>
    <t>记录设备时间、服务时间与命中版本。
留证：区间、四个时间点、版本命中</t>
  </si>
  <si>
    <t>按确认的左闭右开等契约执行，不在结束时继续误命中；不混用北京时间与UTC。</t>
  </si>
  <si>
    <t>R38</t>
  </si>
  <si>
    <t>更新规则不改写历史依据
原版本已产生研判和冻结材料，再经授权入口发布新版本。</t>
  </si>
  <si>
    <t>新数据重新判断，旧研判和交接材料回看。
留证：前后版本、两次判定、冻结材料</t>
  </si>
  <si>
    <t>新数据引用新版本，旧结论保持当时版本；重叠/冲突不任意挑选。</t>
  </si>
  <si>
    <t>R39</t>
  </si>
  <si>
    <t>地图定位</t>
  </si>
  <si>
    <t>业务坐标与底图坐标一致
选取可核对的设备点、空域拐点、目标点和路线点。</t>
  </si>
  <si>
    <t>同一WGS84数据在模拟器与前台对照；记录所用底图坐标系。
留证：坐标样本、底图声明、截图</t>
  </si>
  <si>
    <t>需要显示转换时正确转换且不重复转换；业务数据保持约定坐标系。</t>
  </si>
  <si>
    <t>R40</t>
  </si>
  <si>
    <t>子场景拆分</t>
  </si>
  <si>
    <t>没有核验飞手
核实属实且当前违规依据足够，没有核验飞手。</t>
  </si>
  <si>
    <t>单独批次跑F14，查看短信电话及待反制。
留证：独立批次、通知查询、阶段</t>
  </si>
  <si>
    <t>不虚构飞手和通知；按现行规则进入待反制，反制另查安全条件。</t>
  </si>
  <si>
    <t>第八轮：新模拟目标003核实属实，未配置已核验飞手，进入待反制，短信和电话均无实际发送；反制资格独立检查。</t>
  </si>
  <si>
    <t>r8-verification-after.json; r8-confirmed-ui.txt</t>
  </si>
  <si>
    <t>R41</t>
  </si>
  <si>
    <t>短信通道不可用
飞手已核验，短信不可用，其余条件足够。</t>
  </si>
  <si>
    <t>单独批次跑F14并检查通知和状态。
留证：通道配置、阶段、未送达记录</t>
  </si>
  <si>
    <t>不冒充短信送达；按现行规则进入待反制，不能绕过反制资格。</t>
  </si>
  <si>
    <t>R42</t>
  </si>
  <si>
    <t>电话通道不可用
飞手已核验且短信可用，电话不可用。</t>
  </si>
  <si>
    <t>单独批次跑F14，记录短信送达后的观察时间。
留证：短信送达、观察时间、阶段</t>
  </si>
  <si>
    <t>仍先短信观察；时长按确认标准，不因电话不可用立即跳过。</t>
  </si>
  <si>
    <t>R43</t>
  </si>
  <si>
    <t>切换时机</t>
  </si>
  <si>
    <t>核实前自动改手动
核实规则还未实际执行，其余类别固定。</t>
  </si>
  <si>
    <t>关闭核实类启用规则并回读，输入新批次。
留证：配置版本、生效时刻、核实历史</t>
  </si>
  <si>
    <t>生效后的新批次不自动核实；操作与调度并发时按提交/生效事实判定。</t>
  </si>
  <si>
    <t>R44</t>
  </si>
  <si>
    <t>反制排队时自动改手动
自动已建授权但设备命令尚在排队。</t>
  </si>
  <si>
    <t>关闭反制类规则，记录保存与实际下发时刻。
留证：配置、队列、下发、授权四个时间</t>
  </si>
  <si>
    <t>检查队列是否重新读取配置；不能仅凭保存成功判停止。若仍下发，记录与切换要求的冲突供确认。</t>
  </si>
  <si>
    <t>R45</t>
  </si>
  <si>
    <t>通知尚未发出时自动改手动
引擎开启、交接已冻结、自动通知未提交。</t>
  </si>
  <si>
    <t>停用通知处罚规则，回读后等待，再人工接手。
留证：配置版本、提交时间、投递次数</t>
  </si>
  <si>
    <t>未发送的动作按确认的切换边界处理；不得把已提交但未回执当未发送而重复通知。</t>
  </si>
  <si>
    <t>R46</t>
  </si>
  <si>
    <t>链路性能</t>
  </si>
  <si>
    <t>上报到前台及告警的时延
冻结目标数量、输入频率、设备时钟与测试时长。</t>
  </si>
  <si>
    <t>重复采集至少20次上报、接收、入库、告警、页面出现时刻。
留证：负载说明、时间样本、分段结果</t>
  </si>
  <si>
    <t>报告各段p50/p95和最大值；与事先确认的门槛比较，时钟偏差单列。</t>
  </si>
  <si>
    <t>第八轮：未完成整项。当前未预先确认负载规模和时延门槛，且浏览器连接中断；不能按零散观测判性能达标。</t>
  </si>
  <si>
    <t>R47</t>
  </si>
  <si>
    <t>多目标和多账号同时监视
事先填写目标数、每秒上报数、在线账号数及浏览器版本。</t>
  </si>
  <si>
    <t>阶梯增加负载，检查地图、列表、告警、回执通道与停止操作。
留证：负载、时延、错误、资源记录</t>
  </si>
  <si>
    <t>不漏数据、不串目标，错误率和延迟可量化；没有门槛只记实测不判达标。</t>
  </si>
  <si>
    <t>R48</t>
  </si>
  <si>
    <t>设备受理与完成的时延分别量
测试设备能返回受理及最终回执，关闭真实通道。</t>
  </si>
  <si>
    <t>测页面提交到受理、受理到执行结果、结果到页面更新。
留证：命令ID、三段时间、最终结果</t>
  </si>
  <si>
    <t>三段分别记录；受理快不能掩盖完成慢或没有最终回执。</t>
  </si>
  <si>
    <t>后台设备运维测试清单</t>
  </si>
  <si>
    <t>覆盖设备管理、实时监测、接入调测、维护工作流、站内消息及前后台联动。连接管理只测试设备接入所需部分，不扩大为全部后台验收。</t>
  </si>
  <si>
    <t>64项检查，H至L列记录实际执行结果。第五轮新增页面验收；接口或自动测试局部通过不代表F31至F36完整流程通过。</t>
  </si>
  <si>
    <t>这次要测什么</t>
  </si>
  <si>
    <t>准备条件和怎么做</t>
  </si>
  <si>
    <t>要留下的证据</t>
  </si>
  <si>
    <t>实际结果与批次</t>
  </si>
  <si>
    <t>证据位置与关联编号</t>
  </si>
  <si>
    <t>OPS-01</t>
  </si>
  <si>
    <t>账号与范围</t>
  </si>
  <si>
    <t>三个运维页面按权限进入</t>
  </si>
  <si>
    <t>用有权、无菜单、无读取权限三类账号分别打开设备管理、实时监测、接入调测和直接地址。</t>
  </si>
  <si>
    <t>只进入获准页面；直接地址和接口也不能绕过。</t>
  </si>
  <si>
    <t>账号权限、页面及接口结果</t>
  </si>
  <si>
    <t>OPS-02</t>
  </si>
  <si>
    <t>只读账号不能操作</t>
  </si>
  <si>
    <t>只读账号尝试编辑、启停、删除、创建调测、开始处理和完成待办。</t>
  </si>
  <si>
    <t>可读资料但不能写入；不能只靠隐藏按钮保护。</t>
  </si>
  <si>
    <t>写操作拒绝结果、前后状态</t>
  </si>
  <si>
    <t>第八轮部分验证，整项未完成：只读账号对专用测试设备编辑、停用、删除、创建调测，四项正式接口均403且设备状态未变；维护开始/完成等分支仍依赖维护任务。</t>
  </si>
  <si>
    <t>r8-device-lifecycle-api.json; r8-api-evidence.jsonl</t>
  </si>
  <si>
    <t>OPS-03</t>
  </si>
  <si>
    <t>设备操作与连接管理分权</t>
  </si>
  <si>
    <t>分别使用仅devices.op、另有interfaces.read、再有interfaces.op的账号。</t>
  </si>
  <si>
    <t>设备操作不自动获得接入配置管理；能看连接不等于能修改。</t>
  </si>
  <si>
    <t>三个账号与入口/操作对照</t>
  </si>
  <si>
    <t>OPS-04</t>
  </si>
  <si>
    <t>不能跨单位和区域</t>
  </si>
  <si>
    <t>甲范围账号查乙范围设备、状态、报告、维护任务及消息；开发协助直接访问接口。</t>
  </si>
  <si>
    <t>列表、详情、操作和未读数均不泄露范围外资料。</t>
  </si>
  <si>
    <t>范围映射、设备/任务ID、响应</t>
  </si>
  <si>
    <t>OPS-05</t>
  </si>
  <si>
    <t>操作中撤权或停用账号</t>
  </si>
  <si>
    <t>保持调测或维护页面打开，管理员撤权，再提交下一步。</t>
  </si>
  <si>
    <t>重新检查当前权限，不靠旧页面继续操作；不清除已有历史。</t>
  </si>
  <si>
    <t>撤权时间、拒绝结果、历史</t>
  </si>
  <si>
    <t>OPS-06</t>
  </si>
  <si>
    <t>敏感连接配置按权隐藏</t>
  </si>
  <si>
    <t>只有monitoring.read的账号查看设备信息，再用获准设备操作账号对照。</t>
  </si>
  <si>
    <t>无权者连接信息脱敏；错误日志和页面不显示密码或凭据值。</t>
  </si>
  <si>
    <t>字段脱敏对照、错误提示</t>
  </si>
  <si>
    <t>OPS-07</t>
  </si>
  <si>
    <t>设备台账与接入</t>
  </si>
  <si>
    <t>统一接入设备入口</t>
  </si>
  <si>
    <t>从接入设备分别选择雷达、光电、反制和天气传感器类型。</t>
  </si>
  <si>
    <t>按类型展示已支持协议；天气不再要求另找入口。</t>
  </si>
  <si>
    <t>类型与协议选项截图</t>
  </si>
  <si>
    <t>统一接入入口依次切换雷达、光电、四通道反制、天气传感器，表单按设备类型展示协议与字段，天气也在该入口。</t>
  </si>
  <si>
    <t>第五、六轮证据：device-type-forms.json</t>
  </si>
  <si>
    <t>OPS-08</t>
  </si>
  <si>
    <t>切类型或协议不带错参数</t>
  </si>
  <si>
    <t>填基本资料及协议参数后切换类型和协议。</t>
  </si>
  <si>
    <t>基本资料合理保留，专用参数清除；不把TCP地址带成MQTT身份。</t>
  </si>
  <si>
    <t>切换前后表单和提交字段</t>
  </si>
  <si>
    <t>接入草稿从TCP切换MQTT、天气再返回TCP，编号/名称/厂家保留；TCP地址未带入MQTT，返回TCP地址为空；未保存该草稿。</t>
  </si>
  <si>
    <t>第五、六轮证据：onboard-mqtt-switched.txt；onboard-switch-values.json</t>
  </si>
  <si>
    <t>OPS-09</t>
  </si>
  <si>
    <t>保存接入配置不等于在线</t>
  </si>
  <si>
    <t>使用测试设备及有效参数登记，但不发送有效设备报文。</t>
  </si>
  <si>
    <t>台账保存可成功，在线状态仍依据真实连接和报文，不能直接显示健康在线。</t>
  </si>
  <si>
    <t>保存记录、状态、首报文时刻</t>
  </si>
  <si>
    <t>页面新建独立RADAR_TCP_V3_0_0设备QA0927R6-TCP-CLOSED，127.0.0.1:65431无监听；保存成功但OFFLINE/UNKNOWN且没有心跳，没有把建档成功当在线。</t>
  </si>
  <si>
    <t>第五、六轮证据：r6-tcp-saved.txt；r6-tcp-created.txt</t>
  </si>
  <si>
    <t>OPS-10</t>
  </si>
  <si>
    <t>编号和外部身份重复</t>
  </si>
  <si>
    <t>用已占用设备编号或相同接入身份再次登记测试设备。</t>
  </si>
  <si>
    <t>明确冲突，不产生两份同身份档案；不覆盖原设备。</t>
  </si>
  <si>
    <t>两次请求和设备数量</t>
  </si>
  <si>
    <t>使用已有QA天气设备编号提交新档案，接口409 DEVICE_NO_CONFLICT。取消后按编号查询仅1条原档案，原名称、停用与待接入状态未覆盖。</t>
  </si>
  <si>
    <t>第五、六轮证据：onboard-duplicate-response.json；onboard-duplicate-readback.txt</t>
  </si>
  <si>
    <t>OPS-11</t>
  </si>
  <si>
    <t>一个匹配接入通道</t>
  </si>
  <si>
    <t>同单位区域只有一条启用live通道，选择该范围。</t>
  </si>
  <si>
    <t>自动带入匹配通道；不能带入其他范围或停用通道。</t>
  </si>
  <si>
    <t>通道配置与表单</t>
  </si>
  <si>
    <t>OPS-12</t>
  </si>
  <si>
    <t>多个或没有匹配通道</t>
  </si>
  <si>
    <t>两组测试范围分别配置多个可用通道、没有可用通道。</t>
  </si>
  <si>
    <t>多个要求选择；没有则提示并阻止提交；不偷偷选replay通道。</t>
  </si>
  <si>
    <t>两组范围、选项、提交结果</t>
  </si>
  <si>
    <t>OPS-13</t>
  </si>
  <si>
    <t>修改范围清除旧通道</t>
  </si>
  <si>
    <t>新建设备先选甲范围通道，再换乙单位或区域。</t>
  </si>
  <si>
    <t>旧通道不继续提交；按乙范围重新匹配。</t>
  </si>
  <si>
    <t>前后范围与提交字段</t>
  </si>
  <si>
    <t>编辑不能换接入身份</t>
  </si>
  <si>
    <t>编辑已登记设备含旧停用或replay通道，尝试改内部/外部身份及通道。</t>
  </si>
  <si>
    <t>按当前契约锁定接入身份与原通道；允许编辑项携带当前版本。</t>
  </si>
  <si>
    <t>编辑字段、版本、保存结果</t>
  </si>
  <si>
    <t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t>
  </si>
  <si>
    <t>第七轮证据：qa-device-edit-verified.json；qa-device-edit-green.log；qa-final-package.log</t>
  </si>
  <si>
    <t>OPS-15</t>
  </si>
  <si>
    <t>天气传感器只登记档案</t>
  </si>
  <si>
    <t>在统一入口填写天气传感器，尝试启用和填写不存在的协议参数。</t>
  </si>
  <si>
    <t>当前保存停用、待接入档案；不要求地址/端口，不声称已采到天气。</t>
  </si>
  <si>
    <t>档案状态、协议说明</t>
  </si>
  <si>
    <t>通过真实页面保存独立档案QA0927-R5-WEATHER-01：天气传感器保持停用、待接入、健康未知，无心跳或气象观测；没有要求地址/端口，启用按钮禁用。</t>
  </si>
  <si>
    <t>第五、六轮证据：weather-onboard.txt；weather-onboard.png</t>
  </si>
  <si>
    <t>OPS-16</t>
  </si>
  <si>
    <t>启用停用及并发编辑</t>
  </si>
  <si>
    <t>对测试设备启停；两人用同版本编辑，一人先保存。</t>
  </si>
  <si>
    <t>启停结果回读；旧版本拒绝覆盖，提示刷新；停用影响订阅或操作按协议生效。</t>
  </si>
  <si>
    <t>版本、启停事件、接收记录</t>
  </si>
  <si>
    <t>第八轮部分验证，整项未完成：专用设备版本0先保存厂家成功，同版本第二次保存409；按新版本停用并回读false。MQTT订阅停止及运行中设备启停分支未现场验收。</t>
  </si>
  <si>
    <t>OPS-17</t>
  </si>
  <si>
    <t>档案资料型号匹配</t>
  </si>
  <si>
    <t>查已匹配和未匹配型号，手动选资料后切换设备。</t>
  </si>
  <si>
    <t>厂家标称资料与实际状态分开；不近似误配，切换不残留上一台资料。</t>
  </si>
  <si>
    <t>型号、资料、切换截图</t>
  </si>
  <si>
    <t>OPS-18</t>
  </si>
  <si>
    <t>有未完成工作不能删除</t>
  </si>
  <si>
    <t>分别准备启用设备、停用但有未完成指令/调测/跟踪的测试设备。</t>
  </si>
  <si>
    <t>均按具体条件拒绝删除；不能让正在执行的设备从台账消失。</t>
  </si>
  <si>
    <t>拒绝原因和活动任务ID</t>
  </si>
  <si>
    <t>第八轮部分验证，整项未完成：启用状态DELETE返回409 DEVICE_ENABLED，未删除。未完成指令/调测阻断已由隔离回归覆盖，当前页面未建立执行中设备任务。</t>
  </si>
  <si>
    <t>r8-device-lifecycle-api.json; r8-final-test-summary.json</t>
  </si>
  <si>
    <t>OPS-19</t>
  </si>
  <si>
    <t>停用空闲设备逻辑删除</t>
  </si>
  <si>
    <t>专用可弃测试设备停用且无活动工作，填原因删除并重查。</t>
  </si>
  <si>
    <t>从日常台账、树、地图和统计移除；历史命令、事件、证据保留，身份不能复用。</t>
  </si>
  <si>
    <t>删除原因、历史引用、前后数量</t>
  </si>
  <si>
    <t>第八轮：仅新建可弃设备9bcb8019停用后逻辑删除，GET404；同身份再登记返回500 INTERNAL_ERROR，后台device_device_no_key唯一键冲突未转成明确业务冲突。没有删既有设备。</t>
  </si>
  <si>
    <t>OPS-20</t>
  </si>
  <si>
    <t>筛选分页和删空末页</t>
  </si>
  <si>
    <t>准备超过三页设备，组合类型/范围/状态/关键词，删除末页最后一条测试档案。</t>
  </si>
  <si>
    <t>总数与筛选一致，退回有效页，选中详情清理；错误不冒充空列表。</t>
  </si>
  <si>
    <t>查询条件、页码、总数</t>
  </si>
  <si>
    <t>第八轮：未完成整项。缺独立健康GOOD的恢复样本或所需TCP/光电协议测试回执；MQTT在线和UNKNOWN不能冒充健康恢复。 浏览器12:04起返回User unavailable；恢复确认后重连仍失败，剩余页面交互无法执行。</t>
  </si>
  <si>
    <t>OPS-21</t>
  </si>
  <si>
    <t>实时监测</t>
  </si>
  <si>
    <t>在线离线健康告警分开</t>
  </si>
  <si>
    <t>用在线健康、在线异常、离线、未知设备对照总览、设备树和详情。</t>
  </si>
  <si>
    <t>状态、总数同源；有心跳不等于GOOD，无数据不等于健康。</t>
  </si>
  <si>
    <t>同批设备状态与统计</t>
  </si>
  <si>
    <t>OPS-22</t>
  </si>
  <si>
    <t>轮询与暂停刷新</t>
  </si>
  <si>
    <t>观察总览约10秒、当前设备约2秒刷新；暂停、手动刷新、切设备、再恢复。</t>
  </si>
  <si>
    <t>暂停停止自动轮询；手动刷新和切换仍可查；不多开重复轮询。</t>
  </si>
  <si>
    <t>请求时间与刷新状态</t>
  </si>
  <si>
    <t>监控总览采样间隔约10秒，选中设备信息稳定约2秒（切换初始另有立即请求）；暂停20秒无监控轮询，手动刷新及换设备仍可用，恢复后重新轮询。</t>
  </si>
  <si>
    <t>第五、六轮证据：monitor-poll-running.json；monitor-poll-intervals.json；monitor-poll-paused.json；monitor-paused-manual.txt；monitor-paused-switch.txt；monitor-info-recovered.txt</t>
  </si>
  <si>
    <t>OPS-23</t>
  </si>
  <si>
    <t>快速切换设备不串读数</t>
  </si>
  <si>
    <t>甲设备读取延迟时切换乙设备，再让甲响应到达。</t>
  </si>
  <si>
    <t>乙详情不被甲旧响应覆盖；筛选为空不留旧读数。</t>
  </si>
  <si>
    <t>两设备ID、响应顺序、页面</t>
  </si>
  <si>
    <t>挂起光电97debf78的information响应，切到天气QA0927-R5-WEATHER-01后放行成功，网络确认旧请求完成；当前运行信息仍天气且不带光电读数。筛选无匹配设备后旧值清空。首次失效拦截不计通过，最终有效注入单列。</t>
  </si>
  <si>
    <t>第五、六轮证据：r6-monitor-late-fast.json；r6-monitor-late-fast-completed.json；r6-monitor-empty-filter.txt</t>
  </si>
  <si>
    <t>OPS-24</t>
  </si>
  <si>
    <t>读取失败不能留成实时成功</t>
  </si>
  <si>
    <t>制造当前设备信息接口失败后恢复。</t>
  </si>
  <si>
    <t>旧读数清理或明确标失效，错误独立提示并可重试，不编造正常。</t>
  </si>
  <si>
    <t>失败/恢复响应、页面状态</t>
  </si>
  <si>
    <t>已加载天气设备信息后阻断information请求再手动刷新：旧信息清空并明确请求失败HTTP0；解除阻断后恢复。未保留旧值冒充正常。</t>
  </si>
  <si>
    <t>第五、六轮证据：monitor-info-failed.txt；monitor-info-recovered.txt</t>
  </si>
  <si>
    <t>OPS-25</t>
  </si>
  <si>
    <t>不同协议按各自时限离线</t>
  </si>
  <si>
    <t>MQTT工参与光电心跳分别暂停；开测先记录实际配置。</t>
  </si>
  <si>
    <t>分别按本协议时限判断，不套用同一值；默认MQTT工参30秒、EO心跳3秒，非保证实时无延迟。</t>
  </si>
  <si>
    <t>协议、配置、末心跳与离线时间</t>
  </si>
  <si>
    <t>第五轮MQTT停止后超过30秒离线；本轮光电每秒心跳，第30–50秒停报，33.1秒采样OFFLINE（心跳龄3874ms），51.7秒恢复ONLINE（龄766ms），健康始终UNKNOWN。42次实际回读。</t>
  </si>
  <si>
    <t>第五、六轮证据：device-lifecycle-r5.jsonl；r6-eo-lifecycle.jsonl；r6-eo-final.json；r6-eo-monitor-recovery.txt</t>
  </si>
  <si>
    <t>OPS-26</t>
  </si>
  <si>
    <t>异常事件不重复生成</t>
  </si>
  <si>
    <t>让同设备同类心跳超时持续多个检查周期。</t>
  </si>
  <si>
    <t>同类未恢复异常不重复创建；不同异常不可误合并。</t>
  </si>
  <si>
    <t>设备与事件ID、周期记录</t>
  </si>
  <si>
    <t>OPS-27</t>
  </si>
  <si>
    <t>恢复心跳只证明连接恢复</t>
  </si>
  <si>
    <t>MQTT超时后恢复新鲜心跳，但健康仍未知。</t>
  </si>
  <si>
    <t>连接事件按条件可核验恢复；设备整体运维完成仍不能仅靠心跳通过。</t>
  </si>
  <si>
    <t>新心跳、事件核验、健康字段</t>
  </si>
  <si>
    <t>OPS-28</t>
  </si>
  <si>
    <t>当前目标与历史目标分开</t>
  </si>
  <si>
    <t>发送感知目标后停发，设备心跳继续。</t>
  </si>
  <si>
    <t>目标显示最后观测/过期事实；不能把心跳当成目标仍实时上报。</t>
  </si>
  <si>
    <t>目标与心跳两组时间</t>
  </si>
  <si>
    <t>OPS-29</t>
  </si>
  <si>
    <t>长告警列表明确展示范围</t>
  </si>
  <si>
    <t>准备超过20条可见待处理异常，按级别筛选并定位设备。</t>
  </si>
  <si>
    <t>总数和当前显示范围明确；最近20条不冒充全部，定位设备正确。</t>
  </si>
  <si>
    <t>事件总数、展示提示、定位ID</t>
  </si>
  <si>
    <t>OPS-30</t>
  </si>
  <si>
    <t>协议不支持重启或急停</t>
  </si>
  <si>
    <t>对未声明重启/急停的测试协议尝试现有对应入口。</t>
  </si>
  <si>
    <t>不可用原因清楚；不伪造重启或急停成功。四通道全关与射频停机核查分开。</t>
  </si>
  <si>
    <t>能力说明、拒绝响应、设备回执</t>
  </si>
  <si>
    <t>OPS-31</t>
  </si>
  <si>
    <t>接入调测</t>
  </si>
  <si>
    <t>支持的TCP设备完整调测</t>
  </si>
  <si>
    <t>测试TCP设备依次创建任务、连接、保存参数、开始、查看报告。</t>
  </si>
  <si>
    <t>按状态逐步推进，202只表示受理；结果由协议检测产生。</t>
  </si>
  <si>
    <t>任务、状态事件、报告</t>
  </si>
  <si>
    <t>OPS-32</t>
  </si>
  <si>
    <t>主动上报协议不假装调测</t>
  </si>
  <si>
    <t>选task_supported=false的MQTT设备查看接入诊断。</t>
  </si>
  <si>
    <t>不创建不支持的调测任务，改查工参/样本/接收状态，不给虚假通过。</t>
  </si>
  <si>
    <t>能力字段、诊断样本</t>
  </si>
  <si>
    <t>在后台查看MQTT雷达、5G-A和光电主动上报设备，明确提示不支持创建调测任务、应核对工参与报文字段，任务及报告0条。结合第四轮MQTT创建409 PROTOCOL_UNSUPPORTED，未伪造调测通过。</t>
  </si>
  <si>
    <t>第五、六轮证据：commission-qa-radar.txt；commission-eo.txt；commission-eo.png</t>
  </si>
  <si>
    <t>OPS-33</t>
  </si>
  <si>
    <t>跳步骤不能执行</t>
  </si>
  <si>
    <t>创建任务后绕过连接尝试保存或开始；开发协助接口验证。</t>
  </si>
  <si>
    <t>服务端拒绝非法跳步，状态不变。</t>
  </si>
  <si>
    <t>非法动作响应、任务版本</t>
  </si>
  <si>
    <t>OPS-34</t>
  </si>
  <si>
    <t>取消未结束任务</t>
  </si>
  <si>
    <t>在连接中或调测中取消专用测试任务，再等待迟到回执。</t>
  </si>
  <si>
    <t>取消按当前契约生效，迟到结果不将已取消任务改成成功。</t>
  </si>
  <si>
    <t>取消时间、回执、终态</t>
  </si>
  <si>
    <t>OPS-35</t>
  </si>
  <si>
    <t>重新调测保留旧报告</t>
  </si>
  <si>
    <t>失败任务创建同设备新任务，关联前次任务；再试关联另一设备。</t>
  </si>
  <si>
    <t>同设备历史链保留，跨设备前次任务拒绝；旧报告不覆盖。</t>
  </si>
  <si>
    <t>新旧任务ID、前次关联</t>
  </si>
  <si>
    <t>OPS-36</t>
  </si>
  <si>
    <t>配置快照不随台账漂移</t>
  </si>
  <si>
    <t>任务建立并保存参数后，经获准方式修改设备后续配置。</t>
  </si>
  <si>
    <t>旧任务的来源、协议、参数和安全范围仍是当时快照。</t>
  </si>
  <si>
    <t>任务快照、台账新版本</t>
  </si>
  <si>
    <t>OPS-37</t>
  </si>
  <si>
    <t>连接失败不回退模拟成功</t>
  </si>
  <si>
    <t>live测试设备配置不可达地址或协议错误，再做调测。</t>
  </si>
  <si>
    <t>失败或不可判定如实显示，不切mock补成功。</t>
  </si>
  <si>
    <t>来源、错误、报告标记</t>
  </si>
  <si>
    <t>127.0.0.1:65431无监听的独立TCP设备连接失败，CT-1790514195401-5D7CBD报告UNTESTABLE / Connection refused，source=live、simulated=false，没有模拟成功兜底；测试后设备已停用。</t>
  </si>
  <si>
    <t>第五、六轮证据：r6-tcp-untestable.txt；r6-tcp-report.txt；r6-tcp-report.png；r6-tcp-disabled.txt</t>
  </si>
  <si>
    <t>OPS-38</t>
  </si>
  <si>
    <t>雷达待机没有点迹</t>
  </si>
  <si>
    <t>雷达通信正常但待机，不产生业务点迹或航迹。</t>
  </si>
  <si>
    <t>区分连接通过与业务数据不可判定；不将没有业务帧当完整通过。</t>
  </si>
  <si>
    <t>工作模式、原始样本、分项报告</t>
  </si>
  <si>
    <t>OPS-39</t>
  </si>
  <si>
    <t>四通道只读调测边界</t>
  </si>
  <si>
    <t>对测试四通道设备执行接入调测并检查收发报文。</t>
  </si>
  <si>
    <t>调测只查询状态，不因检查自动开启通道；报告通过不代表射频已验证。</t>
  </si>
  <si>
    <t>原始报文、通道状态、报告</t>
  </si>
  <si>
    <t>OPS-40</t>
  </si>
  <si>
    <t>进行中不能串设备和报告</t>
  </si>
  <si>
    <t>任务进行中尝试切另一设备，结束后查两台设备的历史。</t>
  </si>
  <si>
    <t>按当前规则阻止切换；报告、日志和设备ID始终对应，长日志能查看。</t>
  </si>
  <si>
    <t>任务设备对应、页面提示</t>
  </si>
  <si>
    <t>OPS-41</t>
  </si>
  <si>
    <t>维护工作流</t>
  </si>
  <si>
    <t>前台报修生成后台同一待办</t>
  </si>
  <si>
    <t>在前台计划未见目标且设备异常场景发通知，快速重复操作。</t>
  </si>
  <si>
    <t>后台关联同设备和原事项；防重，不因报修直接改设备正常。</t>
  </si>
  <si>
    <t>前台来源ID、维护任务ID、通知记录</t>
  </si>
  <si>
    <t>OPS-42</t>
  </si>
  <si>
    <t>开始处理记录真实人员</t>
  </si>
  <si>
    <t>两账号同时开始同一待处理任务。</t>
  </si>
  <si>
    <t>只一次有效状态推进，处理人正确；另一账号看到冲突或最新状态。</t>
  </si>
  <si>
    <t>版本、处理人、事件数</t>
  </si>
  <si>
    <t>第八轮：两名已有设备操作权限测试账号同时START同一专用模拟设备待办；一方200另一方409，仅一次START事件且处理人正确，状态PROCESSING。未声明设备已修复。</t>
  </si>
  <si>
    <t>r8-maintenance-concurrency.json</t>
  </si>
  <si>
    <t>OPS-43</t>
  </si>
  <si>
    <t>保存进展不等于完成</t>
  </si>
  <si>
    <t>处理中填写空白、1字、正常说明、超过1000字。</t>
  </si>
  <si>
    <t>按2–1000字校验；有效说明追加历史，不将任务办结。</t>
  </si>
  <si>
    <t>输入长度、事件及任务状态</t>
  </si>
  <si>
    <t>页面空白及1字时保存禁用；1001字提交显示“说明最多1000字”且未追加历史。有效QA0927R5说明保存后仅增加1条处理进展，任务仍处理中，原UNKNOWN核验和旧历史保留。</t>
  </si>
  <si>
    <t>第五、六轮证据：progress-validation.json；maintenance-final-ui.txt；maintenance-progress-saved.txt；maintenance-final-ui.png</t>
  </si>
  <si>
    <t>OPS-44</t>
  </si>
  <si>
    <t>关联调测不能偷偷启动</t>
  </si>
  <si>
    <t>关联同设备同来源的可见调测；再试跨设备/来源或无commissioning.read账号。</t>
  </si>
  <si>
    <t>合法关联只建立关系；错误关联或缺权拒绝，不启动新调测。</t>
  </si>
  <si>
    <t>关联ID、权限、设备命令计数</t>
  </si>
  <si>
    <t>OPS-45</t>
  </si>
  <si>
    <t>活动指令阻止提交核验</t>
  </si>
  <si>
    <t>设备仍有执行中指令、调测或跟踪，尝试提交恢复核验。</t>
  </si>
  <si>
    <t>指出未结束工作并阻止提交；不替用户自动结束任务。</t>
  </si>
  <si>
    <t>活动任务ID、阻断原因</t>
  </si>
  <si>
    <t>OPS-46</t>
  </si>
  <si>
    <t>有未恢复异常不能完成</t>
  </si>
  <si>
    <t>设备在线GOOD，但保留一个未恢复异常事件。</t>
  </si>
  <si>
    <t>须先完成设备异常核验；维护流程不能替代关闭异常。</t>
  </si>
  <si>
    <t>异常ID、核验结果、完成拒绝</t>
  </si>
  <si>
    <t>OPS-47</t>
  </si>
  <si>
    <t>旧数据或未来数据不能恢复</t>
  </si>
  <si>
    <t>分别使用报修前状态、超过300秒状态、未来心跳。</t>
  </si>
  <si>
    <t>缺报修后新鲜可信依据，结果UNKNOWN；不允许完成。</t>
  </si>
  <si>
    <t>报修时间、状态/心跳时刻、原因</t>
  </si>
  <si>
    <t>OPS-48</t>
  </si>
  <si>
    <t>在线但健康未知不能恢复</t>
  </si>
  <si>
    <t>只恢复心跳，健康或有无告警字段缺失。</t>
  </si>
  <si>
    <t>核验UNKNOWN，不用在线代替整体健康。</t>
  </si>
  <si>
    <t>状态字段、核验结果</t>
  </si>
  <si>
    <t>向同一replay设备发送一条协议有效工参。报修后新鲜心跳、ONLINE、has_alarm=false，但health=UNKNOWN。维护核验返回UNKNOWN且明确说明整体健康未知；完成请求409。接口用例通过，未伪造健康GOOD。</t>
  </si>
  <si>
    <t>第四轮 fresh-unknown-health.json、api-checks.json、maintenance-final.json</t>
  </si>
  <si>
    <t>OPS-49</t>
  </si>
  <si>
    <t>停用或仍异常不能恢复</t>
  </si>
  <si>
    <t>设备停用、离线、非GOOD或明确有告警，分别留子批次。</t>
  </si>
  <si>
    <t>相应核验失败并解释；不改成已完成。</t>
  </si>
  <si>
    <t>各批次状态及失败原因</t>
  </si>
  <si>
    <t>OPS-50</t>
  </si>
  <si>
    <t>来源改变不能冒充恢复</t>
  </si>
  <si>
    <t>报修后尝试把原设备数据换为不同source_mode或模拟标记。</t>
  </si>
  <si>
    <t>核验UNKNOWN，来源不一致不能用模拟结果证明真设备修好。</t>
  </si>
  <si>
    <t>报修来源快照、当前来源</t>
  </si>
  <si>
    <t>OPS-51</t>
  </si>
  <si>
    <t>核验通过后仍需确认完成</t>
  </si>
  <si>
    <t>新鲜在线GOOD无告警，无未恢复事件和活动工作，进行核验。</t>
  </si>
  <si>
    <t>PASS后仍待恢复核验；填写完成说明、再次检查通过才完成。</t>
  </si>
  <si>
    <t>PASS时间、完成事件、设备事实</t>
  </si>
  <si>
    <t>OPS-52</t>
  </si>
  <si>
    <t>核验通过超过5分钟再完成</t>
  </si>
  <si>
    <t>取得PASS后保持新鲜设备上报，但等原核验超过300秒再点完成。</t>
  </si>
  <si>
    <t>原PASS失效，要求重新核验；不能只看设备在线自动办结。</t>
  </si>
  <si>
    <t>原核验与提交时间、拒绝结果</t>
  </si>
  <si>
    <t>OPS-53</t>
  </si>
  <si>
    <t>核验后再坏不能完成</t>
  </si>
  <si>
    <t>PASS后、完成前重新产生异常或停止有效上报。</t>
  </si>
  <si>
    <t>完成时重新检查并拒绝；旧PASS不能盖住当前问题。</t>
  </si>
  <si>
    <t>两次状态、完成拒绝</t>
  </si>
  <si>
    <t>OPS-54</t>
  </si>
  <si>
    <t>失败后恢复处理再核验</t>
  </si>
  <si>
    <t>待核验失败后点恢复处理，追加进展，再提交核验。</t>
  </si>
  <si>
    <t>回到处理中，当前核验摘要清除，旧失败事件保留；新一轮独立检查。</t>
  </si>
  <si>
    <t>各阶段版本与历史事件</t>
  </si>
  <si>
    <t>既有QA维护任务保留此前UNKNOWN和进展，本轮再次提交→核验UNKNOWN→继续处理，返回IN_PROGRESS且清除当前核验摘要，21:24/21:25/21:26新事件与旧历史独立保留。</t>
  </si>
  <si>
    <t>第五、六轮证据：r6-maintenance-retry-readback.txt；r6-maintenance-unknown.txt；r6-maintenance-resumed.txt</t>
  </si>
  <si>
    <t>OPS-55</t>
  </si>
  <si>
    <t>重试和旧接口不能绕过流程</t>
  </si>
  <si>
    <t>同请求同键重复，再用同键不同内容及旧handling入口提交。</t>
  </si>
  <si>
    <t>同请求不重复事件且按当前权限返回最新状态；不同内容/旧接口拒绝。</t>
  </si>
  <si>
    <t>请求键、事件数、拒绝码</t>
  </si>
  <si>
    <t>START同键重放返回当前PROCESSING版本3及原2条事件；同键改进展说明409 KEY_REUSED；旧handling返回409 WORKFLOW_REQUIRED。当前授权账号下的接口用例通过。</t>
  </si>
  <si>
    <t>第四轮 api-checks.json、maintenance-concurrency.json、maintenance-final.json、assertions.json</t>
  </si>
  <si>
    <t>OPS-56</t>
  </si>
  <si>
    <t>完成与历史反馈分别展示</t>
  </si>
  <si>
    <t>查看COMPLETED、LEGACY_HANDLED及各处理中阶段，组合状态筛选。</t>
  </si>
  <si>
    <t>历史已反馈不补造恢复PASS；完成及历史只读；未完成覆盖处理中/待核验且总数一致。</t>
  </si>
  <si>
    <t>状态、筛选总数、历史核验</t>
  </si>
  <si>
    <t>OPS-57</t>
  </si>
  <si>
    <t>站内消息与通知</t>
  </si>
  <si>
    <t>读取消息不等于标已读</t>
  </si>
  <si>
    <t>打开消息列表、刷新分页，另一页面查看未读数和任务。</t>
  </si>
  <si>
    <t>GET不改变已读、任务状态、版本及通知回执。</t>
  </si>
  <si>
    <t>读取前后时间与未读数</t>
  </si>
  <si>
    <t>第八轮：正式API反复GET未改变任何已读时间、未读数或任务版本；第二操作员标记本轮专用任务已读后重复提交仍保留同一首次时间，管理员消息不变，任务仍PROCESSING版本13。</t>
  </si>
  <si>
    <t>r8-message-read-isolation.json；r8-maintenance-readonly.json</t>
  </si>
  <si>
    <t>OPS-58</t>
  </si>
  <si>
    <t>各账号已读互不影响</t>
  </si>
  <si>
    <t>甲标记已读，再重复标记，乙账号查看同任务。</t>
  </si>
  <si>
    <t>甲保留第一次已读时间；乙仍按自身已读状态；任务未因此完成。</t>
  </si>
  <si>
    <t>两账号已读时间、任务状态</t>
  </si>
  <si>
    <t>OPS-59</t>
  </si>
  <si>
    <t>消息定位到同一设备待办</t>
  </si>
  <si>
    <t>点击可见维护消息进入接入调测，再返回列表。</t>
  </si>
  <si>
    <t>定位同任务同设备；设备已删或权限改变时说明原因，不换成别的设备。</t>
  </si>
  <si>
    <t>消息、路由、任务及设备ID</t>
  </si>
  <si>
    <t>OPS-60</t>
  </si>
  <si>
    <t>通知状态及历史送达不混淆</t>
  </si>
  <si>
    <t>准备未发送、结果未知、提交、送达、失败及迟到回执记录。</t>
  </si>
  <si>
    <t>状态分别显示；后一次失败不抹掉先前送达，模拟不冒充真实送达。</t>
  </si>
  <si>
    <t>通知快照、每次投递和回执</t>
  </si>
  <si>
    <t>OPS-61</t>
  </si>
  <si>
    <t>前后台一致与恢复</t>
  </si>
  <si>
    <t>后台修好后前台同步</t>
  </si>
  <si>
    <t>按F33完成后台恢复，回到原飞行计划、设备点和异常记录。</t>
  </si>
  <si>
    <t>按同设备当前事实更新；历史报修和通知保留，修好不等于无人机已经起飞。</t>
  </si>
  <si>
    <t>同设备前后台状态与时间</t>
  </si>
  <si>
    <t>OPS-62</t>
  </si>
  <si>
    <t>保存时断网先查结果</t>
  </si>
  <si>
    <t>在开始、提交核验、完成等提交后模拟响应丢失，再恢复。</t>
  </si>
  <si>
    <t>先回查原请求和当前版本，不重复推进或凭页面超时当失败。</t>
  </si>
  <si>
    <t>请求键、状态、事件条数</t>
  </si>
  <si>
    <t>OPS-63</t>
  </si>
  <si>
    <t>离开页面及服务恢复</t>
  </si>
  <si>
    <t>调测/维护进行中关闭页面，测试环境服务恢复后重新登录。</t>
  </si>
  <si>
    <t>查询持久状态和原任务，不重复创建；未取得设备结果仍显示未知/处理中。</t>
  </si>
  <si>
    <t>任务ID、恢复前后事件、状态</t>
  </si>
  <si>
    <t>全过程审计可追溯</t>
  </si>
  <si>
    <t>从接入、启停、调测到维护完成，再按设备和任务查看审计。</t>
  </si>
  <si>
    <t>账号、时间、对象、动作、结果可对应；拒绝与失败留痕，不记录凭据原文。</t>
  </si>
  <si>
    <t>审计ID、设备/任务/命令对应</t>
  </si>
  <si>
    <t>21:24提交/21:25核验/21:26继续处理均有真实审计，数据库含正确object_type/object_id；页面动作统一“未配置名称的操作”，详情不显示设备/任务标识、无对象筛选，无法从页面准确关联。UNKNOWN核验原因本身保留。</t>
  </si>
  <si>
    <t>第五、六轮证据：r6-audit-list.txt；r6-audit-maintenance-detail.txt；r6-audit-verification-detail.txt；r6-audit-maintenance-db.csv</t>
  </si>
  <si>
    <t>累计实际执行与证据 第一至第四轮</t>
  </si>
  <si>
    <t>2026-09-27，北京时间。只记录，不修复。以下子检查通过不代表其所属整条用例或业务流程通过。</t>
  </si>
  <si>
    <t>记录编号</t>
  </si>
  <si>
    <t>关联范围</t>
  </si>
  <si>
    <t>执行内容</t>
  </si>
  <si>
    <t>实际结果</t>
  </si>
  <si>
    <t>结论</t>
  </si>
  <si>
    <t>证据文件（见下方目录）</t>
  </si>
  <si>
    <t>下一步/限制</t>
  </si>
  <si>
    <t>RUN-01</t>
  </si>
  <si>
    <t>环境</t>
  </si>
  <si>
    <t>打开5173前台、5175后台、8766模拟器</t>
  </si>
  <si>
    <t>三个页面均正常加载；均未登录。</t>
  </si>
  <si>
    <t>front-help.png；admin-login.png；sim-inbox.txt</t>
  </si>
  <si>
    <t>仅证明页面可打开，不代表后端全流程可用。</t>
  </si>
  <si>
    <t>RUN-02</t>
  </si>
  <si>
    <t>AUTH-02空字段</t>
  </si>
  <si>
    <t>清空前台字段后，用键盘提交；填写虚构账号后保持密码为空再提交</t>
  </si>
  <si>
    <t>分别提示“请输入登录账号。”与“请输入密码。”。</t>
  </si>
  <si>
    <t>front-empty-account.txt；front-empty-password.txt</t>
  </si>
  <si>
    <t>未覆盖停用账号、有效账号恢复。</t>
  </si>
  <si>
    <t>RUN-03</t>
  </si>
  <si>
    <t>AUTH-02无效账号</t>
  </si>
  <si>
    <t>输入QA-NONEXIST-20260927及非凭据测试字符串，提交</t>
  </si>
  <si>
    <t>显示“账号或密码错误”，仍停留登录页。</t>
  </si>
  <si>
    <t>front-invalid-account.txt；front-invalid-account.png</t>
  </si>
  <si>
    <t>未使用或猜测任何真实账号密码。</t>
  </si>
  <si>
    <t>RUN-04</t>
  </si>
  <si>
    <t>前台忘记密码</t>
  </si>
  <si>
    <t>聚焦忘记密码后按Enter</t>
  </si>
  <si>
    <t>弹出联系系统管理员说明及只记账号不存密码提示。</t>
  </si>
  <si>
    <t>front-help.txt；front-help.png</t>
  </si>
  <si>
    <t>早先鼠标操作无响应尚未稳定复现，未列为产品缺陷。</t>
  </si>
  <si>
    <t>RUN-05</t>
  </si>
  <si>
    <t>后台登录</t>
  </si>
  <si>
    <t>账号和密码清空后提交</t>
  </si>
  <si>
    <t>出现“请输入账号”“请输入密码”，未进入管理页面。</t>
  </si>
  <si>
    <t>admin-empty-fields.txt；admin-empty-fields.png</t>
  </si>
  <si>
    <t>不同角色的成功登录尚未验证。</t>
  </si>
  <si>
    <t>RUN-06</t>
  </si>
  <si>
    <t>AUTH/OPS访问保护</t>
  </si>
  <si>
    <t>未登录访问前台合法性页及后台设备管理、实时监测、接入调测</t>
  </si>
  <si>
    <t>全部回登录页；后台redirect分别保留对应运维地址。</t>
  </si>
  <si>
    <t>route-guards.json；admin-monitor-guard.txt；admin-commission-guard.txt</t>
  </si>
  <si>
    <t>仅未登录变体，不代表已登录角色/范围隔离通过。</t>
  </si>
  <si>
    <t>RUN-07</t>
  </si>
  <si>
    <t>OPS接口访问保护</t>
  </si>
  <si>
    <t>无Authorization读取9个已核对路由的只读接口</t>
  </si>
  <si>
    <t>9个接口全部401：身份、设备、监测概览/树、维护待办/消息、调测、连接配置、感知目标。</t>
  </si>
  <si>
    <t>unauth-api.json</t>
  </si>
  <si>
    <t>未检查登录后对象级越权；无写操作。</t>
  </si>
  <si>
    <t>RUN-08</t>
  </si>
  <si>
    <t>模拟器收件箱</t>
  </si>
  <si>
    <t>未登录打开收件箱并切换飞手短信</t>
  </si>
  <si>
    <t>显示“请先登录本机测试系统，读取通知与业务资料。”；没有冒充收信成功。</t>
  </si>
  <si>
    <t>sim-inbox.txt；sim-inbox.png</t>
  </si>
  <si>
    <t>未核对实际通知送达、播放和回执。</t>
  </si>
  <si>
    <t>RUN-09</t>
  </si>
  <si>
    <t>后台页面标题</t>
  </si>
  <si>
    <t>初次打开、刷新及三种运维深链回登录</t>
  </si>
  <si>
    <t>标题“登录 - undefined”重复出现。</t>
  </si>
  <si>
    <t>admin-title.txt；admin-login.png</t>
  </si>
  <si>
    <t>BUG-001；尚未修改。</t>
  </si>
  <si>
    <t>RUN-10</t>
  </si>
  <si>
    <t>打开地图并读取控制台</t>
  </si>
  <si>
    <t>3个theme-tex纹理缺失告警；地图最终加载，视觉影响待核实。</t>
  </si>
  <si>
    <t>sim-console.json</t>
  </si>
  <si>
    <t>OBS-001；不计为已证实业务故障。</t>
  </si>
  <si>
    <t>RUN-11</t>
  </si>
  <si>
    <t>后台现有自动化</t>
  </si>
  <si>
    <t>运行10个指定Vitest测试文件</t>
  </si>
  <si>
    <t>共51项通过、0失败、0跳过。涵盖设备权限/删除/资料、维护调测/消息/工作流、监测、自动规则、认证路由。</t>
  </si>
  <si>
    <t>admin-unit-results.json</t>
  </si>
  <si>
    <t>本地组件/模型检查，不能代替真实后端、设备或完整业务流程。</t>
  </si>
  <si>
    <t>RUN-12</t>
  </si>
  <si>
    <t>第一轮流程准备</t>
  </si>
  <si>
    <t>第一轮尝试F01规则准备和F31设备准备</t>
  </si>
  <si>
    <t>当时缺有效账号。第二轮用户已提供且前后台登录成功，BLOCK-001解除。</t>
  </si>
  <si>
    <t>BLOCK-001；第一轮admin-login.png</t>
  </si>
  <si>
    <t>此行为账号准备复核通过，不表示F01/F31通过；当前阻塞见BLOCK-002。</t>
  </si>
  <si>
    <t>证据目录：C:/Users/Admin（无密码）/.codex/visualizations/2026/09/27/01a0e0b7-3c23-7c00-aeba-e67e75596ac8/qa-20260927</t>
  </si>
  <si>
    <t>未改代码、配置、权限或业务记录；未启动模拟、未发通知、未操作设备。第二轮只登录与读取，认证会话/访问审计属于正常副作用。</t>
  </si>
  <si>
    <t>第二轮：账号已验证，数据库服务中断</t>
  </si>
  <si>
    <t>RUN-13</t>
  </si>
  <si>
    <t>AUTH-01登录部分</t>
  </si>
  <si>
    <t>使用用户提供的账号登录前台</t>
  </si>
  <si>
    <t>进入#/legality，显示超级管理员及8个业务导航，合法性列表0条。</t>
  </si>
  <si>
    <t>login-observation.json</t>
  </si>
  <si>
    <t>只验证成功登录；刷新受环境中断影响，AUTH-01整项仍暂时测不了。</t>
  </si>
  <si>
    <t>RUN-14</t>
  </si>
  <si>
    <t>后台登录和运维入口</t>
  </si>
  <si>
    <t>同账号登录后台，进入设备接入调测</t>
  </si>
  <si>
    <t>显示超级管理员、17台设备及真实接入诊断，后台会话可读。标题仍带undefined。</t>
  </si>
  <si>
    <t>login-observation.json；admin-service-error.txt</t>
  </si>
  <si>
    <t>无权/只读/跨范围账号尚未准备，不能认定权限全覆盖。</t>
  </si>
  <si>
    <t>RUN-15</t>
  </si>
  <si>
    <t>主动上报协议诊断</t>
  </si>
  <si>
    <t>查看已存在的模拟5G-A设备sim-0926151251-e9c9-1</t>
  </si>
  <si>
    <t>显示模拟数据、MQTT主动上报、不支持创建TCP式调测任务。尚未收到有效工参，必填项0/9，连接与设备状态分开展示。</t>
  </si>
  <si>
    <t>只读检查单台历史设备；未创建新调测，未验证实时恢复。</t>
  </si>
  <si>
    <t>RUN-16</t>
  </si>
  <si>
    <t>NET异常提示</t>
  </si>
  <si>
    <t>数据库不可用时刷新前台并读取后台、登录模拟器</t>
  </si>
  <si>
    <t>前台提示响应超时并保留会话；后台提示后端无法连接；模拟器明确连接失败。</t>
  </si>
  <si>
    <t>front-backend-timeout.png；admin-service-error.png；sim-login-error.png</t>
  </si>
  <si>
    <t>通过仅指没有伪报正常；服务中断本身为BLOCK-002。</t>
  </si>
  <si>
    <t>RUN-17</t>
  </si>
  <si>
    <t>环境故障定位</t>
  </si>
  <si>
    <t>限时接口探测、检查进程/端口及数据库异常日志</t>
  </si>
  <si>
    <t>8081与8766仍监听，25432无监听。后台日志为数据库Connection refused与Hikari连接池约30秒超时。独立登录请求6秒、7秒限时均超时。</t>
  </si>
  <si>
    <t>database-connection-errors.txt；service-status.json；login-probe.json</t>
  </si>
  <si>
    <t>未重启。需要恢复现有数据库运行后才能继续业务流程；不清库、不重建。</t>
  </si>
  <si>
    <t>第二轮证据目录：C:/Users/Admin（无密码）/.codex/visualizations/2026/09/27/01a0e0b7-3c23-7c00-aeba-e67e75596ac8/qa-20260927-round2</t>
  </si>
  <si>
    <t>第三轮：环境恢复与设备离线恢复接口测试</t>
  </si>
  <si>
    <t>证据文件（第三轮）</t>
  </si>
  <si>
    <t>RUN-18</t>
  </si>
  <si>
    <t>恢复原数据库和MQTT容器</t>
  </si>
  <si>
    <t>Docker29.6.2；数据库ready；后端UP；认证及设备接口200。</t>
  </si>
  <si>
    <t>environment-recovered.json</t>
  </si>
  <si>
    <t>Docker设置EnableDockerAI改为false，运行时目录已备份。未清库。</t>
  </si>
  <si>
    <t>RUN-19</t>
  </si>
  <si>
    <t>修复后台页签默认平台名称</t>
  </si>
  <si>
    <t>添加默认值，管理端lint、25个测试文件107项测试、build通过。</t>
  </si>
  <si>
    <t>待页面复测</t>
  </si>
  <si>
    <t>admin-verification.json</t>
  </si>
  <si>
    <t>浏览器权限阻止实际页面复测。</t>
  </si>
  <si>
    <t>RUN-20</t>
  </si>
  <si>
    <t>重试前后台页面访问</t>
  </si>
  <si>
    <t>前台保存的禁止设置仍生效，后台也拒绝访问。</t>
  </si>
  <si>
    <t>问题记录BLOCK-003</t>
  </si>
  <si>
    <t>需实际更改Codex站点权限。</t>
  </si>
  <si>
    <t>RUN-21</t>
  </si>
  <si>
    <t>自动/手动流程准备</t>
  </si>
  <si>
    <t>读取三组自动规则执行状态</t>
  </si>
  <si>
    <t>verify/counter/dispose均DISABLED，配置不会触发自动动作。</t>
  </si>
  <si>
    <t>未完成</t>
  </si>
  <si>
    <t>baseline.json</t>
  </si>
  <si>
    <t>须在隔离测试配置中启用对应引擎并完成场景前置，不能只测试保存。</t>
  </si>
  <si>
    <t>RUN-22</t>
  </si>
  <si>
    <t>F32首报</t>
  </si>
  <si>
    <t>新增一个replay雷达并发送有效工参</t>
  </si>
  <si>
    <t>设备ONLINE，健康UNKNOWN，未声称整体健康。</t>
  </si>
  <si>
    <t>device-lifecycle.json</t>
  </si>
  <si>
    <t>本批次不含目标和计划，不计完整F32通过。</t>
  </si>
  <si>
    <t>RUN-23</t>
  </si>
  <si>
    <t>F32停报及去重</t>
  </si>
  <si>
    <t>第35秒停止上报，跨多个周期读取</t>
  </si>
  <si>
    <t>30秒无工参后OFFLINE；第69秒及101秒只有同一条离线事件。</t>
  </si>
  <si>
    <t>前台告警显示仍未验收。</t>
  </si>
  <si>
    <t>RUN-24</t>
  </si>
  <si>
    <t>F32异常保护</t>
  </si>
  <si>
    <t>离线核验恢复并验证不支持的重启</t>
  </si>
  <si>
    <t>恢复核验FAIL；重启409 REBOOT_NOT_SUPPORTED，未伪造指令成功。</t>
  </si>
  <si>
    <t>device-actions.json</t>
  </si>
  <si>
    <t>仅测试LINGYUN MQTT离线事件。</t>
  </si>
  <si>
    <t>RUN-25</t>
  </si>
  <si>
    <t>F32恢复及幂等</t>
  </si>
  <si>
    <t>恢复有效心跳，再核验，同键重复</t>
  </si>
  <si>
    <t>ONLINE后核验PASS，事件RECOVERED，重复结果一致。健康仍UNKNOWN。</t>
  </si>
  <si>
    <t>device-actions.json、incident-recovered.json</t>
  </si>
  <si>
    <t>离线恢复不等于维护待办完成。</t>
  </si>
  <si>
    <t>RUN-26</t>
  </si>
  <si>
    <t>OPS-57部分</t>
  </si>
  <si>
    <t>重复读取运维消息</t>
  </si>
  <si>
    <t>连续读取内容及未读数相同，未自动标已读。</t>
  </si>
  <si>
    <t>部分验证</t>
  </si>
  <si>
    <t>read-only-checks.json</t>
  </si>
  <si>
    <t>当前账号未读数为0，未覆盖有未读及不同账号。</t>
  </si>
  <si>
    <t>RUN-27</t>
  </si>
  <si>
    <t>测试收尾</t>
  </si>
  <si>
    <t>停止模拟发送，保留本批次事实</t>
  </si>
  <si>
    <t>本批次停止后不自动续发，设备随后再次离线属于预期；历史不删除。</t>
  </si>
  <si>
    <t>已停止</t>
  </si>
  <si>
    <t>simulator-stop.json、device-lifecycle.json</t>
  </si>
  <si>
    <t>设备529a027a-41bd-48bd-b13b-e5b3562d6e9a，批次sim-0927184141-d977。</t>
  </si>
  <si>
    <t>第三轮证据目录：C:/Users/Admin（无密码）/.codex/visualizations/2026/09/27/01a0e0b7-3c23-7c00-aeba-e67e75596ac8/qa-20260927-round3</t>
  </si>
  <si>
    <t>第四轮：设备接入与维护流程接口边界</t>
  </si>
  <si>
    <t>证据文件（第四轮）</t>
  </si>
  <si>
    <t>RUN-28</t>
  </si>
  <si>
    <t>MQTT设备尝试创建调测</t>
  </si>
  <si>
    <t>409 PROTOCOL_UNSUPPORTED；调测任务前后均为0。</t>
  </si>
  <si>
    <t>api-checks.json</t>
  </si>
  <si>
    <t>仅LINGYUN接口边界，未覆盖光电和界面。</t>
  </si>
  <si>
    <t>RUN-29</t>
  </si>
  <si>
    <t>重复接入及同键修改内容</t>
  </si>
  <si>
    <t>相同请求提示已提交；不同内容拒绝；回读单台设备，名称未变。</t>
  </si>
  <si>
    <t>不将409提示当成新建成功。</t>
  </si>
  <si>
    <t>RUN-30</t>
  </si>
  <si>
    <t>停用、旧版本启用、刷新版本启用</t>
  </si>
  <si>
    <t>旧版本409；正常请求成功，测试设备已恢复原启用状态。</t>
  </si>
  <si>
    <t>设备版本现为2，配置未改为其他来源。</t>
  </si>
  <si>
    <t>RUN-31</t>
  </si>
  <si>
    <t>F33报修子链</t>
  </si>
  <si>
    <t>为本轮异常设备报修并重复提交</t>
  </si>
  <si>
    <t>创建唯一任务，同键复用。接收单位未配置，通知NOT_SENT。</t>
  </si>
  <si>
    <t>new-maintenance-task.json</t>
  </si>
  <si>
    <t>使用既有历史replay计划，不能替代今日实时完整流程。</t>
  </si>
  <si>
    <t>RUN-32</t>
  </si>
  <si>
    <t>OPS-42 / F35部分</t>
  </si>
  <si>
    <t>同账号两个并发START</t>
  </si>
  <si>
    <t>一次200一次409，仅一个START事件，状态PROCESSING。</t>
  </si>
  <si>
    <t>maintenance-concurrency.json</t>
  </si>
  <si>
    <t>第二人员权限隔离未测。</t>
  </si>
  <si>
    <t>RUN-33</t>
  </si>
  <si>
    <t>说明长度与保存不办结</t>
  </si>
  <si>
    <t>空白、1字、1001字拒绝；有效说明追加，状态仍处理中。</t>
  </si>
  <si>
    <t>api-checks.json、invalid-input-unchanged.json</t>
  </si>
  <si>
    <t>页面输入行为未测。</t>
  </si>
  <si>
    <t>RUN-34</t>
  </si>
  <si>
    <t>旧请求重放及旧入口防绕过</t>
  </si>
  <si>
    <t>同键重放返回最新版本，不增事件；同键不同内容和旧handling拒绝。</t>
  </si>
  <si>
    <t>当前账号权限下的接口用例。</t>
  </si>
  <si>
    <t>RUN-35</t>
  </si>
  <si>
    <t>F34异常分支</t>
  </si>
  <si>
    <t>提交核验、UNKNOWN、拒绝完成、恢复处理</t>
  </si>
  <si>
    <t>缺报修后新鲜事实为UNKNOWN；完成409；RESUME保留旧历史并清摘要。</t>
  </si>
  <si>
    <t>maintenance-final.json</t>
  </si>
  <si>
    <t>任务未完成；缺取得PASS的真实模拟协议事实。</t>
  </si>
  <si>
    <t>RUN-36</t>
  </si>
  <si>
    <t>OPS-57/58</t>
  </si>
  <si>
    <t>读取消息及重复标已读</t>
  </si>
  <si>
    <t>GET保持消息不变；重复标记保留首次时间，任务状态未因此推进。</t>
  </si>
  <si>
    <t>第二账号、页面未读数及分页待测。</t>
  </si>
  <si>
    <t>RUN-37</t>
  </si>
  <si>
    <t>收尾与原数据保护</t>
  </si>
  <si>
    <t>核对原任务与本轮任务</t>
  </si>
  <si>
    <t>原任务PENDING版本1、0事件；补测健康未知后，本轮PROCESSING版本9、8事件。</t>
  </si>
  <si>
    <t>round-summary.json、assertions.json</t>
  </si>
  <si>
    <t>本轮待办保留用于后续界面复测，不伪造恢复或删除历史。</t>
  </si>
  <si>
    <t>RUN-38</t>
  </si>
  <si>
    <t>新鲜在线但健康未知</t>
  </si>
  <si>
    <t>给同一replay设备发有效工参，ONLINE但health=UNKNOWN。核验UNKNOWN、完成409、恢复处理保留历史。</t>
  </si>
  <si>
    <t>fresh-unknown-health.json、api-checks.json</t>
  </si>
  <si>
    <t>只发一条协议报文，无持续发送任务；随后再次超时离线属于预期。</t>
  </si>
  <si>
    <t>第四轮证据目录：C:/Users/Admin（无密码）/.codex/visualizations/2026/09/27/01a0e0b7-3c23-7c00-aeba-e67e75596ac8/qa-20260927-round4</t>
  </si>
  <si>
    <t>第五轮：2026-09-27，北京时间。环境恢复、真实页面与隔离自动测试；以下通过均注明范围。</t>
  </si>
  <si>
    <t>RUN-39</t>
  </si>
  <si>
    <t>环境恢复</t>
  </si>
  <si>
    <t>恢复原Docker、PostgreSQL、MQTT、后台、模拟器及Java服务</t>
  </si>
  <si>
    <t>原2用户18设备仍在；启动后四入口200。原业务库未重建；Java使用ASCII临时目录。</t>
  </si>
  <si>
    <t>第五、六轮证据：reachability.json</t>
  </si>
  <si>
    <t>只证明环境可达；Docker日志有reset记录但用户否认操作，未归因。</t>
  </si>
  <si>
    <t>RUN-40</t>
  </si>
  <si>
    <t>页面登录</t>
  </si>
  <si>
    <t>恢复前后台原会话，用户重新登录模拟器</t>
  </si>
  <si>
    <t>超级管理员身份正确，刷新及页面跳转可用；站点访问限制解除。</t>
  </si>
  <si>
    <t>第五、六轮证据：front-session-recovered.txt；inbox-checks.json</t>
  </si>
  <si>
    <t>其他权限身份仍待准备。</t>
  </si>
  <si>
    <t>RUN-41</t>
  </si>
  <si>
    <t>BUG-001复测</t>
  </si>
  <si>
    <t>查看后台登录与运维页标题</t>
  </si>
  <si>
    <t>标题不再出现undefined。</t>
  </si>
  <si>
    <t>第五、六轮证据：admin-login-title.png；commission-eo.png</t>
  </si>
  <si>
    <t>仅关闭此标题问题。</t>
  </si>
  <si>
    <t>RUN-42</t>
  </si>
  <si>
    <t>管理端自动测试</t>
  </si>
  <si>
    <t>运行既有npm测试</t>
  </si>
  <si>
    <t>107项通过，0失败0跳过。</t>
  </si>
  <si>
    <t>第五、六轮证据：admin-unit-results.json</t>
  </si>
  <si>
    <t>不替代真实页面业务闭环。</t>
  </si>
  <si>
    <t>RUN-43</t>
  </si>
  <si>
    <t>后端定向测试</t>
  </si>
  <si>
    <t>运行认证、设备、维护、通知流相关6类测试</t>
  </si>
  <si>
    <t>52项通过，0失败0错误0跳过。</t>
  </si>
  <si>
    <t>第五、六轮证据：server-tests.log</t>
  </si>
  <si>
    <t>包含测试夹具，不代表真实设备结果。</t>
  </si>
  <si>
    <t>RUN-44</t>
  </si>
  <si>
    <t>模拟器单元测试</t>
  </si>
  <si>
    <t>运行unittest discover</t>
  </si>
  <si>
    <t>20项通过。</t>
  </si>
  <si>
    <t>第五、六轮证据：simulator-tests.log</t>
  </si>
  <si>
    <t>无真实设备动作。</t>
  </si>
  <si>
    <t>RUN-45</t>
  </si>
  <si>
    <t>PostgreSQL运维测试</t>
  </si>
  <si>
    <t>独立maintenance_flow_verify_qa0927r5库运行既有测试</t>
  </si>
  <si>
    <t>补齐该隔离库PostGIS后23项通过；原业务库不作为测试夹具写入目标。</t>
  </si>
  <si>
    <t>第五、六轮证据：postgres-tests-retry.log</t>
  </si>
  <si>
    <t>首次缺PostGIS失败保留，不掩盖环境准备过程。</t>
  </si>
  <si>
    <t>RUN-46</t>
  </si>
  <si>
    <t>前台契约测试</t>
  </si>
  <si>
    <t>运行6个既有契约文件</t>
  </si>
  <si>
    <t>8项中5通过3失败，旧断言及CRLF导入剥离问题。</t>
  </si>
  <si>
    <t>第五、六轮证据：front-contract-tests.log</t>
  </si>
  <si>
    <t>TEST-001；不改产品代码或将失败忽略。</t>
  </si>
  <si>
    <t>RUN-47</t>
  </si>
  <si>
    <t>OPS-07/15</t>
  </si>
  <si>
    <t>切换4种接入类型，创建独立天气档案</t>
  </si>
  <si>
    <t>QA0927-R5-WEATHER-01保存后停用、待接入，无假天气数据。</t>
  </si>
  <si>
    <t>第五、六轮证据：device-type-forms.json；weather-onboard.png</t>
  </si>
  <si>
    <t>保留测试档案，无真实设备指令。</t>
  </si>
  <si>
    <t>RUN-48</t>
  </si>
  <si>
    <t>查看MQTT及光电接入诊断</t>
  </si>
  <si>
    <t>主动上报协议显示不支持TCP式调测，未创建任务，工参缺失及过期可见。</t>
  </si>
  <si>
    <t>第五、六轮证据：commission-qa-radar.txt；commission-eo.txt</t>
  </si>
  <si>
    <t>不代表支持TCP设备的完整调测已完成。</t>
  </si>
  <si>
    <t>RUN-49</t>
  </si>
  <si>
    <t>MQTT时间线</t>
  </si>
  <si>
    <t>新独立批次定时掉线及恢复</t>
  </si>
  <si>
    <t>19:54:42 OFFLINE；19:54:50 ONLINE；健康始终UNKNOWN。第二批64条确认，180秒完成。</t>
  </si>
  <si>
    <t>部分通过</t>
  </si>
  <si>
    <t>第五、六轮证据：device-lifecycle-r5.jsonl；simulator-final.json</t>
  </si>
  <si>
    <t>F32仍缺目标首报、GOOD样本及同批事件核验。</t>
  </si>
  <si>
    <t>RUN-50</t>
  </si>
  <si>
    <t>前后台同设备</t>
  </si>
  <si>
    <t>定位sim-0927195329-a584-1</t>
  </si>
  <si>
    <t>后台及前台同编号在线可见，未知覆盖参数不绘制假范围。前台设备资料约60秒刷新。</t>
  </si>
  <si>
    <t>第五、六轮证据：monitor-online.txt；front-reloaded-devices.txt</t>
  </si>
  <si>
    <t>不能用该采样证明所有状态瞬时同步。</t>
  </si>
  <si>
    <t>RUN-51</t>
  </si>
  <si>
    <t>维护进展空白、单字、1001字及正常说明</t>
  </si>
  <si>
    <t>无效说明阻止；有效说明仅追加历史，仍处理中，UNKNOWN历史保留。</t>
  </si>
  <si>
    <t>第五、六轮证据：maintenance-final-ui.txt；progress-validation.json；maintenance-progress-saved.txt</t>
  </si>
  <si>
    <t>未取得恢复PASS，不标已修好。</t>
  </si>
  <si>
    <t>RUN-52</t>
  </si>
  <si>
    <t>OPS-59/63局部</t>
  </si>
  <si>
    <t>恢复旧任务、从消息定位</t>
  </si>
  <si>
    <t>同一任务与设备正确，重启后仍可读历史；原非测试待办未操作。</t>
  </si>
  <si>
    <t>第五、六轮证据：maintenance-message-route.txt；maintenance-messages.txt</t>
  </si>
  <si>
    <t>缺撤权/删除定位及TCP进行中恢复分支。</t>
  </si>
  <si>
    <t>RUN-53</t>
  </si>
  <si>
    <t>旧管理入口</t>
  </si>
  <si>
    <t>逐一打开六个迁移地址</t>
  </si>
  <si>
    <t>全部显示迁移提示，原地址保留，无自动跳转和管理表单。</t>
  </si>
  <si>
    <t>对应主清单8。</t>
  </si>
  <si>
    <t>RUN-54</t>
  </si>
  <si>
    <t>飞行计划与空域</t>
  </si>
  <si>
    <t>查看计划、天气、空域详情及搜索清空</t>
  </si>
  <si>
    <t>未提供字段、未找到飞机、天气未接入说明清楚；空域1→0→1筛选正常。</t>
  </si>
  <si>
    <t>第五、六轮证据：front-flights.txt；weather-unavailable.txt；airspace-detail.txt；airspace-empty-filter.txt</t>
  </si>
  <si>
    <t>缺多空域、完整原始计划和各天气覆盖样本。</t>
  </si>
  <si>
    <t>RUN-55</t>
  </si>
  <si>
    <t>模拟通知收件箱</t>
  </si>
  <si>
    <t>四类收件箱分别刷新</t>
  </si>
  <si>
    <t>均为空，分页不可用；只读，没有发送/拨号/签收。</t>
  </si>
  <si>
    <t>第五、六轮证据：inbox-checks.json</t>
  </si>
  <si>
    <t>主清单135缺非空多页及不同投递状态。</t>
  </si>
  <si>
    <t>RUN-56</t>
  </si>
  <si>
    <t>打开证据管理并重新读取</t>
  </si>
  <si>
    <t>证据台账及统计资源不存在；日志确认evidence-ledger无后端资源。</t>
  </si>
  <si>
    <t>第五、六轮证据：evidence-ledger-404.png；evidence-ledger-server-errors.txt</t>
  </si>
  <si>
    <t>阻断证据预览、下载及关联测试。</t>
  </si>
  <si>
    <t>RUN-57</t>
  </si>
  <si>
    <t>运行统计导出</t>
  </si>
  <si>
    <t>真实点击导出，读取下载CSV</t>
  </si>
  <si>
    <t>中文、30日区间、回放标记、汇总与区域行对应。</t>
  </si>
  <si>
    <t>第五、六轮证据：stats-ui.txt；stats-export.csv</t>
  </si>
  <si>
    <t>固定范围；未完成权限范围、跨日及改条件导出。</t>
  </si>
  <si>
    <t>RUN-58</t>
  </si>
  <si>
    <t>自动链前提</t>
  </si>
  <si>
    <t>查看规则运行状态及业务列表</t>
  </si>
  <si>
    <t>引擎未启用；当前无研判、告警、交接。</t>
  </si>
  <si>
    <t>第五、六轮证据：rule-engine-disabled.txt；legality-all.txt；alarms-empty.txt；handoff-empty.txt</t>
  </si>
  <si>
    <t>未经核对的自动反制授权不能由计划文档代替。</t>
  </si>
  <si>
    <t>RUN-59</t>
  </si>
  <si>
    <t>大屏</t>
  </si>
  <si>
    <t>管理员打开并读取关键指标</t>
  </si>
  <si>
    <t>今日目标4、今日计划3、离线11，证据台账—。</t>
  </si>
  <si>
    <t>第五、六轮证据：bigscreen.txt；bigscreen.png</t>
  </si>
  <si>
    <t>无权账号、2小时持续运行、Chrome未测。</t>
  </si>
  <si>
    <t>第五轮证据目录（所有“第五轮证据”文件名均相对本目录）：C:/Users/Admin（无密码）/.codex/visualizations/2026/09/27/01a0e2a5-9f8d-7261-b23f-0e2b7ef4319e/qa-plan</t>
  </si>
  <si>
    <t>RUN-60</t>
  </si>
  <si>
    <t>扩展后端契约</t>
  </si>
  <si>
    <t>飞行/空域/研判/证据/权限/反制等34类</t>
  </si>
  <si>
    <t>310项：308通过，2失败；独立H2测试夹具。</t>
  </si>
  <si>
    <t>第五、六轮证据：server-expanded-tests.log</t>
  </si>
  <si>
    <t>TEST-002与TEST-003，不能替代真实页面闭环。</t>
  </si>
  <si>
    <t>RUN-61</t>
  </si>
  <si>
    <t>失败复跑</t>
  </si>
  <si>
    <t>只运行两个失败方法</t>
  </si>
  <si>
    <t>3个实例：2通过1失败。急停稳定409，续链单独通过。</t>
  </si>
  <si>
    <t>第五、六轮证据：server-two-failures-recheck.log</t>
  </si>
  <si>
    <t>没有修改代码或吞掉首轮失败。</t>
  </si>
  <si>
    <t>RUN-62</t>
  </si>
  <si>
    <t>风险通知移送契约</t>
  </si>
  <si>
    <t>既有22类隔离测试</t>
  </si>
  <si>
    <t>222项全部通过；包括模拟接口、通知回执、材料及自动规则。</t>
  </si>
  <si>
    <t>第五、六轮证据：server-risk-handoff-tests.log</t>
  </si>
  <si>
    <t>未开启真实自动引擎或外部通知。</t>
  </si>
  <si>
    <t>RUN-63</t>
  </si>
  <si>
    <t>计划及天气幂等</t>
  </si>
  <si>
    <t>真实表单提交后重复同消息</t>
  </si>
  <si>
    <t>各1份接收事实；前台对应同一计划和天气。</t>
  </si>
  <si>
    <t>第五、六轮证据：input-repeat-context-r5.json；weather-repeat-context-r5.json；weather-full.txt</t>
  </si>
  <si>
    <t>主清单23/27/136补齐。</t>
  </si>
  <si>
    <t>RUN-64</t>
  </si>
  <si>
    <t>天气边界</t>
  </si>
  <si>
    <t>全覆盖/部分/无覆盖及历史预报</t>
  </si>
  <si>
    <t>部分裁剪正确，无覆盖说明明确，历史切页仍保留。</t>
  </si>
  <si>
    <t>第五、六轮证据：weather-full.txt；weather-partial.txt；weather-none.txt；weather-past-return.txt</t>
  </si>
  <si>
    <t>30通过；29仍缺残缺时间样本。</t>
  </si>
  <si>
    <t>RUN-65</t>
  </si>
  <si>
    <t>空域选择和特殊文字</t>
  </si>
  <si>
    <t>独立允许区与既有禁飞区切换筛选</t>
  </si>
  <si>
    <t>ID、范围与详情对应，关闭/筛选清空正常，HTML样文字不解析。</t>
  </si>
  <si>
    <t>第五、六轮证据：airspace-new-detail.txt；airspace-switch-detail.txt；airspace-filter-selected.txt；airspace-cleared.txt</t>
  </si>
  <si>
    <t>45/144通过，新增测试空域保留。</t>
  </si>
  <si>
    <t>RUN-66</t>
  </si>
  <si>
    <t>统计故障恢复</t>
  </si>
  <si>
    <t>阻断统计请求后重试</t>
  </si>
  <si>
    <t>失败不显示假零值，恢复后真实数据可读。</t>
  </si>
  <si>
    <t>第五、六轮证据：stats-failure.txt；stats-recovered.txt</t>
  </si>
  <si>
    <t>117补齐，注入已解除。</t>
  </si>
  <si>
    <t>RUN-67</t>
  </si>
  <si>
    <t>目标故障恢复</t>
  </si>
  <si>
    <t>两次阻断目标请求后恢复</t>
  </si>
  <si>
    <t>故障显示0目标和数据已更新；恢复后4目标。</t>
  </si>
  <si>
    <t>第五、六轮证据：targets-failure-recheck.txt；targets-network-failures.json；targets-recovered.txt</t>
  </si>
  <si>
    <t>BUG-003，注入已解除。</t>
  </si>
  <si>
    <t>RUN-68</t>
  </si>
  <si>
    <t>不存在计划/刷新</t>
  </si>
  <si>
    <t>真实详情刷新、历史返回、无效UUID</t>
  </si>
  <si>
    <t>正常上下文保留，非法UUID明确不存在，不串其他计划。</t>
  </si>
  <si>
    <t>第五、六轮证据：plan-detail-refreshed.txt；plan-not-found.txt；weather-past-return.txt</t>
  </si>
  <si>
    <t>12通过。</t>
  </si>
  <si>
    <t>RUN-69</t>
  </si>
  <si>
    <t>模拟器控制</t>
  </si>
  <si>
    <t>新批次暂停、恢复、停止</t>
  </si>
  <si>
    <t>12.8秒/6条暂停不再增长；恢复到12条，24.9秒停止。</t>
  </si>
  <si>
    <t>第五、六轮证据：sim-control-start.json；sim-control-pause.json；sim-control-pause-later.json；sim-control-stopped.json</t>
  </si>
  <si>
    <t>137尚缺登录失效分支；当前批次已停止。</t>
  </si>
  <si>
    <t>RUN-70</t>
  </si>
  <si>
    <t>OPS-08/10</t>
  </si>
  <si>
    <t>协议切换及重复编号提交</t>
  </si>
  <si>
    <t>草稿字段清理正确；重复编号409，原档案未覆盖。</t>
  </si>
  <si>
    <t>第五、六轮证据：onboard-switch-values.json；onboard-duplicate-response.json；onboard-duplicate-readback.txt</t>
  </si>
  <si>
    <t>仅独立QA数据，未保存切换草稿。</t>
  </si>
  <si>
    <t>RUN-71</t>
  </si>
  <si>
    <t>OPS-14 / BUG-004</t>
  </si>
  <si>
    <t>编辑模拟雷达厂家</t>
  </si>
  <si>
    <t>身份字段锁定正确；保存500，PG参数$6类型无法确定。</t>
  </si>
  <si>
    <t>第五、六轮证据：device-edit-identity-locked.txt；device-edit-500.json；device-edit-postgres-error.txt；device-edit-failure-readback.txt</t>
  </si>
  <si>
    <t>已取消编辑，原数据保留。</t>
  </si>
  <si>
    <t>RUN-72</t>
  </si>
  <si>
    <t>从第3页按唯一编号筛选</t>
  </si>
  <si>
    <t>自动回第1页、唯一结果，翻页禁用。</t>
  </si>
  <si>
    <t>第五、六轮证据：devices-page3.txt；devices-filter-page-reset.txt</t>
  </si>
  <si>
    <t>未执行永久删除分支。</t>
  </si>
  <si>
    <t>RUN-73</t>
  </si>
  <si>
    <t>OPS-22/24</t>
  </si>
  <si>
    <t>监控轮询、暂停、手动刷新及失败恢复</t>
  </si>
  <si>
    <t>稳定约2秒/10秒；暂停无监控轮询，信息失败清旧值，恢复成功。</t>
  </si>
  <si>
    <t>第五、六轮证据：monitor-poll-intervals.json；monitor-poll-paused.json；monitor-info-failed.txt；monitor-info-recovered.txt</t>
  </si>
  <si>
    <t>故障注入已解除，实时刷新已恢复。</t>
  </si>
  <si>
    <t>RUN-74</t>
  </si>
  <si>
    <t>旧路由与回跳</t>
  </si>
  <si>
    <t>旧首页/工作台/风险页和非法redirect</t>
  </si>
  <si>
    <t>已回到承接页面；外站和错误地址留在系统内。</t>
  </si>
  <si>
    <t>第五、六轮证据：legacy-business-routes.json；legacy-workbench-final.txt；redirect-external-rejected.txt；redirect-invalid-rejected.txt</t>
  </si>
  <si>
    <t>旧授权记录及无权限分支缺条件。</t>
  </si>
  <si>
    <t>RUN-75</t>
  </si>
  <si>
    <t>浏览器边界</t>
  </si>
  <si>
    <t>尝试缩放、全屏及Chrome</t>
  </si>
  <si>
    <t>缩放/全屏未获可信实际尺寸确认；Chrome不可用。</t>
  </si>
  <si>
    <t>第五、六轮证据：fullscreen-cycle.json；zoom-attempt.png；chrome-unavailable.txt</t>
  </si>
  <si>
    <t>已还原开关和视口；不记作通过。</t>
  </si>
  <si>
    <t>RUN-76</t>
  </si>
  <si>
    <t>测试版本变动</t>
  </si>
  <si>
    <t>前台20:48附近短暂解析失败</t>
  </si>
  <si>
    <t>theme.js当时语法不完整，随后文件更新并恢复；本轮未改产品代码。</t>
  </si>
  <si>
    <t>记录</t>
  </si>
  <si>
    <t>第五、六轮证据：front-vite-syntax-block.txt；front-vite-syntax-block.png；front-theme-file-state.json</t>
  </si>
  <si>
    <t>长稳未完成，测试结果须以执行时版本为准。</t>
  </si>
  <si>
    <t>RUN-77</t>
  </si>
  <si>
    <t>分页及同名计划</t>
  </si>
  <si>
    <t>外部合法新增3计划，翻页/筛选/同名切换</t>
  </si>
  <si>
    <t>11条、10条/页，条件变化回第一页；天气不串对象。</t>
  </si>
  <si>
    <t>第六轮证据：r6-pagination-plan-inputs.json；r6-plans-page2.txt；r6-plans-filter-reset.txt；r6-plan-weather-switch.json</t>
  </si>
  <si>
    <t>存在BUG-006的筛选URL上下文路径。</t>
  </si>
  <si>
    <t>RUN-78</t>
  </si>
  <si>
    <t>空筛选后恢复，再刷新同一URL</t>
  </si>
  <si>
    <t>详情与URL不一致，刷新后对象改变。</t>
  </si>
  <si>
    <t>第六轮证据：r6-plan-filter-context-before.json；r6-plan-filter-context-after.json</t>
  </si>
  <si>
    <t>推翻主12此前仅刷新分支的整项通过。</t>
  </si>
  <si>
    <t>RUN-79</t>
  </si>
  <si>
    <t>TCP失败调测</t>
  </si>
  <si>
    <t>独立关闭端口连接、报告、新任务取消</t>
  </si>
  <si>
    <t>真实Connection refused，UNTESTABLE，无模拟成功；取消有效且旧报告保留。</t>
  </si>
  <si>
    <t>第六轮证据：r6-tcp-report.txt；r6-tcp-cancel-history.txt；r6-tcp-disabled.txt</t>
  </si>
  <si>
    <t>设备已停用；缺真实迟到回执/成功协议步骤。</t>
  </si>
  <si>
    <t>RUN-80</t>
  </si>
  <si>
    <t>目标输入链路</t>
  </si>
  <si>
    <t>提交带无计划风险的真实MQTT目标报文</t>
  </si>
  <si>
    <t>Broker确认并有device_data/radar，融合引擎关闭，无新目标和研判。</t>
  </si>
  <si>
    <t>第六轮证据：r6-target-start.json；r6-target-readback.txt</t>
  </si>
  <si>
    <t>输入成功不等同融合链通过，批次均已停止。</t>
  </si>
  <si>
    <t>RUN-81</t>
  </si>
  <si>
    <t>光电3秒阈值</t>
  </si>
  <si>
    <t>1秒心跳、20秒停报、恢复、主动停止</t>
  </si>
  <si>
    <t>33.1秒OFFLINE，51.7秒ONLINE；健康UNKNOWN。316条Broker确认后停止。</t>
  </si>
  <si>
    <t>第六轮证据：r6-eo-lifecycle.jsonl；r6-eo-final.json；r6-eo-monitor-recovery.txt</t>
  </si>
  <si>
    <t>只验连接阈值，不冒充健康GOOD。</t>
  </si>
  <si>
    <t>RUN-82</t>
  </si>
  <si>
    <t>退出与登录回跳</t>
  </si>
  <si>
    <t>退出、后退、刷新、外站redirect重新登录</t>
  </si>
  <si>
    <t>业务页受保护；外站redirect不离开本系统。</t>
  </si>
  <si>
    <t>第六轮证据：r6-logout-history.json；r6-login-external-redirect.json</t>
  </si>
  <si>
    <t>主4通过；无权回跳仍缺身份。</t>
  </si>
  <si>
    <t>RUN-83</t>
  </si>
  <si>
    <t>小窗与键盘</t>
  </si>
  <si>
    <t>7页面小视口、导航Tab/Enter、列表滚动</t>
  </si>
  <si>
    <t>键盘焦点可见，页脚可达；空域操作裁切复现。</t>
  </si>
  <si>
    <t>第六轮证据：r6-small-airspace-layout.json；r6-small-airspace-confirmed.png；r6-keyboard-navigation.json；r6-small-legality-scroll.json</t>
  </si>
  <si>
    <t>BUG-005；200%原生缩放未验证。</t>
  </si>
  <si>
    <t>RUN-84</t>
  </si>
  <si>
    <t>维护响应丢失</t>
  </si>
  <si>
    <t>服务端200后丢弃响应，按原请求重试</t>
  </si>
  <si>
    <t>同键、同body、同版本，仅1次提交；UNKNOWN后继续处理，历史保留。</t>
  </si>
  <si>
    <t>第六轮证据：r6-maintenance-lost-response-network.json；r6-maintenance-idempotent-retry.json；r6-maintenance-resumed.txt</t>
  </si>
  <si>
    <t>限定提交核验分支；未完成任务。</t>
  </si>
  <si>
    <t>RUN-85</t>
  </si>
  <si>
    <t>监控迟到响应</t>
  </si>
  <si>
    <t>光电A响应挂起，切天气B后放行A</t>
  </si>
  <si>
    <t>A已loadingFinished，仍显示B；空筛选清空旧读数。</t>
  </si>
  <si>
    <t>第六轮证据：r6-monitor-late-fast.json；r6-monitor-late-fast-completed.json；r6-monitor-empty-filter.txt</t>
  </si>
  <si>
    <t>OPS-23；旧两次失效拦截不计通过，已恢复轮询。</t>
  </si>
  <si>
    <t>RUN-86</t>
  </si>
  <si>
    <t>运维审计</t>
  </si>
  <si>
    <t>核对本轮3操作页面与只读数据库事实</t>
  </si>
  <si>
    <t>记录有对象ID，页面动作缺名、对象未展示。</t>
  </si>
  <si>
    <t>第六轮证据：r6-audit-list.txt；r6-audit-maintenance-db.csv；r6-audit-verification-detail.txt</t>
  </si>
  <si>
    <t>BUG-007；UNKNOWN原因保留。</t>
  </si>
  <si>
    <t>RUN-87</t>
  </si>
  <si>
    <t>设备后端测试</t>
  </si>
  <si>
    <t>62项设备/MQTT/光电等隔离测试</t>
  </si>
  <si>
    <t>首跑60通过2环境错误；两个ASCII临时目录参数后2项通过。</t>
  </si>
  <si>
    <t>第六轮证据：r6-device-integration-tests.log；r6-device-two-env-retry.log；r6-mqtt-ascii-temp-retest.log</t>
  </si>
  <si>
    <t>保留首次错误，无产品改动。</t>
  </si>
  <si>
    <t>RUN-88</t>
  </si>
  <si>
    <t>追加后端测试</t>
  </si>
  <si>
    <t>未执行的普通测试类</t>
  </si>
  <si>
    <t>543项：540通过3失败，3个失败单独复跑均复现。</t>
  </si>
  <si>
    <t>第六轮证据：r6-additional-backend-tests.log；r6-additional-failures.json；r6-additional-failures-retest.log</t>
  </si>
  <si>
    <t>TEST-004/005/006，不替代页面权限实测。</t>
  </si>
  <si>
    <t>RUN-89</t>
  </si>
  <si>
    <t>飞行及空域PostGIS</t>
  </si>
  <si>
    <t>4类独立数据库测试</t>
  </si>
  <si>
    <t>24项全部通过，无跳过；退出schema阶段有后台任务缺表日志，未影响断言。</t>
  </si>
  <si>
    <t>第六轮证据：r6-flight-airspace-postgres.log</t>
  </si>
  <si>
    <t>独立stage_flight_verify和airspace_verify测试库。</t>
  </si>
  <si>
    <t>RUN-90</t>
  </si>
  <si>
    <t>分阶段PostGIS</t>
  </si>
  <si>
    <t>12类空间/研判/融合/权限/急停等测试</t>
  </si>
  <si>
    <t>131项：124通过7失败，主要旧写入口/历史研判断言及已有急停冲突。</t>
  </si>
  <si>
    <t>第六轮证据：r6-stage-postgres.log；r6-stage-failures.json</t>
  </si>
  <si>
    <t>TEST-002/007/008，复跑记录另列。</t>
  </si>
  <si>
    <t>RUN-91</t>
  </si>
  <si>
    <t>通知证据PostGIS</t>
  </si>
  <si>
    <t>8类通知/目录/预览/视频/统计等测试</t>
  </si>
  <si>
    <t>104项全部通过，无跳过，全部使用隔离模拟夹具。</t>
  </si>
  <si>
    <t>第六轮证据：r6-advisory-postgres.log</t>
  </si>
  <si>
    <t>没有发送真实短信、电话或设备指令。</t>
  </si>
  <si>
    <t>RUN-92</t>
  </si>
  <si>
    <t>自动规则PostGIS</t>
  </si>
  <si>
    <t>配置、运行、事实快照3类</t>
  </si>
  <si>
    <t>16项：15通过1失败；未知分支状态正确，原因文案匹配失败。</t>
  </si>
  <si>
    <t>第六轮证据：r6-automation-postgres.log；r6-automation-failures.json</t>
  </si>
  <si>
    <t>TEST-009，未打开当前业务环境自动引擎。</t>
  </si>
  <si>
    <t>RUN-93</t>
  </si>
  <si>
    <t>长稳网络切换</t>
  </si>
  <si>
    <t>两独立标签阻断约48秒再恢复</t>
  </si>
  <si>
    <t>大屏明确失败并恢复，普通页旧值与成功提示同时出现。</t>
  </si>
  <si>
    <t>第六轮证据：soak-network-fault.json；soak-network-recovered.json</t>
  </si>
  <si>
    <t>BUG-003，所有拦截已清空；持续时间由最终采样确定。</t>
  </si>
  <si>
    <t>RUN-94</t>
  </si>
  <si>
    <t>目标与迁移PostGIS</t>
  </si>
  <si>
    <t>目标/飞行/空域读取及Stage2迁移兼容</t>
  </si>
  <si>
    <t>10项全部通过，无跳过。</t>
  </si>
  <si>
    <t>第六轮证据：r6-target-migration-postgres.log</t>
  </si>
  <si>
    <t>隔离测试库，不改业务历史。</t>
  </si>
  <si>
    <t>RUN-95</t>
  </si>
  <si>
    <t>单位目录PostGIS</t>
  </si>
  <si>
    <t>目录及范围两类测试</t>
  </si>
  <si>
    <t>15项全部通过，无跳过。</t>
  </si>
  <si>
    <t>第六轮证据：r6-directory-postgres.log</t>
  </si>
  <si>
    <t>不能替代实际受限账号页面验收。</t>
  </si>
  <si>
    <t>RUN-96</t>
  </si>
  <si>
    <t>预案PostGIS</t>
  </si>
  <si>
    <t>预案业务契约测试</t>
  </si>
  <si>
    <t>8项全部通过，无跳过。</t>
  </si>
  <si>
    <t>第六轮证据：r6-responseplan-postgres.log</t>
  </si>
  <si>
    <t>使用隔离夹具。</t>
  </si>
  <si>
    <t>RUN-97</t>
  </si>
  <si>
    <t>移送通知PostGIS</t>
  </si>
  <si>
    <t>移送通知及回执契约</t>
  </si>
  <si>
    <t>12项全部通过，无跳过。</t>
  </si>
  <si>
    <t>第六轮证据：r6-handoff-postgres.log</t>
  </si>
  <si>
    <t>未发送真实外部通知。</t>
  </si>
  <si>
    <t>RUN-98</t>
  </si>
  <si>
    <t>运维通知PostGIS</t>
  </si>
  <si>
    <t>运维通知路由与状态契约</t>
  </si>
  <si>
    <t>第六轮证据：r6-maintenance-notice-postgres.log</t>
  </si>
  <si>
    <t>实际页面仍缺唯一接收单位。</t>
  </si>
  <si>
    <t>RUN-99</t>
  </si>
  <si>
    <t>PostGIS失败复跑</t>
  </si>
  <si>
    <t>按方法及完整有序类复跑</t>
  </si>
  <si>
    <t>方法组7项为3失败4夹具错误；完整Stage9类22项18通过4个405失败；自动规则单项仍文案断言失败。</t>
  </si>
  <si>
    <t>第六轮证据：r6-stage-failures-retest.log；r6-stage9-ordered-retest.log；r6-automation-failure-retest.log</t>
  </si>
  <si>
    <t>复跑不与首跑相加充当独立覆盖量。</t>
  </si>
  <si>
    <t>RUN-100</t>
  </si>
  <si>
    <t>运维通知前提</t>
  </si>
  <si>
    <t>原计划设备检查回读</t>
  </si>
  <si>
    <t>待办仍处理中；通知未发出，无唯一接收单位。</t>
  </si>
  <si>
    <t>第六轮证据：r6-plan-maintenance-notice-blocked.txt；r6-old-plan-device-checks.json</t>
  </si>
  <si>
    <t>未点击重发或改变接收配置。</t>
  </si>
  <si>
    <t>RUN-101</t>
  </si>
  <si>
    <t>结束时可达性</t>
  </si>
  <si>
    <t>2026-09-28复核四个HTTP入口</t>
  </si>
  <si>
    <t>前台5173、后台5175、模拟器8766与后端健康8081均200。</t>
  </si>
  <si>
    <t>第六轮证据：r6-final-reachability.json</t>
  </si>
  <si>
    <t>仅证明可达，不代替业务验收。</t>
  </si>
  <si>
    <t>RUN-102</t>
  </si>
  <si>
    <t>剩余闭环前提</t>
  </si>
  <si>
    <t>2026-09-28重新登录后复核研判、告警及移送</t>
  </si>
  <si>
    <t>全部无人机研判0、全部告警0、全部送达/签收交接0；证据页仍资源不存在。</t>
  </si>
  <si>
    <t>第六轮证据：r6-final-legality-empty.txt；r6-final-alarms-empty.txt；r6-final-handoff-empty.txt；r6-final-handoff-empty.png；soak-final.json</t>
  </si>
  <si>
    <t>按真实前提把对应未执行项标为阻塞，没有计作测试通过。</t>
  </si>
  <si>
    <t>RUN-103</t>
  </si>
  <si>
    <t>版本边界</t>
  </si>
  <si>
    <t>归档时记录前台样式文件修改时间和哈希</t>
  </si>
  <si>
    <t>themes/tokens/bigscreen样式最后修改均在9月27日21:51，发生在长稳开始后。</t>
  </si>
  <si>
    <t>第六轮证据：r6-final-version-state.json</t>
  </si>
  <si>
    <t>本轮未改产品代码，结果对应当时版本。</t>
  </si>
  <si>
    <t>RUN-104</t>
  </si>
  <si>
    <t>长稳终检</t>
  </si>
  <si>
    <t>2026-09-28恢复观察并核对页面</t>
  </si>
  <si>
    <t>普通页已改页、大屏会话过期，期间样式发生变化；连续两小时未证实，断网误提示已失败。</t>
  </si>
  <si>
    <t>第六轮证据：soak-final.json；soak-samples.json；soak-network-fault.json</t>
  </si>
  <si>
    <t>不把隔夜墙钟跨度或NavigationStart未变当连续验收。</t>
  </si>
  <si>
    <t>R7-01</t>
  </si>
  <si>
    <t>规则和链路</t>
  </si>
  <si>
    <t>local,qa显式配置与既有DEMO规则激活</t>
  </si>
  <si>
    <t>新MQTT目标生成研判和待核实告警；不生成业务种子</t>
  </si>
  <si>
    <t>qa-unblock-full-chain.json</t>
  </si>
  <si>
    <t>来源为replay；不是正式算法参数验收</t>
  </si>
  <si>
    <t>R7-02</t>
  </si>
  <si>
    <t>证据台账</t>
  </si>
  <si>
    <t>页面列表/统计/轨迹详情/事件材料</t>
  </si>
  <si>
    <t>83条轨迹；新目标166点；事件关联2条轨迹</t>
  </si>
  <si>
    <t>qa-unblock-evidence.png；qa-unblock-postrestart.json</t>
  </si>
  <si>
    <t>无文件或无回执时明确缺失</t>
  </si>
  <si>
    <t>R7-03</t>
  </si>
  <si>
    <t>精确定位</t>
  </si>
  <si>
    <t>告警轨迹第2份→详情→刷新</t>
  </si>
  <si>
    <t>074c95d4原始轨迹及EVENT上下文保持一致</t>
  </si>
  <si>
    <t>qa-unblock-exact-track.png</t>
  </si>
  <si>
    <t>对应主清单109</t>
  </si>
  <si>
    <t>R7-04</t>
  </si>
  <si>
    <t>账号</t>
  </si>
  <si>
    <t>正式角色/用户API创建、改密、读取、写拒绝</t>
  </si>
  <si>
    <t>只读与第二操作员可用；只读写403；两者无direct</t>
  </si>
  <si>
    <t>qa-unblock-account-verification.json</t>
  </si>
  <si>
    <t>单位范围测试与当前默认ALL基线不符</t>
  </si>
  <si>
    <t>R7-05</t>
  </si>
  <si>
    <t>回归和打包</t>
  </si>
  <si>
    <t>EvidenceApi/EvidenceLedgerPostgres/Auth/LocalQaRuleCatalog/LocalStage7RuleEngineSeeder</t>
  </si>
  <si>
    <t>47通过，0失败、0错误、0跳过；package成功</t>
  </si>
  <si>
    <t>qa-unblock-package.log</t>
  </si>
  <si>
    <t>独立PostgreSQL schema验证；无新增迁移</t>
  </si>
  <si>
    <t>R7-06</t>
  </si>
  <si>
    <t>重启与导出</t>
  </si>
  <si>
    <t>最终JAR启动、端口和健康检查、浏览器CSV下载</t>
  </si>
  <si>
    <t>8081健康200；前后台和模拟器端口监听；事件CSV2条且有导出审计</t>
  </si>
  <si>
    <t>qa-unblock-postrestart.json；qa-unblock-event-export.csv</t>
  </si>
  <si>
    <t>CSV按全部筛选结果导出，不按当前分页截断</t>
  </si>
  <si>
    <t>R7-07</t>
  </si>
  <si>
    <t>设备编辑500</t>
  </si>
  <si>
    <t>MQTT与光电空坐标参数定型</t>
  </si>
  <si>
    <t>23项回归通过；实际模拟设备元数据保存成功、坐标保持并恢复厂家</t>
  </si>
  <si>
    <t>qa-device-edit-verified.json；qa-device-edit-green.log；qa-final-package.log</t>
  </si>
  <si>
    <t>最终打包已完成；未发送设备控制指令</t>
  </si>
  <si>
    <t>R7-08</t>
  </si>
  <si>
    <t>剩余边界</t>
  </si>
  <si>
    <t>真实设备/通知/视频/长稳与全部分支</t>
  </si>
  <si>
    <t>设备回执与接收配置不足；其余待复测项不标通过</t>
  </si>
  <si>
    <t>E:/houtaiguanlii/docs/联合测试阻塞修复-2026-09-28.md</t>
  </si>
  <si>
    <t>本次只解除明确技术阻塞，不伪造送达、恢复或执行结果</t>
  </si>
  <si>
    <t>R8-01</t>
  </si>
  <si>
    <t>页面与权限</t>
  </si>
  <si>
    <t>只读/第二操作员及页面实测</t>
  </si>
  <si>
    <t>多个写入403；并发409；管理员无direct亦403</t>
  </si>
  <si>
    <t>分支通过</t>
  </si>
  <si>
    <t>r8-maintenance-concurrency.json；r8-maintenance-readonly.json</t>
  </si>
  <si>
    <t>范围配置按当前基线ALL，旧单位范围用例不适用</t>
  </si>
  <si>
    <t>R8-02</t>
  </si>
  <si>
    <t>目标与风险</t>
  </si>
  <si>
    <t>模拟器MQTT及协议补充报文</t>
  </si>
  <si>
    <t>鸟类风险、识别中/未知/遥控器不进UAV研判</t>
  </si>
  <si>
    <t>r8-protocol-types-result.json；r8-risk-final.json</t>
  </si>
  <si>
    <t>未伪造算法气球类别或风险签收</t>
  </si>
  <si>
    <t>R8-03</t>
  </si>
  <si>
    <t>响应丢失</t>
  </si>
  <si>
    <t>服务端核实成功后丢弃响应</t>
  </si>
  <si>
    <t>页面回读待反制，历史仅1条</t>
  </si>
  <si>
    <t>r8-response-lost.json；r8-response-lost-history.json</t>
  </si>
  <si>
    <t>拦截已解除</t>
  </si>
  <si>
    <t>R8-04</t>
  </si>
  <si>
    <t>同名定位、权限、损坏/丢失、视频播放</t>
  </si>
  <si>
    <t>同名记录精确；403/401；损坏副本已恢复；PDF空白</t>
  </si>
  <si>
    <t>r8-video-played.json；r8-long-file-ui.jpg</t>
  </si>
  <si>
    <t>原件不破坏；长文件名裁切另列</t>
  </si>
  <si>
    <t>R8-05</t>
  </si>
  <si>
    <t>完整后台回归</t>
  </si>
  <si>
    <t>12:10:10固定副本；12组隔离PostgreSQL及失败类复跑</t>
  </si>
  <si>
    <t>1718项：1702通过/13失败/3错误/0跳过</t>
  </si>
  <si>
    <t>r8-frozen-final-summary.json</t>
  </si>
  <si>
    <t>并行代码/运行服务变更不混入固定版本结果</t>
  </si>
  <si>
    <t>R8-06</t>
  </si>
  <si>
    <t>管理端与模拟器</t>
  </si>
  <si>
    <t>管理端26测试文件、模拟器测试</t>
  </si>
  <si>
    <t>管理端111/111；模拟器20/20</t>
  </si>
  <si>
    <t>r8-current-admin-tests.log；r8-simulator-tests.log</t>
  </si>
  <si>
    <t>不替代人工完整流程</t>
  </si>
  <si>
    <t>R8-07</t>
  </si>
  <si>
    <t>长稳和剩余条件</t>
  </si>
  <si>
    <t>普通页/大屏10:48:19起</t>
  </si>
  <si>
    <t>最后有效采样69.3分钟，之后连接不可用</t>
  </si>
  <si>
    <t>r8-soak-samples.json；r8-browser-recovery.json</t>
  </si>
  <si>
    <t>已复现普通页断网更新提示缺陷</t>
  </si>
  <si>
    <t>R8-08</t>
  </si>
  <si>
    <t>交付范围</t>
  </si>
  <si>
    <t>主/补充/运维/全流程共300项状态重新核对</t>
  </si>
  <si>
    <t>保留既往通过；部分执行和整项完成分开</t>
  </si>
  <si>
    <t>第八轮测试报告</t>
  </si>
  <si>
    <t>36个全流程未取得全部步骤通过证明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</si>
</sst>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00"/>
  </numFmts>
  <fonts count="72">
    <font>
      <sz val="11"/>
      <name val="Carlito"/>
      <charset val="134"/>
    </font>
    <font>
      <b/>
      <sz val="18"/>
      <color rgb="FFFFFFFF"/>
      <name val="Microsoft YaHei"/>
      <charset val="134"/>
    </font>
    <font>
      <sz val="11"/>
      <color rgb="FF334155"/>
      <name val="Microsoft YaHei"/>
      <charset val="134"/>
    </font>
    <font>
      <b/>
      <sz val="11"/>
      <color rgb="FFFFFFFF"/>
      <name val="Carlito"/>
      <charset val="134"/>
    </font>
    <font>
      <sz val="11"/>
      <color rgb="FF1E293B"/>
      <name val="Microsoft YaHei"/>
      <charset val="134"/>
    </font>
    <font>
      <sz val="10"/>
      <name val="Microsoft YaHei"/>
      <charset val="134"/>
    </font>
    <font>
      <sz val="11"/>
      <name val="Microsoft YaHei"/>
      <charset val="134"/>
    </font>
    <font>
      <b/>
      <sz val="14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10"/>
      <name val="Carlito"/>
      <charset val="134"/>
    </font>
    <font>
      <b/>
      <sz val="17"/>
      <color rgb="FF16324F"/>
      <name val="Microsoft YaHei"/>
      <charset val="134"/>
    </font>
    <font>
      <b/>
      <sz val="11"/>
      <color rgb="FF2563EB"/>
      <name val="Microsoft YaHei"/>
      <charset val="134"/>
    </font>
    <font>
      <b/>
      <sz val="11"/>
      <color rgb="FF059669"/>
      <name val="Microsoft YaHei"/>
      <charset val="134"/>
    </font>
    <font>
      <b/>
      <sz val="11"/>
      <color rgb="FF7C3AED"/>
      <name val="Microsoft YaHei"/>
      <charset val="134"/>
    </font>
    <font>
      <b/>
      <sz val="11"/>
      <color rgb="FFEA580C"/>
      <name val="Microsoft YaHei"/>
      <charset val="134"/>
    </font>
    <font>
      <b/>
      <sz val="11"/>
      <color rgb="FF0891B2"/>
      <name val="Microsoft YaHei"/>
      <charset val="134"/>
    </font>
    <font>
      <b/>
      <sz val="11"/>
      <color rgb="FFDB2777"/>
      <name val="Microsoft YaHei"/>
      <charset val="134"/>
    </font>
    <font>
      <b/>
      <sz val="11"/>
      <color rgb="FF4F46E5"/>
      <name val="Microsoft YaHei"/>
      <charset val="134"/>
    </font>
    <font>
      <b/>
      <sz val="17"/>
      <color rgb="FF16324F"/>
      <name val="Carlito"/>
      <charset val="134"/>
    </font>
    <font>
      <sz val="11"/>
      <color rgb="FF2563EB"/>
      <name val="Carlito"/>
      <charset val="134"/>
    </font>
    <font>
      <sz val="11"/>
      <color rgb="FF059669"/>
      <name val="Carlito"/>
      <charset val="134"/>
    </font>
    <font>
      <sz val="11"/>
      <color rgb="FF7C3AED"/>
      <name val="Carlito"/>
      <charset val="134"/>
    </font>
    <font>
      <sz val="11"/>
      <color rgb="FFEA580C"/>
      <name val="Carlito"/>
      <charset val="134"/>
    </font>
    <font>
      <sz val="11"/>
      <color rgb="FF0891B2"/>
      <name val="Carlito"/>
      <charset val="134"/>
    </font>
    <font>
      <sz val="11"/>
      <color rgb="FFDB2777"/>
      <name val="Carlito"/>
      <charset val="134"/>
    </font>
    <font>
      <sz val="11"/>
      <color rgb="FF4F46E5"/>
      <name val="Carlito"/>
      <charset val="134"/>
    </font>
    <font>
      <sz val="11"/>
      <color rgb="FFB45309"/>
      <name val="Carlito"/>
      <charset val="134"/>
    </font>
    <font>
      <b/>
      <sz val="11"/>
      <color rgb="FF2563EB"/>
      <name val="Carlito"/>
      <charset val="134"/>
    </font>
    <font>
      <b/>
      <sz val="11"/>
      <color rgb="FF059669"/>
      <name val="Carlito"/>
      <charset val="134"/>
    </font>
    <font>
      <b/>
      <sz val="11"/>
      <color rgb="FF7C3AED"/>
      <name val="Carlito"/>
      <charset val="134"/>
    </font>
    <font>
      <b/>
      <sz val="11"/>
      <color rgb="FFEA580C"/>
      <name val="Carlito"/>
      <charset val="134"/>
    </font>
    <font>
      <b/>
      <sz val="11"/>
      <color rgb="FF0891B2"/>
      <name val="Carlito"/>
      <charset val="134"/>
    </font>
    <font>
      <b/>
      <sz val="11"/>
      <color rgb="FFDB2777"/>
      <name val="Carlito"/>
      <charset val="134"/>
    </font>
    <font>
      <b/>
      <sz val="11"/>
      <color rgb="FF4F46E5"/>
      <name val="Carlito"/>
      <charset val="134"/>
    </font>
    <font>
      <b/>
      <sz val="11"/>
      <color rgb="FFB45309"/>
      <name val="Carlito"/>
      <charset val="134"/>
    </font>
    <font>
      <b/>
      <sz val="11"/>
      <color rgb="FF0D9488"/>
      <name val="Microsoft YaHei"/>
      <charset val="134"/>
    </font>
    <font>
      <b/>
      <sz val="11"/>
      <color rgb="FFCA8A04"/>
      <name val="Microsoft YaHei"/>
      <charset val="134"/>
    </font>
    <font>
      <b/>
      <sz val="11"/>
      <color rgb="FFDC2626"/>
      <name val="Microsoft YaHei"/>
      <charset val="134"/>
    </font>
    <font>
      <b/>
      <sz val="11"/>
      <color rgb="FF9333EA"/>
      <name val="Microsoft YaHei"/>
      <charset val="134"/>
    </font>
    <font>
      <b/>
      <sz val="11"/>
      <color rgb="FF0284C7"/>
      <name val="Microsoft YaHei"/>
      <charset val="134"/>
    </font>
    <font>
      <b/>
      <sz val="11"/>
      <color rgb="FF0F766E"/>
      <name val="Microsoft YaHei"/>
      <charset val="134"/>
    </font>
    <font>
      <b/>
      <sz val="11"/>
      <color rgb="FFC2410C"/>
      <name val="Microsoft YaHei"/>
      <charset val="134"/>
    </font>
    <font>
      <b/>
      <sz val="11"/>
      <color rgb="FF475569"/>
      <name val="Microsoft YaHei"/>
      <charset val="134"/>
    </font>
    <font>
      <b/>
      <sz val="11"/>
      <color rgb="FFA21CAF"/>
      <name val="Microsoft YaHei"/>
      <charset val="134"/>
    </font>
    <font>
      <sz val="11"/>
      <color rgb="FF64748B"/>
      <name val="Microsoft YaHei"/>
      <charset val="134"/>
    </font>
    <font>
      <b/>
      <sz val="17"/>
      <color rgb="FF1E293B"/>
      <name val="Microsoft YaHei"/>
      <charset val="134"/>
    </font>
    <font>
      <b/>
      <sz val="11"/>
      <color rgb="FFB45309"/>
      <name val="Microsoft YaHei"/>
      <charset val="134"/>
    </font>
    <font>
      <b/>
      <sz val="15"/>
      <color rgb="FF7C3AED"/>
      <name val="Microsoft YaHei"/>
      <charset val="134"/>
    </font>
    <font>
      <b/>
      <sz val="13"/>
      <color rgb="FF1E293B"/>
      <name val="Microsoft YaHei"/>
      <charset val="134"/>
    </font>
    <font>
      <b/>
      <sz val="15"/>
      <color rgb="FF059669"/>
      <name val="Microsoft YaHei"/>
      <charset val="134"/>
    </font>
    <font>
      <b/>
      <sz val="14"/>
      <color rgb="FF16324F"/>
      <name val="Microsoft YaHei"/>
      <charset val="134"/>
    </font>
    <font>
      <b/>
      <sz val="15"/>
      <color rgb="FF0891B2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A21CAF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DF4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D8E3EE"/>
      </left>
      <right style="thin">
        <color rgb="FFD8E3EE"/>
      </right>
      <top style="thin">
        <color rgb="FFD8E3EE"/>
      </top>
      <bottom style="thin">
        <color rgb="FFD8E3EE"/>
      </bottom>
      <diagonal/>
    </border>
    <border>
      <left/>
      <right/>
      <top/>
      <bottom style="thin">
        <color rgb="FF93C5FD"/>
      </bottom>
      <diagonal/>
    </border>
    <border>
      <left/>
      <right/>
      <top style="medium">
        <color rgb="FF2563EB"/>
      </top>
      <bottom/>
      <diagonal/>
    </border>
    <border>
      <left/>
      <right/>
      <top style="medium">
        <color rgb="FF059669"/>
      </top>
      <bottom/>
      <diagonal/>
    </border>
    <border>
      <left/>
      <right/>
      <top style="medium">
        <color rgb="FF7C3AED"/>
      </top>
      <bottom/>
      <diagonal/>
    </border>
    <border>
      <left/>
      <right/>
      <top style="medium">
        <color rgb="FFEA580C"/>
      </top>
      <bottom/>
      <diagonal/>
    </border>
    <border>
      <left/>
      <right/>
      <top style="medium">
        <color rgb="FF0891B2"/>
      </top>
      <bottom/>
      <diagonal/>
    </border>
    <border>
      <left/>
      <right/>
      <top style="medium">
        <color rgb="FFDB2777"/>
      </top>
      <bottom/>
      <diagonal/>
    </border>
    <border>
      <left/>
      <right/>
      <top style="medium">
        <color rgb="FF4F46E5"/>
      </top>
      <bottom/>
      <diagonal/>
    </border>
    <border>
      <left/>
      <right/>
      <top style="medium">
        <color rgb="FFB45309"/>
      </top>
      <bottom/>
      <diagonal/>
    </border>
    <border>
      <left/>
      <right/>
      <top style="medium">
        <color rgb="FF0D9488"/>
      </top>
      <bottom/>
      <diagonal/>
    </border>
    <border>
      <left/>
      <right/>
      <top style="medium">
        <color rgb="FFCA8A04"/>
      </top>
      <bottom/>
      <diagonal/>
    </border>
    <border>
      <left/>
      <right/>
      <top style="medium">
        <color rgb="FFDC2626"/>
      </top>
      <bottom/>
      <diagonal/>
    </border>
    <border>
      <left/>
      <right/>
      <top style="medium">
        <color rgb="FF9333EA"/>
      </top>
      <bottom/>
      <diagonal/>
    </border>
    <border>
      <left/>
      <right/>
      <top style="medium">
        <color rgb="FF0284C7"/>
      </top>
      <bottom/>
      <diagonal/>
    </border>
    <border>
      <left/>
      <right/>
      <top style="medium">
        <color rgb="FF0F766E"/>
      </top>
      <bottom/>
      <diagonal/>
    </border>
    <border>
      <left/>
      <right/>
      <top style="medium">
        <color rgb="FFC2410C"/>
      </top>
      <bottom/>
      <diagonal/>
    </border>
    <border>
      <left/>
      <right/>
      <top style="medium">
        <color rgb="FF475569"/>
      </top>
      <bottom/>
      <diagonal/>
    </border>
    <border>
      <left/>
      <right/>
      <top style="medium">
        <color rgb="FFA21CA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2" fillId="0" borderId="0">
      <alignment vertical="center"/>
    </xf>
    <xf numFmtId="43" fontId="52" fillId="0" borderId="0" applyFont="0" applyFill="0" applyBorder="0" applyAlignment="0" applyProtection="0">
      <alignment vertical="center"/>
    </xf>
    <xf numFmtId="44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45" borderId="20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6" borderId="23" applyNumberFormat="0" applyAlignment="0" applyProtection="0">
      <alignment vertical="center"/>
    </xf>
    <xf numFmtId="0" fontId="62" fillId="47" borderId="24" applyNumberFormat="0" applyAlignment="0" applyProtection="0">
      <alignment vertical="center"/>
    </xf>
    <xf numFmtId="0" fontId="63" fillId="47" borderId="23" applyNumberFormat="0" applyAlignment="0" applyProtection="0">
      <alignment vertical="center"/>
    </xf>
    <xf numFmtId="0" fontId="64" fillId="48" borderId="25" applyNumberFormat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55" borderId="0" applyNumberFormat="0" applyBorder="0" applyAlignment="0" applyProtection="0">
      <alignment vertical="center"/>
    </xf>
    <xf numFmtId="0" fontId="70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0" fillId="59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1" fillId="61" borderId="0" applyNumberFormat="0" applyBorder="0" applyAlignment="0" applyProtection="0">
      <alignment vertical="center"/>
    </xf>
    <xf numFmtId="0" fontId="71" fillId="62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6" borderId="0" applyNumberFormat="0" applyBorder="0" applyAlignment="0" applyProtection="0">
      <alignment vertical="center"/>
    </xf>
    <xf numFmtId="0" fontId="70" fillId="67" borderId="0" applyNumberFormat="0" applyBorder="0" applyAlignment="0" applyProtection="0">
      <alignment vertical="center"/>
    </xf>
    <xf numFmtId="0" fontId="70" fillId="68" borderId="0" applyNumberFormat="0" applyBorder="0" applyAlignment="0" applyProtection="0">
      <alignment vertical="center"/>
    </xf>
    <xf numFmtId="0" fontId="71" fillId="69" borderId="0" applyNumberFormat="0" applyBorder="0" applyAlignment="0" applyProtection="0">
      <alignment vertical="center"/>
    </xf>
    <xf numFmtId="0" fontId="71" fillId="70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1" fillId="73" borderId="0" applyNumberFormat="0" applyBorder="0" applyAlignment="0" applyProtection="0">
      <alignment vertical="center"/>
    </xf>
    <xf numFmtId="0" fontId="71" fillId="74" borderId="0" applyNumberFormat="0" applyBorder="0" applyAlignment="0" applyProtection="0">
      <alignment vertical="center"/>
    </xf>
    <xf numFmtId="0" fontId="70" fillId="75" borderId="0" applyNumberFormat="0" applyBorder="0" applyAlignment="0" applyProtection="0">
      <alignment vertical="center"/>
    </xf>
    <xf numFmtId="0" fontId="0" fillId="0" borderId="0"/>
  </cellStyleXfs>
  <cellXfs count="302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/>
    <xf numFmtId="0" fontId="4" fillId="4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wrapText="1"/>
    </xf>
    <xf numFmtId="0" fontId="7" fillId="2" borderId="0" xfId="49" applyNumberFormat="1" applyFont="1" applyFill="1" applyBorder="1"/>
    <xf numFmtId="0" fontId="8" fillId="3" borderId="0" xfId="49" applyNumberFormat="1" applyFont="1" applyFill="1" applyBorder="1"/>
    <xf numFmtId="0" fontId="4" fillId="6" borderId="0" xfId="49" applyNumberFormat="1" applyFont="1" applyFill="1" applyBorder="1" applyAlignment="1">
      <alignment vertical="center" wrapText="1"/>
    </xf>
    <xf numFmtId="0" fontId="4" fillId="7" borderId="0" xfId="49" applyNumberFormat="1" applyFont="1" applyFill="1" applyBorder="1" applyAlignment="1">
      <alignment vertical="center" wrapText="1"/>
    </xf>
    <xf numFmtId="0" fontId="5" fillId="0" borderId="1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vertical="center"/>
    </xf>
    <xf numFmtId="0" fontId="10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 wrapText="1"/>
    </xf>
    <xf numFmtId="0" fontId="8" fillId="2" borderId="0" xfId="49" applyNumberFormat="1" applyFont="1" applyFill="1" applyBorder="1" applyAlignment="1">
      <alignment horizontal="center" vertical="center" wrapText="1"/>
    </xf>
    <xf numFmtId="0" fontId="11" fillId="5" borderId="0" xfId="49" applyNumberFormat="1" applyFont="1" applyFill="1" applyBorder="1" applyAlignment="1">
      <alignment vertical="center" wrapText="1"/>
    </xf>
    <xf numFmtId="0" fontId="4" fillId="8" borderId="0" xfId="49" applyNumberFormat="1" applyFont="1" applyFill="1" applyBorder="1" applyAlignment="1">
      <alignment vertical="center" wrapText="1"/>
    </xf>
    <xf numFmtId="176" fontId="4" fillId="8" borderId="0" xfId="49" applyNumberFormat="1" applyFont="1" applyFill="1" applyBorder="1" applyAlignment="1">
      <alignment vertical="center" wrapText="1"/>
    </xf>
    <xf numFmtId="0" fontId="12" fillId="9" borderId="0" xfId="49" applyNumberFormat="1" applyFont="1" applyFill="1" applyBorder="1" applyAlignment="1">
      <alignment vertical="center" wrapText="1"/>
    </xf>
    <xf numFmtId="0" fontId="4" fillId="9" borderId="0" xfId="49" applyNumberFormat="1" applyFont="1" applyFill="1" applyBorder="1" applyAlignment="1">
      <alignment vertical="center" wrapText="1"/>
    </xf>
    <xf numFmtId="0" fontId="13" fillId="10" borderId="0" xfId="49" applyNumberFormat="1" applyFont="1" applyFill="1" applyBorder="1" applyAlignment="1">
      <alignment vertical="center" wrapText="1"/>
    </xf>
    <xf numFmtId="0" fontId="4" fillId="10" borderId="0" xfId="49" applyNumberFormat="1" applyFont="1" applyFill="1" applyBorder="1" applyAlignment="1">
      <alignment vertical="center" wrapText="1"/>
    </xf>
    <xf numFmtId="0" fontId="14" fillId="11" borderId="0" xfId="49" applyNumberFormat="1" applyFont="1" applyFill="1" applyBorder="1" applyAlignment="1">
      <alignment vertical="center" wrapText="1"/>
    </xf>
    <xf numFmtId="0" fontId="4" fillId="11" borderId="0" xfId="49" applyNumberFormat="1" applyFont="1" applyFill="1" applyBorder="1" applyAlignment="1">
      <alignment vertical="center" wrapText="1"/>
    </xf>
    <xf numFmtId="0" fontId="15" fillId="12" borderId="0" xfId="49" applyNumberFormat="1" applyFont="1" applyFill="1" applyBorder="1" applyAlignment="1">
      <alignment vertical="center" wrapText="1"/>
    </xf>
    <xf numFmtId="0" fontId="4" fillId="12" borderId="0" xfId="49" applyNumberFormat="1" applyFont="1" applyFill="1" applyBorder="1" applyAlignment="1">
      <alignment vertical="center" wrapText="1"/>
    </xf>
    <xf numFmtId="0" fontId="16" fillId="13" borderId="0" xfId="49" applyNumberFormat="1" applyFont="1" applyFill="1" applyBorder="1" applyAlignment="1">
      <alignment vertical="center" wrapText="1"/>
    </xf>
    <xf numFmtId="0" fontId="4" fillId="13" borderId="0" xfId="49" applyNumberFormat="1" applyFont="1" applyFill="1" applyBorder="1" applyAlignment="1">
      <alignment vertical="center" wrapText="1"/>
    </xf>
    <xf numFmtId="0" fontId="17" fillId="14" borderId="0" xfId="49" applyNumberFormat="1" applyFont="1" applyFill="1" applyBorder="1" applyAlignment="1">
      <alignment vertical="center" wrapText="1"/>
    </xf>
    <xf numFmtId="0" fontId="4" fillId="14" borderId="0" xfId="49" applyNumberFormat="1" applyFont="1" applyFill="1" applyBorder="1" applyAlignment="1">
      <alignment vertical="center" wrapText="1"/>
    </xf>
    <xf numFmtId="0" fontId="4" fillId="15" borderId="0" xfId="49" applyNumberFormat="1" applyFont="1" applyFill="1" applyBorder="1" applyAlignment="1">
      <alignment vertical="center" wrapText="1"/>
    </xf>
    <xf numFmtId="0" fontId="18" fillId="0" borderId="2" xfId="49" applyNumberFormat="1" applyFont="1" applyFill="1" applyBorder="1"/>
    <xf numFmtId="0" fontId="0" fillId="0" borderId="2" xfId="49" applyNumberFormat="1" applyFont="1" applyFill="1" applyBorder="1"/>
    <xf numFmtId="0" fontId="3" fillId="2" borderId="0" xfId="49" applyNumberFormat="1" applyFont="1" applyFill="1" applyBorder="1" applyAlignment="1">
      <alignment horizontal="center" vertical="center" wrapText="1"/>
    </xf>
    <xf numFmtId="0" fontId="19" fillId="5" borderId="3" xfId="49" applyNumberFormat="1" applyFont="1" applyFill="1" applyBorder="1" applyAlignment="1">
      <alignment vertical="center" wrapText="1"/>
    </xf>
    <xf numFmtId="0" fontId="0" fillId="5" borderId="3" xfId="49" applyNumberFormat="1" applyFont="1" applyFill="1" applyBorder="1" applyAlignment="1">
      <alignment vertical="top" wrapText="1"/>
    </xf>
    <xf numFmtId="0" fontId="0" fillId="8" borderId="3" xfId="49" applyNumberFormat="1" applyFont="1" applyFill="1" applyBorder="1" applyAlignment="1">
      <alignment vertical="center" wrapText="1"/>
    </xf>
    <xf numFmtId="176" fontId="0" fillId="8" borderId="3" xfId="49" applyNumberFormat="1" applyFont="1" applyFill="1" applyBorder="1" applyAlignment="1">
      <alignment vertical="center" wrapText="1"/>
    </xf>
    <xf numFmtId="0" fontId="19" fillId="5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center" wrapText="1"/>
    </xf>
    <xf numFmtId="176" fontId="0" fillId="8" borderId="0" xfId="49" applyNumberFormat="1" applyFont="1" applyFill="1" applyBorder="1" applyAlignment="1">
      <alignment vertical="center" wrapText="1"/>
    </xf>
    <xf numFmtId="0" fontId="20" fillId="9" borderId="4" xfId="49" applyNumberFormat="1" applyFont="1" applyFill="1" applyBorder="1" applyAlignment="1">
      <alignment vertical="center" wrapText="1"/>
    </xf>
    <xf numFmtId="0" fontId="0" fillId="9" borderId="4" xfId="49" applyNumberFormat="1" applyFont="1" applyFill="1" applyBorder="1" applyAlignment="1">
      <alignment vertical="top" wrapText="1"/>
    </xf>
    <xf numFmtId="0" fontId="0" fillId="8" borderId="4" xfId="49" applyNumberFormat="1" applyFont="1" applyFill="1" applyBorder="1" applyAlignment="1">
      <alignment vertical="center" wrapText="1"/>
    </xf>
    <xf numFmtId="176" fontId="0" fillId="8" borderId="4" xfId="49" applyNumberFormat="1" applyFont="1" applyFill="1" applyBorder="1" applyAlignment="1">
      <alignment vertical="center" wrapText="1"/>
    </xf>
    <xf numFmtId="0" fontId="20" fillId="9" borderId="0" xfId="49" applyNumberFormat="1" applyFont="1" applyFill="1" applyBorder="1" applyAlignment="1">
      <alignment vertical="center" wrapText="1"/>
    </xf>
    <xf numFmtId="0" fontId="0" fillId="9" borderId="0" xfId="49" applyNumberFormat="1" applyFont="1" applyFill="1" applyBorder="1" applyAlignment="1">
      <alignment vertical="top" wrapText="1"/>
    </xf>
    <xf numFmtId="0" fontId="21" fillId="10" borderId="5" xfId="49" applyNumberFormat="1" applyFont="1" applyFill="1" applyBorder="1" applyAlignment="1">
      <alignment vertical="center" wrapText="1"/>
    </xf>
    <xf numFmtId="0" fontId="0" fillId="10" borderId="5" xfId="49" applyNumberFormat="1" applyFont="1" applyFill="1" applyBorder="1" applyAlignment="1">
      <alignment vertical="top" wrapText="1"/>
    </xf>
    <xf numFmtId="0" fontId="0" fillId="8" borderId="5" xfId="49" applyNumberFormat="1" applyFont="1" applyFill="1" applyBorder="1" applyAlignment="1">
      <alignment vertical="center" wrapText="1"/>
    </xf>
    <xf numFmtId="176" fontId="0" fillId="8" borderId="5" xfId="49" applyNumberFormat="1" applyFont="1" applyFill="1" applyBorder="1" applyAlignment="1">
      <alignment vertical="center" wrapText="1"/>
    </xf>
    <xf numFmtId="0" fontId="21" fillId="10" borderId="0" xfId="49" applyNumberFormat="1" applyFont="1" applyFill="1" applyBorder="1" applyAlignment="1">
      <alignment vertical="center" wrapText="1"/>
    </xf>
    <xf numFmtId="0" fontId="0" fillId="10" borderId="0" xfId="49" applyNumberFormat="1" applyFont="1" applyFill="1" applyBorder="1" applyAlignment="1">
      <alignment vertical="top" wrapText="1"/>
    </xf>
    <xf numFmtId="0" fontId="22" fillId="11" borderId="6" xfId="49" applyNumberFormat="1" applyFont="1" applyFill="1" applyBorder="1" applyAlignment="1">
      <alignment vertical="center" wrapText="1"/>
    </xf>
    <xf numFmtId="0" fontId="0" fillId="11" borderId="6" xfId="49" applyNumberFormat="1" applyFont="1" applyFill="1" applyBorder="1" applyAlignment="1">
      <alignment vertical="top" wrapText="1"/>
    </xf>
    <xf numFmtId="0" fontId="0" fillId="8" borderId="6" xfId="49" applyNumberFormat="1" applyFont="1" applyFill="1" applyBorder="1" applyAlignment="1">
      <alignment vertical="center" wrapText="1"/>
    </xf>
    <xf numFmtId="176" fontId="0" fillId="8" borderId="6" xfId="49" applyNumberFormat="1" applyFont="1" applyFill="1" applyBorder="1" applyAlignment="1">
      <alignment vertical="center" wrapText="1"/>
    </xf>
    <xf numFmtId="0" fontId="22" fillId="11" borderId="0" xfId="49" applyNumberFormat="1" applyFont="1" applyFill="1" applyBorder="1" applyAlignment="1">
      <alignment vertical="center" wrapText="1"/>
    </xf>
    <xf numFmtId="0" fontId="0" fillId="11" borderId="0" xfId="49" applyNumberFormat="1" applyFont="1" applyFill="1" applyBorder="1" applyAlignment="1">
      <alignment vertical="top" wrapText="1"/>
    </xf>
    <xf numFmtId="0" fontId="23" fillId="12" borderId="7" xfId="49" applyNumberFormat="1" applyFont="1" applyFill="1" applyBorder="1" applyAlignment="1">
      <alignment vertical="center" wrapText="1"/>
    </xf>
    <xf numFmtId="0" fontId="0" fillId="12" borderId="7" xfId="49" applyNumberFormat="1" applyFont="1" applyFill="1" applyBorder="1" applyAlignment="1">
      <alignment vertical="top" wrapText="1"/>
    </xf>
    <xf numFmtId="0" fontId="0" fillId="8" borderId="7" xfId="49" applyNumberFormat="1" applyFont="1" applyFill="1" applyBorder="1" applyAlignment="1">
      <alignment vertical="center" wrapText="1"/>
    </xf>
    <xf numFmtId="176" fontId="0" fillId="8" borderId="7" xfId="49" applyNumberFormat="1" applyFont="1" applyFill="1" applyBorder="1" applyAlignment="1">
      <alignment vertical="center" wrapText="1"/>
    </xf>
    <xf numFmtId="0" fontId="23" fillId="12" borderId="0" xfId="49" applyNumberFormat="1" applyFont="1" applyFill="1" applyBorder="1" applyAlignment="1">
      <alignment vertical="center" wrapText="1"/>
    </xf>
    <xf numFmtId="0" fontId="0" fillId="12" borderId="0" xfId="49" applyNumberFormat="1" applyFont="1" applyFill="1" applyBorder="1" applyAlignment="1">
      <alignment vertical="top" wrapText="1"/>
    </xf>
    <xf numFmtId="0" fontId="24" fillId="13" borderId="8" xfId="49" applyNumberFormat="1" applyFont="1" applyFill="1" applyBorder="1" applyAlignment="1">
      <alignment vertical="center" wrapText="1"/>
    </xf>
    <xf numFmtId="0" fontId="0" fillId="13" borderId="8" xfId="49" applyNumberFormat="1" applyFont="1" applyFill="1" applyBorder="1" applyAlignment="1">
      <alignment vertical="top" wrapText="1"/>
    </xf>
    <xf numFmtId="0" fontId="0" fillId="8" borderId="8" xfId="49" applyNumberFormat="1" applyFont="1" applyFill="1" applyBorder="1" applyAlignment="1">
      <alignment vertical="center" wrapText="1"/>
    </xf>
    <xf numFmtId="176" fontId="0" fillId="8" borderId="8" xfId="49" applyNumberFormat="1" applyFont="1" applyFill="1" applyBorder="1" applyAlignment="1">
      <alignment vertical="center" wrapText="1"/>
    </xf>
    <xf numFmtId="0" fontId="24" fillId="13" borderId="0" xfId="49" applyNumberFormat="1" applyFont="1" applyFill="1" applyBorder="1" applyAlignment="1">
      <alignment vertical="center" wrapText="1"/>
    </xf>
    <xf numFmtId="0" fontId="0" fillId="13" borderId="0" xfId="49" applyNumberFormat="1" applyFont="1" applyFill="1" applyBorder="1" applyAlignment="1">
      <alignment vertical="top" wrapText="1"/>
    </xf>
    <xf numFmtId="0" fontId="25" fillId="14" borderId="9" xfId="49" applyNumberFormat="1" applyFont="1" applyFill="1" applyBorder="1" applyAlignment="1">
      <alignment vertical="center" wrapText="1"/>
    </xf>
    <xf numFmtId="0" fontId="0" fillId="14" borderId="9" xfId="49" applyNumberFormat="1" applyFont="1" applyFill="1" applyBorder="1" applyAlignment="1">
      <alignment vertical="top" wrapText="1"/>
    </xf>
    <xf numFmtId="0" fontId="0" fillId="8" borderId="9" xfId="49" applyNumberFormat="1" applyFont="1" applyFill="1" applyBorder="1" applyAlignment="1">
      <alignment vertical="center" wrapText="1"/>
    </xf>
    <xf numFmtId="176" fontId="0" fillId="8" borderId="9" xfId="49" applyNumberFormat="1" applyFont="1" applyFill="1" applyBorder="1" applyAlignment="1">
      <alignment vertical="center" wrapText="1"/>
    </xf>
    <xf numFmtId="0" fontId="25" fillId="14" borderId="0" xfId="49" applyNumberFormat="1" applyFont="1" applyFill="1" applyBorder="1" applyAlignment="1">
      <alignment vertical="center" wrapText="1"/>
    </xf>
    <xf numFmtId="0" fontId="0" fillId="14" borderId="0" xfId="49" applyNumberFormat="1" applyFont="1" applyFill="1" applyBorder="1" applyAlignment="1">
      <alignment vertical="top" wrapText="1"/>
    </xf>
    <xf numFmtId="0" fontId="26" fillId="16" borderId="10" xfId="49" applyNumberFormat="1" applyFont="1" applyFill="1" applyBorder="1" applyAlignment="1">
      <alignment vertical="center" wrapText="1"/>
    </xf>
    <xf numFmtId="0" fontId="0" fillId="16" borderId="10" xfId="49" applyNumberFormat="1" applyFont="1" applyFill="1" applyBorder="1" applyAlignment="1">
      <alignment vertical="top" wrapText="1"/>
    </xf>
    <xf numFmtId="0" fontId="0" fillId="8" borderId="10" xfId="49" applyNumberFormat="1" applyFont="1" applyFill="1" applyBorder="1" applyAlignment="1">
      <alignment vertical="center" wrapText="1"/>
    </xf>
    <xf numFmtId="176" fontId="0" fillId="8" borderId="10" xfId="49" applyNumberFormat="1" applyFont="1" applyFill="1" applyBorder="1" applyAlignment="1">
      <alignment vertical="center" wrapText="1"/>
    </xf>
    <xf numFmtId="0" fontId="26" fillId="16" borderId="0" xfId="49" applyNumberFormat="1" applyFont="1" applyFill="1" applyBorder="1" applyAlignment="1">
      <alignment vertical="center" wrapText="1"/>
    </xf>
    <xf numFmtId="0" fontId="0" fillId="16" borderId="0" xfId="49" applyNumberFormat="1" applyFont="1" applyFill="1" applyBorder="1" applyAlignment="1">
      <alignment vertical="top" wrapText="1"/>
    </xf>
    <xf numFmtId="0" fontId="27" fillId="5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0" fontId="28" fillId="9" borderId="0" xfId="49" applyNumberFormat="1" applyFont="1" applyFill="1" applyBorder="1" applyAlignment="1">
      <alignment vertical="center" wrapText="1"/>
    </xf>
    <xf numFmtId="0" fontId="0" fillId="9" borderId="0" xfId="49" applyNumberFormat="1" applyFont="1" applyFill="1" applyBorder="1" applyAlignment="1">
      <alignment vertical="center" wrapText="1"/>
    </xf>
    <xf numFmtId="0" fontId="29" fillId="10" borderId="0" xfId="49" applyNumberFormat="1" applyFont="1" applyFill="1" applyBorder="1" applyAlignment="1">
      <alignment vertical="center" wrapText="1"/>
    </xf>
    <xf numFmtId="0" fontId="0" fillId="10" borderId="0" xfId="49" applyNumberFormat="1" applyFont="1" applyFill="1" applyBorder="1" applyAlignment="1">
      <alignment vertical="center" wrapText="1"/>
    </xf>
    <xf numFmtId="0" fontId="30" fillId="11" borderId="0" xfId="49" applyNumberFormat="1" applyFont="1" applyFill="1" applyBorder="1" applyAlignment="1">
      <alignment vertical="center" wrapText="1"/>
    </xf>
    <xf numFmtId="0" fontId="0" fillId="11" borderId="0" xfId="49" applyNumberFormat="1" applyFont="1" applyFill="1" applyBorder="1" applyAlignment="1">
      <alignment vertical="center" wrapText="1"/>
    </xf>
    <xf numFmtId="0" fontId="31" fillId="12" borderId="0" xfId="49" applyNumberFormat="1" applyFont="1" applyFill="1" applyBorder="1" applyAlignment="1">
      <alignment vertical="center" wrapText="1"/>
    </xf>
    <xf numFmtId="0" fontId="0" fillId="12" borderId="0" xfId="49" applyNumberFormat="1" applyFont="1" applyFill="1" applyBorder="1" applyAlignment="1">
      <alignment vertical="center" wrapText="1"/>
    </xf>
    <xf numFmtId="0" fontId="32" fillId="13" borderId="0" xfId="49" applyNumberFormat="1" applyFont="1" applyFill="1" applyBorder="1" applyAlignment="1">
      <alignment vertical="center" wrapText="1"/>
    </xf>
    <xf numFmtId="0" fontId="0" fillId="13" borderId="0" xfId="49" applyNumberFormat="1" applyFont="1" applyFill="1" applyBorder="1" applyAlignment="1">
      <alignment vertical="center" wrapText="1"/>
    </xf>
    <xf numFmtId="0" fontId="33" fillId="14" borderId="0" xfId="49" applyNumberFormat="1" applyFont="1" applyFill="1" applyBorder="1" applyAlignment="1">
      <alignment vertical="center" wrapText="1"/>
    </xf>
    <xf numFmtId="0" fontId="0" fillId="14" borderId="0" xfId="49" applyNumberFormat="1" applyFont="1" applyFill="1" applyBorder="1" applyAlignment="1">
      <alignment vertical="center" wrapText="1"/>
    </xf>
    <xf numFmtId="0" fontId="34" fillId="16" borderId="0" xfId="49" applyNumberFormat="1" applyFont="1" applyFill="1" applyBorder="1" applyAlignment="1">
      <alignment vertical="center" wrapText="1"/>
    </xf>
    <xf numFmtId="0" fontId="0" fillId="16" borderId="0" xfId="49" applyNumberFormat="1" applyFont="1" applyFill="1" applyBorder="1" applyAlignment="1">
      <alignment vertical="center" wrapText="1"/>
    </xf>
    <xf numFmtId="0" fontId="0" fillId="4" borderId="0" xfId="49" applyNumberFormat="1" applyFont="1" applyFill="1" applyBorder="1" applyAlignment="1">
      <alignment wrapText="1"/>
    </xf>
    <xf numFmtId="0" fontId="0" fillId="17" borderId="0" xfId="49" applyNumberFormat="1" applyFont="1" applyFill="1" applyBorder="1" applyAlignment="1">
      <alignment wrapText="1"/>
    </xf>
    <xf numFmtId="0" fontId="10" fillId="0" borderId="2" xfId="49" applyNumberFormat="1" applyFont="1" applyFill="1" applyBorder="1" applyAlignment="1">
      <alignment vertical="center"/>
    </xf>
    <xf numFmtId="0" fontId="4" fillId="0" borderId="2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vertical="top" wrapText="1"/>
    </xf>
    <xf numFmtId="0" fontId="4" fillId="17" borderId="0" xfId="49" applyNumberFormat="1" applyFont="1" applyFill="1" applyBorder="1" applyAlignment="1">
      <alignment vertical="top" wrapText="1"/>
    </xf>
    <xf numFmtId="0" fontId="8" fillId="3" borderId="0" xfId="49" applyNumberFormat="1" applyFont="1" applyFill="1" applyBorder="1" applyAlignment="1">
      <alignment vertical="top" wrapText="1"/>
    </xf>
    <xf numFmtId="0" fontId="8" fillId="18" borderId="0" xfId="49" applyNumberFormat="1" applyFont="1" applyFill="1" applyBorder="1" applyAlignment="1">
      <alignment vertical="top" wrapText="1"/>
    </xf>
    <xf numFmtId="0" fontId="8" fillId="19" borderId="0" xfId="49" applyNumberFormat="1" applyFont="1" applyFill="1" applyBorder="1" applyAlignment="1">
      <alignment vertical="top" wrapText="1"/>
    </xf>
    <xf numFmtId="0" fontId="8" fillId="20" borderId="0" xfId="49" applyNumberFormat="1" applyFont="1" applyFill="1" applyBorder="1" applyAlignment="1">
      <alignment vertical="top" wrapText="1"/>
    </xf>
    <xf numFmtId="0" fontId="8" fillId="21" borderId="0" xfId="49" applyNumberFormat="1" applyFont="1" applyFill="1" applyBorder="1" applyAlignment="1">
      <alignment vertical="top" wrapText="1"/>
    </xf>
    <xf numFmtId="0" fontId="8" fillId="22" borderId="0" xfId="49" applyNumberFormat="1" applyFont="1" applyFill="1" applyBorder="1" applyAlignment="1">
      <alignment vertical="top" wrapText="1"/>
    </xf>
    <xf numFmtId="0" fontId="8" fillId="23" borderId="0" xfId="49" applyNumberFormat="1" applyFont="1" applyFill="1" applyBorder="1" applyAlignment="1">
      <alignment vertical="top" wrapText="1"/>
    </xf>
    <xf numFmtId="0" fontId="8" fillId="24" borderId="0" xfId="49" applyNumberFormat="1" applyFont="1" applyFill="1" applyBorder="1" applyAlignment="1">
      <alignment vertical="top" wrapText="1"/>
    </xf>
    <xf numFmtId="0" fontId="8" fillId="25" borderId="0" xfId="49" applyNumberFormat="1" applyFont="1" applyFill="1" applyBorder="1" applyAlignment="1">
      <alignment vertical="top" wrapText="1"/>
    </xf>
    <xf numFmtId="0" fontId="8" fillId="26" borderId="0" xfId="49" applyNumberFormat="1" applyFont="1" applyFill="1" applyBorder="1" applyAlignment="1">
      <alignment vertical="top" wrapText="1"/>
    </xf>
    <xf numFmtId="0" fontId="8" fillId="27" borderId="0" xfId="49" applyNumberFormat="1" applyFont="1" applyFill="1" applyBorder="1" applyAlignment="1">
      <alignment vertical="top" wrapText="1"/>
    </xf>
    <xf numFmtId="0" fontId="8" fillId="28" borderId="0" xfId="49" applyNumberFormat="1" applyFont="1" applyFill="1" applyBorder="1" applyAlignment="1">
      <alignment vertical="top" wrapText="1"/>
    </xf>
    <xf numFmtId="0" fontId="8" fillId="29" borderId="0" xfId="49" applyNumberFormat="1" applyFont="1" applyFill="1" applyBorder="1" applyAlignment="1">
      <alignment vertical="top" wrapText="1"/>
    </xf>
    <xf numFmtId="0" fontId="8" fillId="30" borderId="0" xfId="49" applyNumberFormat="1" applyFont="1" applyFill="1" applyBorder="1" applyAlignment="1">
      <alignment vertical="top" wrapText="1"/>
    </xf>
    <xf numFmtId="0" fontId="8" fillId="31" borderId="0" xfId="49" applyNumberFormat="1" applyFont="1" applyFill="1" applyBorder="1" applyAlignment="1">
      <alignment vertical="top" wrapText="1"/>
    </xf>
    <xf numFmtId="0" fontId="8" fillId="32" borderId="0" xfId="49" applyNumberFormat="1" applyFont="1" applyFill="1" applyBorder="1" applyAlignment="1">
      <alignment vertical="top" wrapText="1"/>
    </xf>
    <xf numFmtId="177" fontId="4" fillId="5" borderId="3" xfId="49" applyNumberFormat="1" applyFont="1" applyFill="1" applyBorder="1" applyAlignment="1">
      <alignment vertical="center" wrapText="1"/>
    </xf>
    <xf numFmtId="0" fontId="11" fillId="5" borderId="3" xfId="49" applyNumberFormat="1" applyFont="1" applyFill="1" applyBorder="1" applyAlignment="1">
      <alignment vertical="center" wrapText="1"/>
    </xf>
    <xf numFmtId="0" fontId="4" fillId="5" borderId="3" xfId="49" applyNumberFormat="1" applyFont="1" applyFill="1" applyBorder="1" applyAlignment="1">
      <alignment vertical="center" wrapText="1"/>
    </xf>
    <xf numFmtId="0" fontId="4" fillId="17" borderId="3" xfId="49" applyNumberFormat="1" applyFont="1" applyFill="1" applyBorder="1" applyAlignment="1">
      <alignment vertical="top" wrapText="1"/>
    </xf>
    <xf numFmtId="0" fontId="4" fillId="8" borderId="3" xfId="49" applyNumberFormat="1" applyFont="1" applyFill="1" applyBorder="1" applyAlignment="1">
      <alignment vertical="center" wrapText="1"/>
    </xf>
    <xf numFmtId="176" fontId="4" fillId="8" borderId="3" xfId="49" applyNumberFormat="1" applyFont="1" applyFill="1" applyBorder="1" applyAlignment="1">
      <alignment vertical="center" wrapText="1"/>
    </xf>
    <xf numFmtId="177" fontId="4" fillId="5" borderId="0" xfId="49" applyNumberFormat="1" applyFont="1" applyFill="1" applyBorder="1" applyAlignment="1">
      <alignment vertical="center" wrapText="1"/>
    </xf>
    <xf numFmtId="177" fontId="4" fillId="12" borderId="7" xfId="49" applyNumberFormat="1" applyFont="1" applyFill="1" applyBorder="1" applyAlignment="1">
      <alignment vertical="center" wrapText="1"/>
    </xf>
    <xf numFmtId="0" fontId="15" fillId="12" borderId="7" xfId="49" applyNumberFormat="1" applyFont="1" applyFill="1" applyBorder="1" applyAlignment="1">
      <alignment vertical="center" wrapText="1"/>
    </xf>
    <xf numFmtId="0" fontId="4" fillId="12" borderId="7" xfId="49" applyNumberFormat="1" applyFont="1" applyFill="1" applyBorder="1" applyAlignment="1">
      <alignment vertical="center" wrapText="1"/>
    </xf>
    <xf numFmtId="0" fontId="4" fillId="17" borderId="7" xfId="49" applyNumberFormat="1" applyFont="1" applyFill="1" applyBorder="1" applyAlignment="1">
      <alignment vertical="top" wrapText="1"/>
    </xf>
    <xf numFmtId="0" fontId="4" fillId="8" borderId="7" xfId="49" applyNumberFormat="1" applyFont="1" applyFill="1" applyBorder="1" applyAlignment="1">
      <alignment vertical="center" wrapText="1"/>
    </xf>
    <xf numFmtId="176" fontId="4" fillId="8" borderId="7" xfId="49" applyNumberFormat="1" applyFont="1" applyFill="1" applyBorder="1" applyAlignment="1">
      <alignment vertical="center" wrapText="1"/>
    </xf>
    <xf numFmtId="177" fontId="4" fillId="12" borderId="0" xfId="49" applyNumberFormat="1" applyFont="1" applyFill="1" applyBorder="1" applyAlignment="1">
      <alignment vertical="center" wrapText="1"/>
    </xf>
    <xf numFmtId="177" fontId="4" fillId="9" borderId="4" xfId="49" applyNumberFormat="1" applyFont="1" applyFill="1" applyBorder="1" applyAlignment="1">
      <alignment vertical="center" wrapText="1"/>
    </xf>
    <xf numFmtId="0" fontId="12" fillId="9" borderId="4" xfId="49" applyNumberFormat="1" applyFont="1" applyFill="1" applyBorder="1" applyAlignment="1">
      <alignment vertical="center" wrapText="1"/>
    </xf>
    <xf numFmtId="0" fontId="4" fillId="9" borderId="4" xfId="49" applyNumberFormat="1" applyFont="1" applyFill="1" applyBorder="1" applyAlignment="1">
      <alignment vertical="center" wrapText="1"/>
    </xf>
    <xf numFmtId="0" fontId="4" fillId="17" borderId="4" xfId="49" applyNumberFormat="1" applyFont="1" applyFill="1" applyBorder="1" applyAlignment="1">
      <alignment vertical="top" wrapText="1"/>
    </xf>
    <xf numFmtId="0" fontId="4" fillId="8" borderId="4" xfId="49" applyNumberFormat="1" applyFont="1" applyFill="1" applyBorder="1" applyAlignment="1">
      <alignment vertical="center" wrapText="1"/>
    </xf>
    <xf numFmtId="176" fontId="4" fillId="8" borderId="4" xfId="49" applyNumberFormat="1" applyFont="1" applyFill="1" applyBorder="1" applyAlignment="1">
      <alignment vertical="center" wrapText="1"/>
    </xf>
    <xf numFmtId="177" fontId="4" fillId="9" borderId="0" xfId="49" applyNumberFormat="1" applyFont="1" applyFill="1" applyBorder="1" applyAlignment="1">
      <alignment vertical="center" wrapText="1"/>
    </xf>
    <xf numFmtId="177" fontId="4" fillId="10" borderId="5" xfId="49" applyNumberFormat="1" applyFont="1" applyFill="1" applyBorder="1" applyAlignment="1">
      <alignment vertical="center" wrapText="1"/>
    </xf>
    <xf numFmtId="0" fontId="13" fillId="10" borderId="5" xfId="49" applyNumberFormat="1" applyFont="1" applyFill="1" applyBorder="1" applyAlignment="1">
      <alignment vertical="center" wrapText="1"/>
    </xf>
    <xf numFmtId="0" fontId="4" fillId="10" borderId="5" xfId="49" applyNumberFormat="1" applyFont="1" applyFill="1" applyBorder="1" applyAlignment="1">
      <alignment vertical="center" wrapText="1"/>
    </xf>
    <xf numFmtId="0" fontId="4" fillId="17" borderId="5" xfId="49" applyNumberFormat="1" applyFont="1" applyFill="1" applyBorder="1" applyAlignment="1">
      <alignment vertical="top" wrapText="1"/>
    </xf>
    <xf numFmtId="0" fontId="4" fillId="8" borderId="5" xfId="49" applyNumberFormat="1" applyFont="1" applyFill="1" applyBorder="1" applyAlignment="1">
      <alignment vertical="center" wrapText="1"/>
    </xf>
    <xf numFmtId="176" fontId="4" fillId="8" borderId="5" xfId="49" applyNumberFormat="1" applyFont="1" applyFill="1" applyBorder="1" applyAlignment="1">
      <alignment vertical="center" wrapText="1"/>
    </xf>
    <xf numFmtId="177" fontId="4" fillId="10" borderId="0" xfId="49" applyNumberFormat="1" applyFont="1" applyFill="1" applyBorder="1" applyAlignment="1">
      <alignment vertical="center" wrapText="1"/>
    </xf>
    <xf numFmtId="177" fontId="4" fillId="33" borderId="11" xfId="49" applyNumberFormat="1" applyFont="1" applyFill="1" applyBorder="1" applyAlignment="1">
      <alignment vertical="center" wrapText="1"/>
    </xf>
    <xf numFmtId="0" fontId="35" fillId="33" borderId="11" xfId="49" applyNumberFormat="1" applyFont="1" applyFill="1" applyBorder="1" applyAlignment="1">
      <alignment vertical="center" wrapText="1"/>
    </xf>
    <xf numFmtId="0" fontId="4" fillId="33" borderId="11" xfId="49" applyNumberFormat="1" applyFont="1" applyFill="1" applyBorder="1" applyAlignment="1">
      <alignment vertical="center" wrapText="1"/>
    </xf>
    <xf numFmtId="0" fontId="4" fillId="17" borderId="11" xfId="49" applyNumberFormat="1" applyFont="1" applyFill="1" applyBorder="1" applyAlignment="1">
      <alignment vertical="top" wrapText="1"/>
    </xf>
    <xf numFmtId="0" fontId="4" fillId="8" borderId="11" xfId="49" applyNumberFormat="1" applyFont="1" applyFill="1" applyBorder="1" applyAlignment="1">
      <alignment vertical="center" wrapText="1"/>
    </xf>
    <xf numFmtId="176" fontId="4" fillId="8" borderId="11" xfId="49" applyNumberFormat="1" applyFont="1" applyFill="1" applyBorder="1" applyAlignment="1">
      <alignment vertical="center" wrapText="1"/>
    </xf>
    <xf numFmtId="177" fontId="4" fillId="33" borderId="0" xfId="49" applyNumberFormat="1" applyFont="1" applyFill="1" applyBorder="1" applyAlignment="1">
      <alignment vertical="center" wrapText="1"/>
    </xf>
    <xf numFmtId="0" fontId="35" fillId="33" borderId="0" xfId="49" applyNumberFormat="1" applyFont="1" applyFill="1" applyBorder="1" applyAlignment="1">
      <alignment vertical="center" wrapText="1"/>
    </xf>
    <xf numFmtId="0" fontId="4" fillId="33" borderId="0" xfId="49" applyNumberFormat="1" applyFont="1" applyFill="1" applyBorder="1" applyAlignment="1">
      <alignment vertical="center" wrapText="1"/>
    </xf>
    <xf numFmtId="177" fontId="4" fillId="34" borderId="12" xfId="49" applyNumberFormat="1" applyFont="1" applyFill="1" applyBorder="1" applyAlignment="1">
      <alignment vertical="center" wrapText="1"/>
    </xf>
    <xf numFmtId="0" fontId="36" fillId="34" borderId="12" xfId="49" applyNumberFormat="1" applyFont="1" applyFill="1" applyBorder="1" applyAlignment="1">
      <alignment vertical="center" wrapText="1"/>
    </xf>
    <xf numFmtId="0" fontId="4" fillId="34" borderId="12" xfId="49" applyNumberFormat="1" applyFont="1" applyFill="1" applyBorder="1" applyAlignment="1">
      <alignment vertical="center" wrapText="1"/>
    </xf>
    <xf numFmtId="0" fontId="4" fillId="17" borderId="12" xfId="49" applyNumberFormat="1" applyFont="1" applyFill="1" applyBorder="1" applyAlignment="1">
      <alignment vertical="top" wrapText="1"/>
    </xf>
    <xf numFmtId="0" fontId="4" fillId="8" borderId="12" xfId="49" applyNumberFormat="1" applyFont="1" applyFill="1" applyBorder="1" applyAlignment="1">
      <alignment vertical="center" wrapText="1"/>
    </xf>
    <xf numFmtId="176" fontId="4" fillId="8" borderId="12" xfId="49" applyNumberFormat="1" applyFont="1" applyFill="1" applyBorder="1" applyAlignment="1">
      <alignment vertical="center" wrapText="1"/>
    </xf>
    <xf numFmtId="177" fontId="4" fillId="34" borderId="0" xfId="49" applyNumberFormat="1" applyFont="1" applyFill="1" applyBorder="1" applyAlignment="1">
      <alignment vertical="center" wrapText="1"/>
    </xf>
    <xf numFmtId="0" fontId="36" fillId="34" borderId="0" xfId="49" applyNumberFormat="1" applyFont="1" applyFill="1" applyBorder="1" applyAlignment="1">
      <alignment vertical="center" wrapText="1"/>
    </xf>
    <xf numFmtId="0" fontId="4" fillId="34" borderId="0" xfId="49" applyNumberFormat="1" applyFont="1" applyFill="1" applyBorder="1" applyAlignment="1">
      <alignment vertical="center" wrapText="1"/>
    </xf>
    <xf numFmtId="177" fontId="4" fillId="11" borderId="6" xfId="49" applyNumberFormat="1" applyFont="1" applyFill="1" applyBorder="1" applyAlignment="1">
      <alignment vertical="center" wrapText="1"/>
    </xf>
    <xf numFmtId="0" fontId="14" fillId="11" borderId="6" xfId="49" applyNumberFormat="1" applyFont="1" applyFill="1" applyBorder="1" applyAlignment="1">
      <alignment vertical="center" wrapText="1"/>
    </xf>
    <xf numFmtId="0" fontId="4" fillId="11" borderId="6" xfId="49" applyNumberFormat="1" applyFont="1" applyFill="1" applyBorder="1" applyAlignment="1">
      <alignment vertical="center" wrapText="1"/>
    </xf>
    <xf numFmtId="0" fontId="4" fillId="17" borderId="6" xfId="49" applyNumberFormat="1" applyFont="1" applyFill="1" applyBorder="1" applyAlignment="1">
      <alignment vertical="top" wrapText="1"/>
    </xf>
    <xf numFmtId="0" fontId="4" fillId="8" borderId="6" xfId="49" applyNumberFormat="1" applyFont="1" applyFill="1" applyBorder="1" applyAlignment="1">
      <alignment vertical="center" wrapText="1"/>
    </xf>
    <xf numFmtId="176" fontId="4" fillId="8" borderId="6" xfId="49" applyNumberFormat="1" applyFont="1" applyFill="1" applyBorder="1" applyAlignment="1">
      <alignment vertical="center" wrapText="1"/>
    </xf>
    <xf numFmtId="177" fontId="4" fillId="11" borderId="0" xfId="49" applyNumberFormat="1" applyFont="1" applyFill="1" applyBorder="1" applyAlignment="1">
      <alignment vertical="center" wrapText="1"/>
    </xf>
    <xf numFmtId="177" fontId="4" fillId="13" borderId="8" xfId="49" applyNumberFormat="1" applyFont="1" applyFill="1" applyBorder="1" applyAlignment="1">
      <alignment vertical="center" wrapText="1"/>
    </xf>
    <xf numFmtId="0" fontId="16" fillId="13" borderId="8" xfId="49" applyNumberFormat="1" applyFont="1" applyFill="1" applyBorder="1" applyAlignment="1">
      <alignment vertical="center" wrapText="1"/>
    </xf>
    <xf numFmtId="0" fontId="4" fillId="13" borderId="8" xfId="49" applyNumberFormat="1" applyFont="1" applyFill="1" applyBorder="1" applyAlignment="1">
      <alignment vertical="center" wrapText="1"/>
    </xf>
    <xf numFmtId="0" fontId="4" fillId="4" borderId="8" xfId="49" applyNumberFormat="1" applyFont="1" applyFill="1" applyBorder="1" applyAlignment="1">
      <alignment vertical="top" wrapText="1"/>
    </xf>
    <xf numFmtId="0" fontId="4" fillId="8" borderId="8" xfId="49" applyNumberFormat="1" applyFont="1" applyFill="1" applyBorder="1" applyAlignment="1">
      <alignment vertical="center" wrapText="1"/>
    </xf>
    <xf numFmtId="176" fontId="4" fillId="8" borderId="8" xfId="49" applyNumberFormat="1" applyFont="1" applyFill="1" applyBorder="1" applyAlignment="1">
      <alignment vertical="center" wrapText="1"/>
    </xf>
    <xf numFmtId="177" fontId="4" fillId="13" borderId="0" xfId="49" applyNumberFormat="1" applyFont="1" applyFill="1" applyBorder="1" applyAlignment="1">
      <alignment vertical="center" wrapText="1"/>
    </xf>
    <xf numFmtId="177" fontId="4" fillId="35" borderId="13" xfId="49" applyNumberFormat="1" applyFont="1" applyFill="1" applyBorder="1" applyAlignment="1">
      <alignment vertical="center" wrapText="1"/>
    </xf>
    <xf numFmtId="0" fontId="37" fillId="35" borderId="13" xfId="49" applyNumberFormat="1" applyFont="1" applyFill="1" applyBorder="1" applyAlignment="1">
      <alignment vertical="center" wrapText="1"/>
    </xf>
    <xf numFmtId="0" fontId="4" fillId="35" borderId="13" xfId="49" applyNumberFormat="1" applyFont="1" applyFill="1" applyBorder="1" applyAlignment="1">
      <alignment vertical="center" wrapText="1"/>
    </xf>
    <xf numFmtId="0" fontId="4" fillId="4" borderId="13" xfId="49" applyNumberFormat="1" applyFont="1" applyFill="1" applyBorder="1" applyAlignment="1">
      <alignment vertical="top" wrapText="1"/>
    </xf>
    <xf numFmtId="0" fontId="4" fillId="8" borderId="13" xfId="49" applyNumberFormat="1" applyFont="1" applyFill="1" applyBorder="1" applyAlignment="1">
      <alignment vertical="center" wrapText="1"/>
    </xf>
    <xf numFmtId="176" fontId="4" fillId="8" borderId="13" xfId="49" applyNumberFormat="1" applyFont="1" applyFill="1" applyBorder="1" applyAlignment="1">
      <alignment vertical="center" wrapText="1"/>
    </xf>
    <xf numFmtId="177" fontId="4" fillId="35" borderId="0" xfId="49" applyNumberFormat="1" applyFont="1" applyFill="1" applyBorder="1" applyAlignment="1">
      <alignment vertical="center" wrapText="1"/>
    </xf>
    <xf numFmtId="0" fontId="37" fillId="35" borderId="0" xfId="49" applyNumberFormat="1" applyFont="1" applyFill="1" applyBorder="1" applyAlignment="1">
      <alignment vertical="center" wrapText="1"/>
    </xf>
    <xf numFmtId="0" fontId="4" fillId="35" borderId="0" xfId="49" applyNumberFormat="1" applyFont="1" applyFill="1" applyBorder="1" applyAlignment="1">
      <alignment vertical="center" wrapText="1"/>
    </xf>
    <xf numFmtId="177" fontId="4" fillId="36" borderId="14" xfId="49" applyNumberFormat="1" applyFont="1" applyFill="1" applyBorder="1" applyAlignment="1">
      <alignment vertical="center" wrapText="1"/>
    </xf>
    <xf numFmtId="0" fontId="38" fillId="36" borderId="14" xfId="49" applyNumberFormat="1" applyFont="1" applyFill="1" applyBorder="1" applyAlignment="1">
      <alignment vertical="center" wrapText="1"/>
    </xf>
    <xf numFmtId="0" fontId="4" fillId="36" borderId="14" xfId="49" applyNumberFormat="1" applyFont="1" applyFill="1" applyBorder="1" applyAlignment="1">
      <alignment vertical="center" wrapText="1"/>
    </xf>
    <xf numFmtId="0" fontId="4" fillId="4" borderId="14" xfId="49" applyNumberFormat="1" applyFont="1" applyFill="1" applyBorder="1" applyAlignment="1">
      <alignment vertical="top" wrapText="1"/>
    </xf>
    <xf numFmtId="0" fontId="4" fillId="8" borderId="14" xfId="49" applyNumberFormat="1" applyFont="1" applyFill="1" applyBorder="1" applyAlignment="1">
      <alignment vertical="center" wrapText="1"/>
    </xf>
    <xf numFmtId="176" fontId="4" fillId="8" borderId="14" xfId="49" applyNumberFormat="1" applyFont="1" applyFill="1" applyBorder="1" applyAlignment="1">
      <alignment vertical="center" wrapText="1"/>
    </xf>
    <xf numFmtId="177" fontId="4" fillId="36" borderId="0" xfId="49" applyNumberFormat="1" applyFont="1" applyFill="1" applyBorder="1" applyAlignment="1">
      <alignment vertical="center" wrapText="1"/>
    </xf>
    <xf numFmtId="0" fontId="38" fillId="36" borderId="0" xfId="49" applyNumberFormat="1" applyFont="1" applyFill="1" applyBorder="1" applyAlignment="1">
      <alignment vertical="center" wrapText="1"/>
    </xf>
    <xf numFmtId="0" fontId="4" fillId="36" borderId="0" xfId="49" applyNumberFormat="1" applyFont="1" applyFill="1" applyBorder="1" applyAlignment="1">
      <alignment vertical="center" wrapText="1"/>
    </xf>
    <xf numFmtId="177" fontId="4" fillId="37" borderId="15" xfId="49" applyNumberFormat="1" applyFont="1" applyFill="1" applyBorder="1" applyAlignment="1">
      <alignment vertical="center" wrapText="1"/>
    </xf>
    <xf numFmtId="0" fontId="39" fillId="37" borderId="15" xfId="49" applyNumberFormat="1" applyFont="1" applyFill="1" applyBorder="1" applyAlignment="1">
      <alignment vertical="center" wrapText="1"/>
    </xf>
    <xf numFmtId="0" fontId="4" fillId="37" borderId="15" xfId="49" applyNumberFormat="1" applyFont="1" applyFill="1" applyBorder="1" applyAlignment="1">
      <alignment vertical="center" wrapText="1"/>
    </xf>
    <xf numFmtId="0" fontId="4" fillId="17" borderId="15" xfId="49" applyNumberFormat="1" applyFont="1" applyFill="1" applyBorder="1" applyAlignment="1">
      <alignment vertical="top" wrapText="1"/>
    </xf>
    <xf numFmtId="0" fontId="4" fillId="8" borderId="15" xfId="49" applyNumberFormat="1" applyFont="1" applyFill="1" applyBorder="1" applyAlignment="1">
      <alignment vertical="center" wrapText="1"/>
    </xf>
    <xf numFmtId="176" fontId="4" fillId="8" borderId="15" xfId="49" applyNumberFormat="1" applyFont="1" applyFill="1" applyBorder="1" applyAlignment="1">
      <alignment vertical="center" wrapText="1"/>
    </xf>
    <xf numFmtId="177" fontId="4" fillId="37" borderId="0" xfId="49" applyNumberFormat="1" applyFont="1" applyFill="1" applyBorder="1" applyAlignment="1">
      <alignment vertical="center" wrapText="1"/>
    </xf>
    <xf numFmtId="0" fontId="39" fillId="37" borderId="0" xfId="49" applyNumberFormat="1" applyFont="1" applyFill="1" applyBorder="1" applyAlignment="1">
      <alignment vertical="center" wrapText="1"/>
    </xf>
    <xf numFmtId="0" fontId="4" fillId="37" borderId="0" xfId="49" applyNumberFormat="1" applyFont="1" applyFill="1" applyBorder="1" applyAlignment="1">
      <alignment vertical="center" wrapText="1"/>
    </xf>
    <xf numFmtId="177" fontId="4" fillId="14" borderId="9" xfId="49" applyNumberFormat="1" applyFont="1" applyFill="1" applyBorder="1" applyAlignment="1">
      <alignment vertical="center" wrapText="1"/>
    </xf>
    <xf numFmtId="0" fontId="17" fillId="14" borderId="9" xfId="49" applyNumberFormat="1" applyFont="1" applyFill="1" applyBorder="1" applyAlignment="1">
      <alignment vertical="center" wrapText="1"/>
    </xf>
    <xf numFmtId="0" fontId="4" fillId="14" borderId="9" xfId="49" applyNumberFormat="1" applyFont="1" applyFill="1" applyBorder="1" applyAlignment="1">
      <alignment vertical="center" wrapText="1"/>
    </xf>
    <xf numFmtId="0" fontId="4" fillId="17" borderId="9" xfId="49" applyNumberFormat="1" applyFont="1" applyFill="1" applyBorder="1" applyAlignment="1">
      <alignment vertical="top" wrapText="1"/>
    </xf>
    <xf numFmtId="0" fontId="4" fillId="8" borderId="9" xfId="49" applyNumberFormat="1" applyFont="1" applyFill="1" applyBorder="1" applyAlignment="1">
      <alignment vertical="center" wrapText="1"/>
    </xf>
    <xf numFmtId="176" fontId="4" fillId="8" borderId="9" xfId="49" applyNumberFormat="1" applyFont="1" applyFill="1" applyBorder="1" applyAlignment="1">
      <alignment vertical="center" wrapText="1"/>
    </xf>
    <xf numFmtId="177" fontId="4" fillId="14" borderId="0" xfId="49" applyNumberFormat="1" applyFont="1" applyFill="1" applyBorder="1" applyAlignment="1">
      <alignment vertical="center" wrapText="1"/>
    </xf>
    <xf numFmtId="177" fontId="4" fillId="33" borderId="16" xfId="49" applyNumberFormat="1" applyFont="1" applyFill="1" applyBorder="1" applyAlignment="1">
      <alignment vertical="center" wrapText="1"/>
    </xf>
    <xf numFmtId="0" fontId="40" fillId="33" borderId="16" xfId="49" applyNumberFormat="1" applyFont="1" applyFill="1" applyBorder="1" applyAlignment="1">
      <alignment vertical="center" wrapText="1"/>
    </xf>
    <xf numFmtId="0" fontId="4" fillId="33" borderId="16" xfId="49" applyNumberFormat="1" applyFont="1" applyFill="1" applyBorder="1" applyAlignment="1">
      <alignment vertical="center" wrapText="1"/>
    </xf>
    <xf numFmtId="0" fontId="4" fillId="4" borderId="16" xfId="49" applyNumberFormat="1" applyFont="1" applyFill="1" applyBorder="1" applyAlignment="1">
      <alignment vertical="top" wrapText="1"/>
    </xf>
    <xf numFmtId="0" fontId="4" fillId="8" borderId="16" xfId="49" applyNumberFormat="1" applyFont="1" applyFill="1" applyBorder="1" applyAlignment="1">
      <alignment vertical="center" wrapText="1"/>
    </xf>
    <xf numFmtId="176" fontId="4" fillId="8" borderId="16" xfId="49" applyNumberFormat="1" applyFont="1" applyFill="1" applyBorder="1" applyAlignment="1">
      <alignment vertical="center" wrapText="1"/>
    </xf>
    <xf numFmtId="0" fontId="40" fillId="33" borderId="0" xfId="49" applyNumberFormat="1" applyFont="1" applyFill="1" applyBorder="1" applyAlignment="1">
      <alignment vertical="center" wrapText="1"/>
    </xf>
    <xf numFmtId="177" fontId="4" fillId="11" borderId="17" xfId="49" applyNumberFormat="1" applyFont="1" applyFill="1" applyBorder="1" applyAlignment="1">
      <alignment vertical="center" wrapText="1"/>
    </xf>
    <xf numFmtId="0" fontId="41" fillId="11" borderId="17" xfId="49" applyNumberFormat="1" applyFont="1" applyFill="1" applyBorder="1" applyAlignment="1">
      <alignment vertical="center" wrapText="1"/>
    </xf>
    <xf numFmtId="0" fontId="4" fillId="11" borderId="17" xfId="49" applyNumberFormat="1" applyFont="1" applyFill="1" applyBorder="1" applyAlignment="1">
      <alignment vertical="center" wrapText="1"/>
    </xf>
    <xf numFmtId="0" fontId="4" fillId="17" borderId="17" xfId="49" applyNumberFormat="1" applyFont="1" applyFill="1" applyBorder="1" applyAlignment="1">
      <alignment vertical="top" wrapText="1"/>
    </xf>
    <xf numFmtId="0" fontId="4" fillId="8" borderId="17" xfId="49" applyNumberFormat="1" applyFont="1" applyFill="1" applyBorder="1" applyAlignment="1">
      <alignment vertical="center" wrapText="1"/>
    </xf>
    <xf numFmtId="176" fontId="4" fillId="8" borderId="17" xfId="49" applyNumberFormat="1" applyFont="1" applyFill="1" applyBorder="1" applyAlignment="1">
      <alignment vertical="center" wrapText="1"/>
    </xf>
    <xf numFmtId="0" fontId="41" fillId="11" borderId="0" xfId="49" applyNumberFormat="1" applyFont="1" applyFill="1" applyBorder="1" applyAlignment="1">
      <alignment vertical="center" wrapText="1"/>
    </xf>
    <xf numFmtId="177" fontId="4" fillId="38" borderId="18" xfId="49" applyNumberFormat="1" applyFont="1" applyFill="1" applyBorder="1" applyAlignment="1">
      <alignment vertical="center" wrapText="1"/>
    </xf>
    <xf numFmtId="0" fontId="42" fillId="38" borderId="18" xfId="49" applyNumberFormat="1" applyFont="1" applyFill="1" applyBorder="1" applyAlignment="1">
      <alignment vertical="center" wrapText="1"/>
    </xf>
    <xf numFmtId="0" fontId="4" fillId="38" borderId="18" xfId="49" applyNumberFormat="1" applyFont="1" applyFill="1" applyBorder="1" applyAlignment="1">
      <alignment vertical="center" wrapText="1"/>
    </xf>
    <xf numFmtId="0" fontId="4" fillId="4" borderId="18" xfId="49" applyNumberFormat="1" applyFont="1" applyFill="1" applyBorder="1" applyAlignment="1">
      <alignment vertical="top" wrapText="1"/>
    </xf>
    <xf numFmtId="0" fontId="4" fillId="8" borderId="18" xfId="49" applyNumberFormat="1" applyFont="1" applyFill="1" applyBorder="1" applyAlignment="1">
      <alignment vertical="center" wrapText="1"/>
    </xf>
    <xf numFmtId="176" fontId="4" fillId="8" borderId="18" xfId="49" applyNumberFormat="1" applyFont="1" applyFill="1" applyBorder="1" applyAlignment="1">
      <alignment vertical="center" wrapText="1"/>
    </xf>
    <xf numFmtId="177" fontId="4" fillId="38" borderId="0" xfId="49" applyNumberFormat="1" applyFont="1" applyFill="1" applyBorder="1" applyAlignment="1">
      <alignment vertical="center" wrapText="1"/>
    </xf>
    <xf numFmtId="0" fontId="42" fillId="38" borderId="0" xfId="49" applyNumberFormat="1" applyFont="1" applyFill="1" applyBorder="1" applyAlignment="1">
      <alignment vertical="center" wrapText="1"/>
    </xf>
    <xf numFmtId="0" fontId="4" fillId="38" borderId="0" xfId="49" applyNumberFormat="1" applyFont="1" applyFill="1" applyBorder="1" applyAlignment="1">
      <alignment vertical="center" wrapText="1"/>
    </xf>
    <xf numFmtId="177" fontId="4" fillId="39" borderId="19" xfId="49" applyNumberFormat="1" applyFont="1" applyFill="1" applyBorder="1" applyAlignment="1">
      <alignment vertical="center" wrapText="1"/>
    </xf>
    <xf numFmtId="0" fontId="43" fillId="39" borderId="19" xfId="49" applyNumberFormat="1" applyFont="1" applyFill="1" applyBorder="1" applyAlignment="1">
      <alignment vertical="center" wrapText="1"/>
    </xf>
    <xf numFmtId="0" fontId="4" fillId="39" borderId="19" xfId="49" applyNumberFormat="1" applyFont="1" applyFill="1" applyBorder="1" applyAlignment="1">
      <alignment vertical="center" wrapText="1"/>
    </xf>
    <xf numFmtId="0" fontId="4" fillId="17" borderId="19" xfId="49" applyNumberFormat="1" applyFont="1" applyFill="1" applyBorder="1" applyAlignment="1">
      <alignment vertical="top" wrapText="1"/>
    </xf>
    <xf numFmtId="0" fontId="4" fillId="8" borderId="19" xfId="49" applyNumberFormat="1" applyFont="1" applyFill="1" applyBorder="1" applyAlignment="1">
      <alignment vertical="center" wrapText="1"/>
    </xf>
    <xf numFmtId="176" fontId="4" fillId="8" borderId="19" xfId="49" applyNumberFormat="1" applyFont="1" applyFill="1" applyBorder="1" applyAlignment="1">
      <alignment vertical="center" wrapText="1"/>
    </xf>
    <xf numFmtId="177" fontId="4" fillId="39" borderId="0" xfId="49" applyNumberFormat="1" applyFont="1" applyFill="1" applyBorder="1" applyAlignment="1">
      <alignment vertical="center" wrapText="1"/>
    </xf>
    <xf numFmtId="0" fontId="43" fillId="39" borderId="0" xfId="49" applyNumberFormat="1" applyFont="1" applyFill="1" applyBorder="1" applyAlignment="1">
      <alignment vertical="center" wrapText="1"/>
    </xf>
    <xf numFmtId="0" fontId="4" fillId="39" borderId="0" xfId="49" applyNumberFormat="1" applyFont="1" applyFill="1" applyBorder="1" applyAlignment="1">
      <alignment vertical="center" wrapText="1"/>
    </xf>
    <xf numFmtId="0" fontId="44" fillId="0" borderId="0" xfId="49" applyNumberFormat="1" applyFont="1" applyFill="1" applyBorder="1" applyAlignment="1">
      <alignment vertical="center"/>
    </xf>
    <xf numFmtId="0" fontId="45" fillId="40" borderId="0" xfId="49" applyNumberFormat="1" applyFont="1" applyFill="1" applyBorder="1" applyAlignment="1">
      <alignment horizontal="center" vertical="center"/>
    </xf>
    <xf numFmtId="0" fontId="45" fillId="6" borderId="0" xfId="49" applyNumberFormat="1" applyFont="1" applyFill="1" applyBorder="1" applyAlignment="1">
      <alignment horizontal="center" vertical="center"/>
    </xf>
    <xf numFmtId="0" fontId="45" fillId="41" borderId="0" xfId="49" applyNumberFormat="1" applyFont="1" applyFill="1" applyBorder="1" applyAlignment="1">
      <alignment horizontal="center" vertical="center"/>
    </xf>
    <xf numFmtId="0" fontId="45" fillId="7" borderId="0" xfId="49" applyNumberFormat="1" applyFont="1" applyFill="1" applyBorder="1" applyAlignment="1">
      <alignment horizontal="center" vertical="center"/>
    </xf>
    <xf numFmtId="0" fontId="45" fillId="38" borderId="0" xfId="49" applyNumberFormat="1" applyFont="1" applyFill="1" applyBorder="1" applyAlignment="1">
      <alignment horizontal="center" vertical="center"/>
    </xf>
    <xf numFmtId="0" fontId="45" fillId="42" borderId="0" xfId="49" applyNumberFormat="1" applyFont="1" applyFill="1" applyBorder="1" applyAlignment="1">
      <alignment horizontal="center" vertical="center"/>
    </xf>
    <xf numFmtId="9" fontId="45" fillId="43" borderId="0" xfId="49" applyNumberFormat="1" applyFont="1" applyFill="1" applyBorder="1" applyAlignment="1">
      <alignment horizontal="center" vertical="center"/>
    </xf>
    <xf numFmtId="9" fontId="45" fillId="44" borderId="0" xfId="49" applyNumberFormat="1" applyFont="1" applyFill="1" applyBorder="1" applyAlignment="1">
      <alignment horizontal="center" vertical="center"/>
    </xf>
    <xf numFmtId="0" fontId="11" fillId="0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vertical="center"/>
    </xf>
    <xf numFmtId="9" fontId="4" fillId="5" borderId="0" xfId="49" applyNumberFormat="1" applyFont="1" applyFill="1" applyBorder="1" applyAlignment="1">
      <alignment vertical="center"/>
    </xf>
    <xf numFmtId="0" fontId="4" fillId="12" borderId="0" xfId="49" applyNumberFormat="1" applyFont="1" applyFill="1" applyBorder="1" applyAlignment="1">
      <alignment vertical="center"/>
    </xf>
    <xf numFmtId="9" fontId="4" fillId="12" borderId="0" xfId="49" applyNumberFormat="1" applyFont="1" applyFill="1" applyBorder="1" applyAlignment="1">
      <alignment vertical="center"/>
    </xf>
    <xf numFmtId="0" fontId="4" fillId="9" borderId="0" xfId="49" applyNumberFormat="1" applyFont="1" applyFill="1" applyBorder="1" applyAlignment="1">
      <alignment vertical="center"/>
    </xf>
    <xf numFmtId="9" fontId="4" fillId="9" borderId="0" xfId="49" applyNumberFormat="1" applyFont="1" applyFill="1" applyBorder="1" applyAlignment="1">
      <alignment vertical="center"/>
    </xf>
    <xf numFmtId="0" fontId="4" fillId="10" borderId="0" xfId="49" applyNumberFormat="1" applyFont="1" applyFill="1" applyBorder="1" applyAlignment="1">
      <alignment vertical="center"/>
    </xf>
    <xf numFmtId="9" fontId="4" fillId="10" borderId="0" xfId="49" applyNumberFormat="1" applyFont="1" applyFill="1" applyBorder="1" applyAlignment="1">
      <alignment vertical="center"/>
    </xf>
    <xf numFmtId="0" fontId="4" fillId="33" borderId="0" xfId="49" applyNumberFormat="1" applyFont="1" applyFill="1" applyBorder="1" applyAlignment="1">
      <alignment vertical="center"/>
    </xf>
    <xf numFmtId="9" fontId="4" fillId="33" borderId="0" xfId="49" applyNumberFormat="1" applyFont="1" applyFill="1" applyBorder="1" applyAlignment="1">
      <alignment vertical="center"/>
    </xf>
    <xf numFmtId="0" fontId="4" fillId="34" borderId="0" xfId="49" applyNumberFormat="1" applyFont="1" applyFill="1" applyBorder="1" applyAlignment="1">
      <alignment vertical="center"/>
    </xf>
    <xf numFmtId="9" fontId="4" fillId="34" borderId="0" xfId="49" applyNumberFormat="1" applyFont="1" applyFill="1" applyBorder="1" applyAlignment="1">
      <alignment vertical="center"/>
    </xf>
    <xf numFmtId="0" fontId="4" fillId="11" borderId="0" xfId="49" applyNumberFormat="1" applyFont="1" applyFill="1" applyBorder="1" applyAlignment="1">
      <alignment vertical="center"/>
    </xf>
    <xf numFmtId="9" fontId="4" fillId="11" borderId="0" xfId="49" applyNumberFormat="1" applyFont="1" applyFill="1" applyBorder="1" applyAlignment="1">
      <alignment vertical="center"/>
    </xf>
    <xf numFmtId="0" fontId="4" fillId="13" borderId="0" xfId="49" applyNumberFormat="1" applyFont="1" applyFill="1" applyBorder="1" applyAlignment="1">
      <alignment vertical="center"/>
    </xf>
    <xf numFmtId="9" fontId="4" fillId="13" borderId="0" xfId="49" applyNumberFormat="1" applyFont="1" applyFill="1" applyBorder="1" applyAlignment="1">
      <alignment vertical="center"/>
    </xf>
    <xf numFmtId="0" fontId="4" fillId="35" borderId="0" xfId="49" applyNumberFormat="1" applyFont="1" applyFill="1" applyBorder="1" applyAlignment="1">
      <alignment vertical="center"/>
    </xf>
    <xf numFmtId="9" fontId="4" fillId="35" borderId="0" xfId="49" applyNumberFormat="1" applyFont="1" applyFill="1" applyBorder="1" applyAlignment="1">
      <alignment vertical="center"/>
    </xf>
    <xf numFmtId="0" fontId="4" fillId="36" borderId="0" xfId="49" applyNumberFormat="1" applyFont="1" applyFill="1" applyBorder="1" applyAlignment="1">
      <alignment vertical="center"/>
    </xf>
    <xf numFmtId="9" fontId="4" fillId="36" borderId="0" xfId="49" applyNumberFormat="1" applyFont="1" applyFill="1" applyBorder="1" applyAlignment="1">
      <alignment vertical="center"/>
    </xf>
    <xf numFmtId="0" fontId="4" fillId="37" borderId="0" xfId="49" applyNumberFormat="1" applyFont="1" applyFill="1" applyBorder="1" applyAlignment="1">
      <alignment vertical="center"/>
    </xf>
    <xf numFmtId="9" fontId="4" fillId="37" borderId="0" xfId="49" applyNumberFormat="1" applyFont="1" applyFill="1" applyBorder="1" applyAlignment="1">
      <alignment vertical="center"/>
    </xf>
    <xf numFmtId="0" fontId="4" fillId="14" borderId="0" xfId="49" applyNumberFormat="1" applyFont="1" applyFill="1" applyBorder="1" applyAlignment="1">
      <alignment vertical="center"/>
    </xf>
    <xf numFmtId="9" fontId="4" fillId="14" borderId="0" xfId="49" applyNumberFormat="1" applyFont="1" applyFill="1" applyBorder="1" applyAlignment="1">
      <alignment vertical="center"/>
    </xf>
    <xf numFmtId="0" fontId="4" fillId="38" borderId="0" xfId="49" applyNumberFormat="1" applyFont="1" applyFill="1" applyBorder="1" applyAlignment="1">
      <alignment vertical="center"/>
    </xf>
    <xf numFmtId="9" fontId="4" fillId="38" borderId="0" xfId="49" applyNumberFormat="1" applyFont="1" applyFill="1" applyBorder="1" applyAlignment="1">
      <alignment vertical="center"/>
    </xf>
    <xf numFmtId="0" fontId="4" fillId="39" borderId="0" xfId="49" applyNumberFormat="1" applyFont="1" applyFill="1" applyBorder="1" applyAlignment="1">
      <alignment vertical="center"/>
    </xf>
    <xf numFmtId="9" fontId="4" fillId="39" borderId="0" xfId="49" applyNumberFormat="1" applyFont="1" applyFill="1" applyBorder="1" applyAlignment="1">
      <alignment vertical="center"/>
    </xf>
    <xf numFmtId="0" fontId="46" fillId="0" borderId="0" xfId="49" applyNumberFormat="1" applyFont="1" applyFill="1" applyBorder="1" applyAlignment="1">
      <alignment vertical="center"/>
    </xf>
    <xf numFmtId="0" fontId="4" fillId="16" borderId="0" xfId="49" applyNumberFormat="1" applyFont="1" applyFill="1" applyBorder="1" applyAlignment="1">
      <alignment vertical="center" wrapText="1"/>
    </xf>
    <xf numFmtId="0" fontId="47" fillId="0" borderId="0" xfId="49" applyNumberFormat="1" applyFont="1" applyFill="1" applyBorder="1" applyAlignment="1">
      <alignment vertical="center"/>
    </xf>
    <xf numFmtId="0" fontId="48" fillId="1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/>
    <xf numFmtId="0" fontId="4" fillId="0" borderId="0" xfId="49" applyNumberFormat="1" applyFont="1" applyFill="1" applyBorder="1" applyAlignment="1">
      <alignment wrapText="1"/>
    </xf>
    <xf numFmtId="0" fontId="49" fillId="0" borderId="0" xfId="49" applyNumberFormat="1" applyFont="1" applyFill="1" applyBorder="1"/>
    <xf numFmtId="0" fontId="48" fillId="9" borderId="0" xfId="49" applyNumberFormat="1" applyFont="1" applyFill="1" applyBorder="1" applyAlignment="1">
      <alignment horizontal="center" wrapText="1"/>
    </xf>
    <xf numFmtId="0" fontId="4" fillId="8" borderId="0" xfId="49" applyNumberFormat="1" applyFont="1" applyFill="1" applyBorder="1" applyAlignment="1">
      <alignment wrapText="1"/>
    </xf>
    <xf numFmtId="0" fontId="50" fillId="5" borderId="0" xfId="49" applyNumberFormat="1" applyFont="1" applyFill="1" applyBorder="1" applyAlignment="1">
      <alignment wrapText="1"/>
    </xf>
    <xf numFmtId="0" fontId="51" fillId="0" borderId="0" xfId="49" applyNumberFormat="1" applyFont="1" applyFill="1" applyBorder="1"/>
    <xf numFmtId="0" fontId="48" fillId="12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8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475569"/>
      </font>
      <fill>
        <patternFill patternType="solid">
          <bgColor rgb="FFF1F5F9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6D28D9"/>
      </font>
      <fill>
        <patternFill patternType="solid">
          <bgColor rgb="FFEDE9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</font>
      <fill>
        <patternFill patternType="solid">
          <bgColor rgb="FFDCFCE7"/>
        </patternFill>
      </fill>
    </dxf>
    <dxf>
      <font>
        <b val="1"/>
      </font>
      <fill>
        <patternFill patternType="solid">
          <bgColor rgb="FFFEE2E2"/>
        </patternFill>
      </fill>
    </dxf>
    <dxf>
      <font>
        <b val="1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ontendCases" displayName="FrontendCases" ref="A5:K157" totalsRowShown="0">
  <autoFilter xmlns:etc="http://www.wps.cn/officeDocument/2017/etCustomData" ref="A5:K157" etc:filterBottomFollowUsedRange="0"/>
  <tableColumns count="11">
    <tableColumn id="1" name="编号"/>
    <tableColumn id="2" name="测试模块"/>
    <tableColumn id="3" name="优先顺序"/>
    <tableColumn id="4" name="怎么测"/>
    <tableColumn id="5" name="怎样才算正常"/>
    <tableColumn id="6" name="测试结果"/>
    <tableColumn id="7" name="实际看到什么"/>
    <tableColumn id="8" name="测试人"/>
    <tableColumn id="9" name="测试日期"/>
    <tableColumn id="10" name="截图或证据位置"/>
    <tableColumn id="11" name="问题编号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IssueLog" displayName="IssueLog" ref="A5:J35" totalsRowShown="0">
  <autoFilter xmlns:etc="http://www.wps.cn/officeDocument/2017/etCustomData" ref="A5:J35" etc:filterBottomFollowUsedRange="0"/>
  <tableColumns count="10">
    <tableColumn id="1" name="问题编号"/>
    <tableColumn id="2" name="检查项编号"/>
    <tableColumn id="3" name="问题简述"/>
    <tableColumn id="4" name="怎么操作会出现"/>
    <tableColumn id="5" name="本来应该怎样"/>
    <tableColumn id="6" name="实际出现什么"/>
    <tableColumn id="7" name="严重程度"/>
    <tableColumn id="8" name="负责人"/>
    <tableColumn id="9" name="处理进度"/>
    <tableColumn id="10" name="修复版本和复测情况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EndToEndFlows" displayName="EndToEndFlows" ref="A5:J41" totalsRowShown="0">
  <autoFilter xmlns:etc="http://www.wps.cn/officeDocument/2017/etCustomData" ref="A5:J41" etc:filterBottomFollowUsedRange="0"/>
  <tableColumns count="10">
    <tableColumn id="1" name="流程编号"/>
    <tableColumn id="2" name="本轮场景"/>
    <tableColumn id="3" name="配置组合"/>
    <tableColumn id="4" name="本轮重点怎么做"/>
    <tableColumn id="5" name="走到哪里才算跑通"/>
    <tableColumn id="6" name="数据批次及事件编号"/>
    <tableColumn id="7" name="流程结果"/>
    <tableColumn id="8" name="负责人"/>
    <tableColumn id="9" name="执行日期或轮次"/>
    <tableColumn id="10" name="问题及证据索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lowSteps" displayName="FlowSteps" ref="A5:L365" totalsRowShown="0">
  <autoFilter xmlns:etc="http://www.wps.cn/officeDocument/2017/etCustomData" ref="A5:L365" etc:filterBottomFollowUsedRange="0"/>
  <tableColumns count="12">
    <tableColumn id="1" name="流程编号"/>
    <tableColumn id="2" name="步骤"/>
    <tableColumn id="3" name="测试阶段"/>
    <tableColumn id="4" name="场景"/>
    <tableColumn id="5" name="怎么做"/>
    <tableColumn id="6" name="这一步应该看到什么"/>
    <tableColumn id="7" name="本步结果"/>
    <tableColumn id="8" name="实际结果及子批次"/>
    <tableColumn id="9" name="测试人"/>
    <tableColumn id="10" name="测试日期"/>
    <tableColumn id="11" name="截图和证据位置"/>
    <tableColumn id="12" name="目标或事件编号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nReview" displayName="PlanReview" ref="A5:J17" totalsRowShown="0">
  <autoFilter xmlns:etc="http://www.wps.cn/officeDocument/2017/etCustomData" ref="A5:J17" etc:filterBottomFollowUsedRange="0"/>
  <tableColumns count="10">
    <tableColumn id="1" name="编号"/>
    <tableColumn id="2" name="处理顺序"/>
    <tableColumn id="3" name="问题性质"/>
    <tableColumn id="4" name="说清楚是什么问题"/>
    <tableColumn id="5" name="核对发现"/>
    <tableColumn id="6" name="测试计划怎么改"/>
    <tableColumn id="7" name="依据"/>
    <tableColumn id="8" name="关联位置"/>
    <tableColumn id="9" name="负责人"/>
    <tableColumn id="10" name="确认意见或变更编号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pplementCases" displayName="SupplementCases" ref="A5:M53" totalsRowShown="0">
  <autoFilter xmlns:etc="http://www.wps.cn/officeDocument/2017/etCustomData" ref="A5:M53" etc:filterBottomFollowUsedRange="0"/>
  <tableColumns count="13">
    <tableColumn id="1" name="编号"/>
    <tableColumn id="2" name="问题编号"/>
    <tableColumn id="3" name="模块"/>
    <tableColumn id="4" name="优先顺序"/>
    <tableColumn id="5" name="场景和准备条件"/>
    <tableColumn id="6" name="怎么测"/>
    <tableColumn id="7" name="怎样才算正常"/>
    <tableColumn id="8" name="测试结果"/>
    <tableColumn id="9" name="实际结果及批次"/>
    <tableColumn id="10" name="证据位置及关联编号"/>
    <tableColumn id="11" name="执行人"/>
    <tableColumn id="12" name="执行日期"/>
    <tableColumn id="13" name="记录检查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viceOpsCases" displayName="DeviceOpsCases" ref="A5:M69" totalsRowShown="0">
  <autoFilter xmlns:etc="http://www.wps.cn/officeDocument/2017/etCustomData" ref="A5:M69" etc:filterBottomFollowUsedRange="0"/>
  <tableColumns count="13">
    <tableColumn id="1" name="编号"/>
    <tableColumn id="2" name="测试模块"/>
    <tableColumn id="3" name="优先顺序"/>
    <tableColumn id="4" name="这次要测什么"/>
    <tableColumn id="5" name="准备条件和怎么做"/>
    <tableColumn id="6" name="怎样才算正常"/>
    <tableColumn id="7" name="要留下的证据"/>
    <tableColumn id="8" name="测试结果"/>
    <tableColumn id="9" name="实际结果与批次"/>
    <tableColumn id="10" name="证据位置与关联编号"/>
    <tableColumn id="11" name="测试人"/>
    <tableColumn id="12" name="测试日期"/>
    <tableColumn id="13" name="记录检查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xecutionRecords" displayName="ExecutionRecords" ref="A4:G16" totalsRowShown="0">
  <tableColumns count="7">
    <tableColumn id="1" name="记录编号"/>
    <tableColumn id="2" name="关联范围"/>
    <tableColumn id="3" name="执行内容"/>
    <tableColumn id="4" name="实际结果"/>
    <tableColumn id="5" name="结论"/>
    <tableColumn id="6" name="证据文件（见下方目录）"/>
    <tableColumn id="7" name="下一步/限制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oundTwoRecords" displayName="RoundTwoRecords" ref="A23:G28" totalsRowShown="0">
  <tableColumns count="7">
    <tableColumn id="1" name="记录编号"/>
    <tableColumn id="2" name="关联范围"/>
    <tableColumn id="3" name="执行内容"/>
    <tableColumn id="4" name="实际结果"/>
    <tableColumn id="5" name="结论"/>
    <tableColumn id="6" name="证据文件（见下方目录）"/>
    <tableColumn id="7" name="下一步/限制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oundThreeRecords" displayName="RoundThreeRecords" ref="A34:G44" totalsRowShown="0">
  <tableColumns count="7">
    <tableColumn id="1" name="记录编号"/>
    <tableColumn id="2" name="关联范围"/>
    <tableColumn id="3" name="执行内容"/>
    <tableColumn id="4" name="实际结果"/>
    <tableColumn id="5" name="结论"/>
    <tableColumn id="6" name="证据文件（第三轮）"/>
    <tableColumn id="7" name="下一步/限制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oundFourRecords" displayName="RoundFourRecords" ref="A50:G61" totalsRowShown="0">
  <tableColumns count="7">
    <tableColumn id="1" name="记录编号"/>
    <tableColumn id="2" name="关联范围"/>
    <tableColumn id="3" name="执行内容"/>
    <tableColumn id="4" name="实际结果"/>
    <tableColumn id="5" name="结论"/>
    <tableColumn id="6" name="证据文件（第四轮）"/>
    <tableColumn id="7" name="下一步/限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324F"/>
  </sheetPr>
  <dimension ref="A1:H76"/>
  <sheetViews>
    <sheetView showGridLines="0" tabSelected="1" workbookViewId="0">
      <selection activeCell="K5" sqref="K5"/>
    </sheetView>
  </sheetViews>
  <sheetFormatPr defaultColWidth="9" defaultRowHeight="14" outlineLevelCol="7"/>
  <cols>
    <col min="1" max="1" width="31" customWidth="1"/>
    <col min="2" max="2" width="14" customWidth="1"/>
    <col min="3" max="3" width="16" customWidth="1"/>
    <col min="4" max="4" width="17" customWidth="1"/>
    <col min="5" max="5" width="19" customWidth="1"/>
    <col min="6" max="6" width="17" customWidth="1"/>
    <col min="7" max="7" width="16" customWidth="1"/>
    <col min="8" max="8" width="17" customWidth="1"/>
  </cols>
  <sheetData>
    <row r="1" ht="16.5" spans="1:8">
      <c r="A1" s="15"/>
      <c r="B1" s="15"/>
      <c r="C1" s="15"/>
      <c r="D1" s="15"/>
      <c r="E1" s="15"/>
      <c r="F1" s="15"/>
      <c r="G1" s="15"/>
      <c r="H1" s="15"/>
    </row>
    <row r="2" ht="32" customHeight="1" spans="1:8">
      <c r="A2" s="106" t="s">
        <v>0</v>
      </c>
      <c r="B2" s="107"/>
      <c r="C2" s="107"/>
      <c r="D2" s="107"/>
      <c r="E2" s="107"/>
      <c r="F2" s="107"/>
      <c r="G2" s="107"/>
      <c r="H2" s="107"/>
    </row>
    <row r="3" ht="16.5" spans="1:8">
      <c r="A3" s="252" t="s">
        <v>1</v>
      </c>
      <c r="B3" s="15"/>
      <c r="C3" s="15"/>
      <c r="D3" s="15"/>
      <c r="E3" s="15"/>
      <c r="F3" s="15"/>
      <c r="G3" s="15"/>
      <c r="H3" s="15"/>
    </row>
    <row r="4" ht="16.5" spans="1:8">
      <c r="A4" s="15"/>
      <c r="B4" s="15"/>
      <c r="C4" s="15"/>
      <c r="D4" s="15"/>
      <c r="E4" s="15"/>
      <c r="F4" s="15"/>
      <c r="G4" s="15"/>
      <c r="H4" s="15"/>
    </row>
    <row r="5" ht="32" customHeight="1" spans="1:8">
      <c r="A5" s="18" t="s">
        <v>2</v>
      </c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</row>
    <row r="6" ht="45" customHeight="1" spans="1:8">
      <c r="A6" s="253">
        <f>COUNTA(测试清单!$A$6:$A$157)</f>
        <v>152</v>
      </c>
      <c r="B6" s="254">
        <f>COUNTIF(测试清单!$F$6:$F$157,"通过")</f>
        <v>33</v>
      </c>
      <c r="C6" s="255">
        <f>COUNTIF(测试清单!$F$6:$F$157,"有问题")</f>
        <v>9</v>
      </c>
      <c r="D6" s="256">
        <f>COUNTIF(测试清单!$F$6:$F$157,"暂时测不了")</f>
        <v>107</v>
      </c>
      <c r="E6" s="257">
        <f>COUNTIF(测试清单!$F$6:$F$157,"还没测")</f>
        <v>0</v>
      </c>
      <c r="F6" s="258">
        <f>COUNTIF(测试清单!$F$6:$F$157,"不适用")</f>
        <v>3</v>
      </c>
      <c r="G6" s="259">
        <f>IF(A6-F6=0,"不适用",(B6+C6)/(A6-F6))</f>
        <v>0.281879194630872</v>
      </c>
      <c r="H6" s="260">
        <f>IF(B6+C6=0,"尚未执行",B6/(B6+C6))</f>
        <v>0.785714285714286</v>
      </c>
    </row>
    <row r="7" ht="16.5" spans="1:8">
      <c r="A7" s="15"/>
      <c r="B7" s="15"/>
      <c r="C7" s="15"/>
      <c r="D7" s="15"/>
      <c r="E7" s="15"/>
      <c r="F7" s="15"/>
      <c r="G7" s="15"/>
      <c r="H7" s="15"/>
    </row>
    <row r="8" ht="16.5" spans="1:8">
      <c r="A8" s="261" t="s">
        <v>10</v>
      </c>
      <c r="B8" s="15"/>
      <c r="C8" s="15"/>
      <c r="D8" s="15"/>
      <c r="E8" s="15"/>
      <c r="F8" s="15"/>
      <c r="G8" s="15"/>
      <c r="H8" s="15"/>
    </row>
    <row r="9" ht="95" customHeight="1" spans="1:8">
      <c r="A9" s="17" t="s">
        <v>11</v>
      </c>
      <c r="B9" s="17"/>
      <c r="C9" s="17"/>
      <c r="D9" s="17"/>
      <c r="E9" s="17"/>
      <c r="F9" s="17"/>
      <c r="G9" s="17"/>
      <c r="H9" s="17"/>
    </row>
    <row r="10" ht="95" customHeight="1" spans="1:8">
      <c r="A10" s="17" t="s">
        <v>12</v>
      </c>
      <c r="B10" s="17"/>
      <c r="C10" s="17"/>
      <c r="D10" s="17"/>
      <c r="E10" s="17"/>
      <c r="F10" s="17"/>
      <c r="G10" s="17"/>
      <c r="H10" s="17"/>
    </row>
    <row r="11" ht="16.5" spans="1:8">
      <c r="A11" s="15"/>
      <c r="B11" s="15"/>
      <c r="C11" s="15"/>
      <c r="D11" s="15"/>
      <c r="E11" s="15"/>
      <c r="F11" s="15"/>
      <c r="G11" s="15"/>
      <c r="H11" s="15"/>
    </row>
    <row r="12" ht="32" customHeight="1" spans="1:8">
      <c r="A12" s="18" t="s">
        <v>13</v>
      </c>
      <c r="B12" s="18" t="s">
        <v>14</v>
      </c>
      <c r="C12" s="18" t="s">
        <v>15</v>
      </c>
      <c r="D12" s="18" t="s">
        <v>4</v>
      </c>
      <c r="E12" s="18" t="s">
        <v>5</v>
      </c>
      <c r="F12" s="18" t="s">
        <v>6</v>
      </c>
      <c r="G12" s="18" t="s">
        <v>7</v>
      </c>
      <c r="H12" s="18" t="s">
        <v>8</v>
      </c>
    </row>
    <row r="13" ht="39" customHeight="1" spans="1:8">
      <c r="A13" s="19" t="s">
        <v>16</v>
      </c>
      <c r="B13" s="262">
        <f>COUNTIF(测试清单!$B$6:$B$157,A13)</f>
        <v>12</v>
      </c>
      <c r="C13" s="262">
        <f>COUNTIFS(测试清单!$B$6:$B$157,A13,测试清单!$F$6:$F$157,"通过")</f>
        <v>4</v>
      </c>
      <c r="D13" s="262">
        <f>COUNTIFS(测试清单!$B$6:$B$157,A13,测试清单!$F$6:$F$157,"有问题")</f>
        <v>1</v>
      </c>
      <c r="E13" s="262">
        <f>COUNTIFS(测试清单!$B$6:$B$157,A13,测试清单!$F$6:$F$157,"暂时测不了")</f>
        <v>6</v>
      </c>
      <c r="F13" s="262">
        <f>COUNTIFS(测试清单!$B$6:$B$157,A13,测试清单!$F$6:$F$157,"还没测")</f>
        <v>0</v>
      </c>
      <c r="G13" s="262">
        <f>COUNTIFS(测试清单!$B$6:$B$157,A13,测试清单!$F$6:$F$157,"不适用")</f>
        <v>1</v>
      </c>
      <c r="H13" s="263">
        <f t="shared" ref="H13:H28" si="0">IF(B13-G13=0,"不适用",(C13+D13)/(B13-G13))</f>
        <v>0.454545454545455</v>
      </c>
    </row>
    <row r="14" ht="39" customHeight="1" spans="1:8">
      <c r="A14" s="28" t="s">
        <v>17</v>
      </c>
      <c r="B14" s="264">
        <f>COUNTIF(测试清单!$B$6:$B$157,A14)</f>
        <v>10</v>
      </c>
      <c r="C14" s="264">
        <f>COUNTIFS(测试清单!$B$6:$B$157,A14,测试清单!$F$6:$F$157,"通过")</f>
        <v>2</v>
      </c>
      <c r="D14" s="264">
        <f>COUNTIFS(测试清单!$B$6:$B$157,A14,测试清单!$F$6:$F$157,"有问题")</f>
        <v>1</v>
      </c>
      <c r="E14" s="264">
        <f>COUNTIFS(测试清单!$B$6:$B$157,A14,测试清单!$F$6:$F$157,"暂时测不了")</f>
        <v>7</v>
      </c>
      <c r="F14" s="264">
        <f>COUNTIFS(测试清单!$B$6:$B$157,A14,测试清单!$F$6:$F$157,"还没测")</f>
        <v>0</v>
      </c>
      <c r="G14" s="264">
        <f>COUNTIFS(测试清单!$B$6:$B$157,A14,测试清单!$F$6:$F$157,"不适用")</f>
        <v>0</v>
      </c>
      <c r="H14" s="265">
        <f t="shared" si="0"/>
        <v>0.3</v>
      </c>
    </row>
    <row r="15" ht="39" customHeight="1" spans="1:8">
      <c r="A15" s="22" t="s">
        <v>18</v>
      </c>
      <c r="B15" s="266">
        <f>COUNTIF(测试清单!$B$6:$B$157,A15)</f>
        <v>10</v>
      </c>
      <c r="C15" s="266">
        <f>COUNTIFS(测试清单!$B$6:$B$157,A15,测试清单!$F$6:$F$157,"通过")</f>
        <v>4</v>
      </c>
      <c r="D15" s="266">
        <f>COUNTIFS(测试清单!$B$6:$B$157,A15,测试清单!$F$6:$F$157,"有问题")</f>
        <v>0</v>
      </c>
      <c r="E15" s="266">
        <f>COUNTIFS(测试清单!$B$6:$B$157,A15,测试清单!$F$6:$F$157,"暂时测不了")</f>
        <v>6</v>
      </c>
      <c r="F15" s="266">
        <f>COUNTIFS(测试清单!$B$6:$B$157,A15,测试清单!$F$6:$F$157,"还没测")</f>
        <v>0</v>
      </c>
      <c r="G15" s="266">
        <f>COUNTIFS(测试清单!$B$6:$B$157,A15,测试清单!$F$6:$F$157,"不适用")</f>
        <v>0</v>
      </c>
      <c r="H15" s="267">
        <f t="shared" si="0"/>
        <v>0.4</v>
      </c>
    </row>
    <row r="16" ht="39" customHeight="1" spans="1:8">
      <c r="A16" s="24" t="s">
        <v>19</v>
      </c>
      <c r="B16" s="268">
        <f>COUNTIF(测试清单!$B$6:$B$157,A16)</f>
        <v>12</v>
      </c>
      <c r="C16" s="268">
        <f>COUNTIFS(测试清单!$B$6:$B$157,A16,测试清单!$F$6:$F$157,"通过")</f>
        <v>5</v>
      </c>
      <c r="D16" s="268">
        <f>COUNTIFS(测试清单!$B$6:$B$157,A16,测试清单!$F$6:$F$157,"有问题")</f>
        <v>1</v>
      </c>
      <c r="E16" s="268">
        <f>COUNTIFS(测试清单!$B$6:$B$157,A16,测试清单!$F$6:$F$157,"暂时测不了")</f>
        <v>6</v>
      </c>
      <c r="F16" s="268">
        <f>COUNTIFS(测试清单!$B$6:$B$157,A16,测试清单!$F$6:$F$157,"还没测")</f>
        <v>0</v>
      </c>
      <c r="G16" s="268">
        <f>COUNTIFS(测试清单!$B$6:$B$157,A16,测试清单!$F$6:$F$157,"不适用")</f>
        <v>0</v>
      </c>
      <c r="H16" s="269">
        <f t="shared" si="0"/>
        <v>0.5</v>
      </c>
    </row>
    <row r="17" ht="39" customHeight="1" spans="1:8">
      <c r="A17" s="161" t="s">
        <v>20</v>
      </c>
      <c r="B17" s="270">
        <f>COUNTIF(测试清单!$B$6:$B$157,A17)</f>
        <v>6</v>
      </c>
      <c r="C17" s="270">
        <f>COUNTIFS(测试清单!$B$6:$B$157,A17,测试清单!$F$6:$F$157,"通过")</f>
        <v>1</v>
      </c>
      <c r="D17" s="270">
        <f>COUNTIFS(测试清单!$B$6:$B$157,A17,测试清单!$F$6:$F$157,"有问题")</f>
        <v>0</v>
      </c>
      <c r="E17" s="270">
        <f>COUNTIFS(测试清单!$B$6:$B$157,A17,测试清单!$F$6:$F$157,"暂时测不了")</f>
        <v>5</v>
      </c>
      <c r="F17" s="270">
        <f>COUNTIFS(测试清单!$B$6:$B$157,A17,测试清单!$F$6:$F$157,"还没测")</f>
        <v>0</v>
      </c>
      <c r="G17" s="270">
        <f>COUNTIFS(测试清单!$B$6:$B$157,A17,测试清单!$F$6:$F$157,"不适用")</f>
        <v>0</v>
      </c>
      <c r="H17" s="271">
        <f t="shared" si="0"/>
        <v>0.166666666666667</v>
      </c>
    </row>
    <row r="18" ht="39" customHeight="1" spans="1:8">
      <c r="A18" s="170" t="s">
        <v>21</v>
      </c>
      <c r="B18" s="272">
        <f>COUNTIF(测试清单!$B$6:$B$157,A18)</f>
        <v>6</v>
      </c>
      <c r="C18" s="272">
        <f>COUNTIFS(测试清单!$B$6:$B$157,A18,测试清单!$F$6:$F$157,"通过")</f>
        <v>0</v>
      </c>
      <c r="D18" s="272">
        <f>COUNTIFS(测试清单!$B$6:$B$157,A18,测试清单!$F$6:$F$157,"有问题")</f>
        <v>0</v>
      </c>
      <c r="E18" s="272">
        <f>COUNTIFS(测试清单!$B$6:$B$157,A18,测试清单!$F$6:$F$157,"暂时测不了")</f>
        <v>6</v>
      </c>
      <c r="F18" s="272">
        <f>COUNTIFS(测试清单!$B$6:$B$157,A18,测试清单!$F$6:$F$157,"还没测")</f>
        <v>0</v>
      </c>
      <c r="G18" s="272">
        <f>COUNTIFS(测试清单!$B$6:$B$157,A18,测试清单!$F$6:$F$157,"不适用")</f>
        <v>0</v>
      </c>
      <c r="H18" s="273">
        <f t="shared" si="0"/>
        <v>0</v>
      </c>
    </row>
    <row r="19" ht="39" customHeight="1" spans="1:8">
      <c r="A19" s="26" t="s">
        <v>22</v>
      </c>
      <c r="B19" s="274">
        <f>COUNTIF(测试清单!$B$6:$B$157,A19)</f>
        <v>9</v>
      </c>
      <c r="C19" s="274">
        <f>COUNTIFS(测试清单!$B$6:$B$157,A19,测试清单!$F$6:$F$157,"通过")</f>
        <v>5</v>
      </c>
      <c r="D19" s="274">
        <f>COUNTIFS(测试清单!$B$6:$B$157,A19,测试清单!$F$6:$F$157,"有问题")</f>
        <v>0</v>
      </c>
      <c r="E19" s="274">
        <f>COUNTIFS(测试清单!$B$6:$B$157,A19,测试清单!$F$6:$F$157,"暂时测不了")</f>
        <v>4</v>
      </c>
      <c r="F19" s="274">
        <f>COUNTIFS(测试清单!$B$6:$B$157,A19,测试清单!$F$6:$F$157,"还没测")</f>
        <v>0</v>
      </c>
      <c r="G19" s="274">
        <f>COUNTIFS(测试清单!$B$6:$B$157,A19,测试清单!$F$6:$F$157,"不适用")</f>
        <v>0</v>
      </c>
      <c r="H19" s="275">
        <f t="shared" si="0"/>
        <v>0.555555555555556</v>
      </c>
    </row>
    <row r="20" ht="39" customHeight="1" spans="1:8">
      <c r="A20" s="30" t="s">
        <v>23</v>
      </c>
      <c r="B20" s="276">
        <f>COUNTIF(测试清单!$B$6:$B$157,A20)</f>
        <v>14</v>
      </c>
      <c r="C20" s="276">
        <f>COUNTIFS(测试清单!$B$6:$B$157,A20,测试清单!$F$6:$F$157,"通过")</f>
        <v>1</v>
      </c>
      <c r="D20" s="276">
        <f>COUNTIFS(测试清单!$B$6:$B$157,A20,测试清单!$F$6:$F$157,"有问题")</f>
        <v>0</v>
      </c>
      <c r="E20" s="276">
        <f>COUNTIFS(测试清单!$B$6:$B$157,A20,测试清单!$F$6:$F$157,"暂时测不了")</f>
        <v>13</v>
      </c>
      <c r="F20" s="276">
        <f>COUNTIFS(测试清单!$B$6:$B$157,A20,测试清单!$F$6:$F$157,"还没测")</f>
        <v>0</v>
      </c>
      <c r="G20" s="276">
        <f>COUNTIFS(测试清单!$B$6:$B$157,A20,测试清单!$F$6:$F$157,"不适用")</f>
        <v>0</v>
      </c>
      <c r="H20" s="277">
        <f t="shared" si="0"/>
        <v>0.0714285714285714</v>
      </c>
    </row>
    <row r="21" ht="39" customHeight="1" spans="1:8">
      <c r="A21" s="193" t="s">
        <v>24</v>
      </c>
      <c r="B21" s="278">
        <f>COUNTIF(测试清单!$B$6:$B$157,A21)</f>
        <v>18</v>
      </c>
      <c r="C21" s="278">
        <f>COUNTIFS(测试清单!$B$6:$B$157,A21,测试清单!$F$6:$F$157,"通过")</f>
        <v>1</v>
      </c>
      <c r="D21" s="278">
        <f>COUNTIFS(测试清单!$B$6:$B$157,A21,测试清单!$F$6:$F$157,"有问题")</f>
        <v>0</v>
      </c>
      <c r="E21" s="278">
        <f>COUNTIFS(测试清单!$B$6:$B$157,A21,测试清单!$F$6:$F$157,"暂时测不了")</f>
        <v>17</v>
      </c>
      <c r="F21" s="278">
        <f>COUNTIFS(测试清单!$B$6:$B$157,A21,测试清单!$F$6:$F$157,"还没测")</f>
        <v>0</v>
      </c>
      <c r="G21" s="278">
        <f>COUNTIFS(测试清单!$B$6:$B$157,A21,测试清单!$F$6:$F$157,"不适用")</f>
        <v>0</v>
      </c>
      <c r="H21" s="279">
        <f t="shared" si="0"/>
        <v>0.0555555555555556</v>
      </c>
    </row>
    <row r="22" ht="39" customHeight="1" spans="1:8">
      <c r="A22" s="202" t="s">
        <v>25</v>
      </c>
      <c r="B22" s="280">
        <f>COUNTIF(测试清单!$B$6:$B$157,A22)</f>
        <v>9</v>
      </c>
      <c r="C22" s="280">
        <f>COUNTIFS(测试清单!$B$6:$B$157,A22,测试清单!$F$6:$F$157,"通过")</f>
        <v>0</v>
      </c>
      <c r="D22" s="280">
        <f>COUNTIFS(测试清单!$B$6:$B$157,A22,测试清单!$F$6:$F$157,"有问题")</f>
        <v>0</v>
      </c>
      <c r="E22" s="280">
        <f>COUNTIFS(测试清单!$B$6:$B$157,A22,测试清单!$F$6:$F$157,"暂时测不了")</f>
        <v>9</v>
      </c>
      <c r="F22" s="280">
        <f>COUNTIFS(测试清单!$B$6:$B$157,A22,测试清单!$F$6:$F$157,"还没测")</f>
        <v>0</v>
      </c>
      <c r="G22" s="280">
        <f>COUNTIFS(测试清单!$B$6:$B$157,A22,测试清单!$F$6:$F$157,"不适用")</f>
        <v>0</v>
      </c>
      <c r="H22" s="281">
        <f t="shared" si="0"/>
        <v>0</v>
      </c>
    </row>
    <row r="23" ht="39" customHeight="1" spans="1:8">
      <c r="A23" s="211" t="s">
        <v>26</v>
      </c>
      <c r="B23" s="282">
        <f>COUNTIF(测试清单!$B$6:$B$157,A23)</f>
        <v>8</v>
      </c>
      <c r="C23" s="282">
        <f>COUNTIFS(测试清单!$B$6:$B$157,A23,测试清单!$F$6:$F$157,"通过")</f>
        <v>5</v>
      </c>
      <c r="D23" s="282">
        <f>COUNTIFS(测试清单!$B$6:$B$157,A23,测试清单!$F$6:$F$157,"有问题")</f>
        <v>2</v>
      </c>
      <c r="E23" s="282">
        <f>COUNTIFS(测试清单!$B$6:$B$157,A23,测试清单!$F$6:$F$157,"暂时测不了")</f>
        <v>1</v>
      </c>
      <c r="F23" s="282">
        <f>COUNTIFS(测试清单!$B$6:$B$157,A23,测试清单!$F$6:$F$157,"还没测")</f>
        <v>0</v>
      </c>
      <c r="G23" s="282">
        <f>COUNTIFS(测试清单!$B$6:$B$157,A23,测试清单!$F$6:$F$157,"不适用")</f>
        <v>0</v>
      </c>
      <c r="H23" s="283">
        <f t="shared" si="0"/>
        <v>0.875</v>
      </c>
    </row>
    <row r="24" ht="39" customHeight="1" spans="1:8">
      <c r="A24" s="32" t="s">
        <v>27</v>
      </c>
      <c r="B24" s="284">
        <f>COUNTIF(测试清单!$B$6:$B$157,A24)</f>
        <v>7</v>
      </c>
      <c r="C24" s="284">
        <f>COUNTIFS(测试清单!$B$6:$B$157,A24,测试清单!$F$6:$F$157,"通过")</f>
        <v>1</v>
      </c>
      <c r="D24" s="284">
        <f>COUNTIFS(测试清单!$B$6:$B$157,A24,测试清单!$F$6:$F$157,"有问题")</f>
        <v>1</v>
      </c>
      <c r="E24" s="284">
        <f>COUNTIFS(测试清单!$B$6:$B$157,A24,测试清单!$F$6:$F$157,"暂时测不了")</f>
        <v>4</v>
      </c>
      <c r="F24" s="284">
        <f>COUNTIFS(测试清单!$B$6:$B$157,A24,测试清单!$F$6:$F$157,"还没测")</f>
        <v>0</v>
      </c>
      <c r="G24" s="284">
        <f>COUNTIFS(测试清单!$B$6:$B$157,A24,测试清单!$F$6:$F$157,"不适用")</f>
        <v>1</v>
      </c>
      <c r="H24" s="285">
        <f t="shared" si="0"/>
        <v>0.333333333333333</v>
      </c>
    </row>
    <row r="25" ht="39" customHeight="1" spans="1:8">
      <c r="A25" s="226" t="s">
        <v>28</v>
      </c>
      <c r="B25" s="270">
        <f>COUNTIF(测试清单!$B$6:$B$157,A25)</f>
        <v>9</v>
      </c>
      <c r="C25" s="270">
        <f>COUNTIFS(测试清单!$B$6:$B$157,A25,测试清单!$F$6:$F$157,"通过")</f>
        <v>0</v>
      </c>
      <c r="D25" s="270">
        <f>COUNTIFS(测试清单!$B$6:$B$157,A25,测试清单!$F$6:$F$157,"有问题")</f>
        <v>2</v>
      </c>
      <c r="E25" s="270">
        <f>COUNTIFS(测试清单!$B$6:$B$157,A25,测试清单!$F$6:$F$157,"暂时测不了")</f>
        <v>6</v>
      </c>
      <c r="F25" s="270">
        <f>COUNTIFS(测试清单!$B$6:$B$157,A25,测试清单!$F$6:$F$157,"还没测")</f>
        <v>0</v>
      </c>
      <c r="G25" s="270">
        <f>COUNTIFS(测试清单!$B$6:$B$157,A25,测试清单!$F$6:$F$157,"不适用")</f>
        <v>1</v>
      </c>
      <c r="H25" s="271">
        <f t="shared" si="0"/>
        <v>0.25</v>
      </c>
    </row>
    <row r="26" ht="39" customHeight="1" spans="1:8">
      <c r="A26" s="233" t="s">
        <v>29</v>
      </c>
      <c r="B26" s="274">
        <f>COUNTIF(测试清单!$B$6:$B$157,A26)</f>
        <v>7</v>
      </c>
      <c r="C26" s="274">
        <f>COUNTIFS(测试清单!$B$6:$B$157,A26,测试清单!$F$6:$F$157,"通过")</f>
        <v>2</v>
      </c>
      <c r="D26" s="274">
        <f>COUNTIFS(测试清单!$B$6:$B$157,A26,测试清单!$F$6:$F$157,"有问题")</f>
        <v>0</v>
      </c>
      <c r="E26" s="274">
        <f>COUNTIFS(测试清单!$B$6:$B$157,A26,测试清单!$F$6:$F$157,"暂时测不了")</f>
        <v>5</v>
      </c>
      <c r="F26" s="274">
        <f>COUNTIFS(测试清单!$B$6:$B$157,A26,测试清单!$F$6:$F$157,"还没测")</f>
        <v>0</v>
      </c>
      <c r="G26" s="274">
        <f>COUNTIFS(测试清单!$B$6:$B$157,A26,测试清单!$F$6:$F$157,"不适用")</f>
        <v>0</v>
      </c>
      <c r="H26" s="275">
        <f t="shared" si="0"/>
        <v>0.285714285714286</v>
      </c>
    </row>
    <row r="27" ht="39" customHeight="1" spans="1:8">
      <c r="A27" s="241" t="s">
        <v>30</v>
      </c>
      <c r="B27" s="286">
        <f>COUNTIF(测试清单!$B$6:$B$157,A27)</f>
        <v>9</v>
      </c>
      <c r="C27" s="286">
        <f>COUNTIFS(测试清单!$B$6:$B$157,A27,测试清单!$F$6:$F$157,"通过")</f>
        <v>2</v>
      </c>
      <c r="D27" s="286">
        <f>COUNTIFS(测试清单!$B$6:$B$157,A27,测试清单!$F$6:$F$157,"有问题")</f>
        <v>1</v>
      </c>
      <c r="E27" s="286">
        <f>COUNTIFS(测试清单!$B$6:$B$157,A27,测试清单!$F$6:$F$157,"暂时测不了")</f>
        <v>6</v>
      </c>
      <c r="F27" s="286">
        <f>COUNTIFS(测试清单!$B$6:$B$157,A27,测试清单!$F$6:$F$157,"还没测")</f>
        <v>0</v>
      </c>
      <c r="G27" s="286">
        <f>COUNTIFS(测试清单!$B$6:$B$157,A27,测试清单!$F$6:$F$157,"不适用")</f>
        <v>0</v>
      </c>
      <c r="H27" s="287">
        <f t="shared" si="0"/>
        <v>0.333333333333333</v>
      </c>
    </row>
    <row r="28" ht="39" customHeight="1" spans="1:8">
      <c r="A28" s="250" t="s">
        <v>31</v>
      </c>
      <c r="B28" s="288">
        <f>COUNTIF(测试清单!$B$6:$B$157,A28)</f>
        <v>6</v>
      </c>
      <c r="C28" s="288">
        <f>COUNTIFS(测试清单!$B$6:$B$157,A28,测试清单!$F$6:$F$157,"通过")</f>
        <v>0</v>
      </c>
      <c r="D28" s="288">
        <f>COUNTIFS(测试清单!$B$6:$B$157,A28,测试清单!$F$6:$F$157,"有问题")</f>
        <v>0</v>
      </c>
      <c r="E28" s="288">
        <f>COUNTIFS(测试清单!$B$6:$B$157,A28,测试清单!$F$6:$F$157,"暂时测不了")</f>
        <v>6</v>
      </c>
      <c r="F28" s="288">
        <f>COUNTIFS(测试清单!$B$6:$B$157,A28,测试清单!$F$6:$F$157,"还没测")</f>
        <v>0</v>
      </c>
      <c r="G28" s="288">
        <f>COUNTIFS(测试清单!$B$6:$B$157,A28,测试清单!$F$6:$F$157,"不适用")</f>
        <v>0</v>
      </c>
      <c r="H28" s="289">
        <f t="shared" si="0"/>
        <v>0</v>
      </c>
    </row>
    <row r="29" ht="16.5" spans="1:8">
      <c r="A29" s="15"/>
      <c r="B29" s="15"/>
      <c r="C29" s="15"/>
      <c r="D29" s="15"/>
      <c r="E29" s="15"/>
      <c r="F29" s="15"/>
      <c r="G29" s="15"/>
      <c r="H29" s="15"/>
    </row>
    <row r="30" ht="16.5" spans="1:8">
      <c r="A30" s="290" t="s">
        <v>32</v>
      </c>
      <c r="B30" s="15"/>
      <c r="C30" s="15"/>
      <c r="D30" s="15"/>
      <c r="E30" s="15"/>
      <c r="F30" s="15"/>
      <c r="G30" s="15"/>
      <c r="H30" s="15"/>
    </row>
    <row r="31" ht="32" customHeight="1" spans="1:8">
      <c r="A31" s="291" t="s">
        <v>33</v>
      </c>
      <c r="B31" s="291"/>
      <c r="C31" s="291"/>
      <c r="D31" s="291"/>
      <c r="E31" s="291"/>
      <c r="F31" s="291"/>
      <c r="G31" s="291"/>
      <c r="H31" s="291"/>
    </row>
    <row r="32" ht="32" customHeight="1" spans="1:8">
      <c r="A32" s="291" t="s">
        <v>34</v>
      </c>
      <c r="B32" s="291"/>
      <c r="C32" s="291"/>
      <c r="D32" s="291"/>
      <c r="E32" s="291"/>
      <c r="F32" s="291"/>
      <c r="G32" s="291"/>
      <c r="H32" s="291"/>
    </row>
    <row r="33" ht="32" customHeight="1" spans="1:8">
      <c r="A33" s="291" t="s">
        <v>35</v>
      </c>
      <c r="B33" s="291"/>
      <c r="C33" s="291"/>
      <c r="D33" s="291"/>
      <c r="E33" s="291"/>
      <c r="F33" s="291"/>
      <c r="G33" s="291"/>
      <c r="H33" s="291"/>
    </row>
    <row r="34" ht="32" customHeight="1" spans="1:8">
      <c r="A34" s="17" t="s">
        <v>36</v>
      </c>
      <c r="B34" s="17"/>
      <c r="C34" s="17"/>
      <c r="D34" s="17"/>
      <c r="E34" s="17"/>
      <c r="F34" s="17"/>
      <c r="G34" s="17"/>
      <c r="H34" s="17"/>
    </row>
    <row r="35" ht="32" customHeight="1" spans="1:8">
      <c r="A35" s="17" t="s">
        <v>37</v>
      </c>
      <c r="B35" s="17"/>
      <c r="C35" s="17"/>
      <c r="D35" s="17"/>
      <c r="E35" s="17"/>
      <c r="F35" s="17"/>
      <c r="G35" s="17"/>
      <c r="H35" s="17"/>
    </row>
    <row r="36" ht="32" customHeight="1" spans="1:8">
      <c r="A36" s="17" t="s">
        <v>38</v>
      </c>
      <c r="B36" s="17"/>
      <c r="C36" s="17"/>
      <c r="D36" s="17"/>
      <c r="E36" s="17"/>
      <c r="F36" s="17"/>
      <c r="G36" s="17"/>
      <c r="H36" s="17"/>
    </row>
    <row r="37" ht="32" customHeight="1" spans="1:8">
      <c r="A37" s="17" t="s">
        <v>39</v>
      </c>
      <c r="B37" s="17"/>
      <c r="C37" s="17"/>
      <c r="D37" s="17"/>
      <c r="E37" s="17"/>
      <c r="F37" s="17"/>
      <c r="G37" s="17"/>
      <c r="H37" s="17"/>
    </row>
    <row r="38" ht="16.5" spans="1:8">
      <c r="A38" s="15"/>
      <c r="B38" s="15"/>
      <c r="C38" s="15"/>
      <c r="D38" s="15"/>
      <c r="E38" s="15"/>
      <c r="F38" s="15"/>
      <c r="G38" s="15"/>
      <c r="H38" s="15"/>
    </row>
    <row r="39" ht="30" customHeight="1" spans="1:8">
      <c r="A39" s="17" t="s">
        <v>40</v>
      </c>
      <c r="B39" s="17">
        <f>COUNTBLANK(测试清单!$F$6:$F$157)</f>
        <v>0</v>
      </c>
      <c r="C39" s="17" t="s">
        <v>41</v>
      </c>
      <c r="D39" s="17">
        <f>COUNTA(测试清单!$F$6:$F$157)-SUM(B6:F6)</f>
        <v>0</v>
      </c>
      <c r="E39" s="17" t="s">
        <v>42</v>
      </c>
      <c r="F39" s="17"/>
      <c r="G39" s="17"/>
      <c r="H39" s="17"/>
    </row>
    <row r="40" ht="16.5" spans="1:8">
      <c r="A40" s="15"/>
      <c r="B40" s="15"/>
      <c r="C40" s="15"/>
      <c r="D40" s="15"/>
      <c r="E40" s="15"/>
      <c r="F40" s="15"/>
      <c r="G40" s="15"/>
      <c r="H40" s="15"/>
    </row>
    <row r="41" ht="16.5" spans="1:8">
      <c r="A41" s="15"/>
      <c r="B41" s="15"/>
      <c r="C41" s="15"/>
      <c r="D41" s="15"/>
      <c r="E41" s="15"/>
      <c r="F41" s="15"/>
      <c r="G41" s="15"/>
      <c r="H41" s="15"/>
    </row>
    <row r="42" ht="21.5" spans="1:8">
      <c r="A42" s="292" t="s">
        <v>43</v>
      </c>
      <c r="B42" s="15"/>
      <c r="C42" s="15"/>
      <c r="D42" s="15"/>
      <c r="E42" s="15"/>
      <c r="F42" s="15"/>
      <c r="G42" s="15"/>
      <c r="H42" s="15"/>
    </row>
    <row r="43" ht="16.5" spans="1:8">
      <c r="A43" s="15"/>
      <c r="B43" s="15"/>
      <c r="C43" s="15"/>
      <c r="D43" s="15"/>
      <c r="E43" s="15"/>
      <c r="F43" s="15"/>
      <c r="G43" s="15"/>
      <c r="H43" s="15"/>
    </row>
    <row r="44" ht="32" customHeight="1" spans="1:8">
      <c r="A44" s="18" t="s">
        <v>44</v>
      </c>
      <c r="B44" s="18" t="s">
        <v>45</v>
      </c>
      <c r="C44" s="18" t="s">
        <v>4</v>
      </c>
      <c r="D44" s="18" t="s">
        <v>5</v>
      </c>
      <c r="E44" s="18" t="s">
        <v>46</v>
      </c>
      <c r="F44" s="18" t="s">
        <v>47</v>
      </c>
      <c r="G44" s="18" t="s">
        <v>48</v>
      </c>
      <c r="H44" s="18" t="s">
        <v>49</v>
      </c>
    </row>
    <row r="45" ht="48" customHeight="1" spans="1:8">
      <c r="A45" s="293">
        <f>COUNTA(全流程验收!A6:A41)</f>
        <v>36</v>
      </c>
      <c r="B45" s="293">
        <f>COUNTIF(全流程验收!G6:G41,"通过")</f>
        <v>0</v>
      </c>
      <c r="C45" s="293">
        <f>COUNTIF(全流程验收!G6:G41,"有问题")</f>
        <v>1</v>
      </c>
      <c r="D45" s="293">
        <f>COUNTIF(全流程验收!G6:G41,"暂时测不了")</f>
        <v>35</v>
      </c>
      <c r="E45" s="293">
        <f>COUNTIF(全流程验收!G6:G41,"还没测")</f>
        <v>0</v>
      </c>
      <c r="F45" s="293">
        <f>COUNTIF(全流程验收!G6:G41,"进行中")</f>
        <v>0</v>
      </c>
      <c r="G45" s="293">
        <f>COUNTBLANK(流程步骤记录!G6:G365)</f>
        <v>0</v>
      </c>
      <c r="H45" s="293" t="str">
        <f>IF(B45=A45,"流程记录齐全","尚未全部跑通")</f>
        <v>尚未全部跑通</v>
      </c>
    </row>
    <row r="46" ht="16.5" spans="1:8">
      <c r="A46" s="294"/>
      <c r="B46" s="294"/>
      <c r="C46" s="294"/>
      <c r="D46" s="294"/>
      <c r="E46" s="294"/>
      <c r="F46" s="294"/>
      <c r="G46" s="294"/>
      <c r="H46" s="294"/>
    </row>
    <row r="47" ht="34" customHeight="1" spans="1:8">
      <c r="A47" s="295" t="s">
        <v>50</v>
      </c>
      <c r="B47" s="295"/>
      <c r="C47" s="295"/>
      <c r="D47" s="295"/>
      <c r="E47" s="295"/>
      <c r="F47" s="295"/>
      <c r="G47" s="295"/>
      <c r="H47" s="295"/>
    </row>
    <row r="48" ht="34" customHeight="1" spans="1:8">
      <c r="A48" s="295" t="s">
        <v>51</v>
      </c>
      <c r="B48" s="295"/>
      <c r="C48" s="295"/>
      <c r="D48" s="295"/>
      <c r="E48" s="295"/>
      <c r="F48" s="295"/>
      <c r="G48" s="295"/>
      <c r="H48" s="295"/>
    </row>
    <row r="49" ht="34" customHeight="1" spans="1:8">
      <c r="A49" s="295" t="s">
        <v>52</v>
      </c>
      <c r="B49" s="295"/>
      <c r="C49" s="295"/>
      <c r="D49" s="295"/>
      <c r="E49" s="295"/>
      <c r="F49" s="295"/>
      <c r="G49" s="295"/>
      <c r="H49" s="295"/>
    </row>
    <row r="50" ht="43" customHeight="1" spans="1:8">
      <c r="A50" s="295" t="s">
        <v>53</v>
      </c>
      <c r="B50" s="295"/>
      <c r="C50" s="295"/>
      <c r="D50" s="295"/>
      <c r="E50" s="295"/>
      <c r="F50" s="295"/>
      <c r="G50" s="295"/>
      <c r="H50" s="295"/>
    </row>
    <row r="52" ht="21.5" spans="1:8">
      <c r="A52" s="296" t="s">
        <v>54</v>
      </c>
      <c r="B52" s="294"/>
      <c r="C52" s="294"/>
      <c r="D52" s="294"/>
      <c r="E52" s="294"/>
      <c r="F52" s="294"/>
      <c r="G52" s="294"/>
      <c r="H52" s="294"/>
    </row>
    <row r="53" ht="16.5" spans="1:8">
      <c r="A53" s="294"/>
      <c r="B53" s="294"/>
      <c r="C53" s="294"/>
      <c r="D53" s="294"/>
      <c r="E53" s="294"/>
      <c r="F53" s="294"/>
      <c r="G53" s="294"/>
      <c r="H53" s="294"/>
    </row>
    <row r="54" ht="34" customHeight="1" spans="1:8">
      <c r="A54" s="18" t="s">
        <v>55</v>
      </c>
      <c r="B54" s="18" t="s">
        <v>56</v>
      </c>
      <c r="C54" s="18" t="s">
        <v>4</v>
      </c>
      <c r="D54" s="18" t="s">
        <v>5</v>
      </c>
      <c r="E54" s="18" t="s">
        <v>6</v>
      </c>
      <c r="F54" s="18" t="s">
        <v>57</v>
      </c>
      <c r="G54" s="18" t="s">
        <v>58</v>
      </c>
      <c r="H54" s="18" t="s">
        <v>59</v>
      </c>
    </row>
    <row r="55" ht="40" customHeight="1" spans="1:8">
      <c r="A55" s="297">
        <f>COUNTA(补充测试清单!A6:A53)</f>
        <v>48</v>
      </c>
      <c r="B55" s="297">
        <f>COUNTIF(补充测试清单!M6:M53,"记录齐全")</f>
        <v>2</v>
      </c>
      <c r="C55" s="297">
        <f>COUNTIF(补充测试清单!M6:M53,"有问题")</f>
        <v>1</v>
      </c>
      <c r="D55" s="297">
        <f>COUNTIF(补充测试清单!M6:M53,"暂时测不了")</f>
        <v>45</v>
      </c>
      <c r="E55" s="297">
        <f>COUNTIF(补充测试清单!M6:M53,"还没测")</f>
        <v>0</v>
      </c>
      <c r="F55" s="297">
        <f>COUNTIF(补充测试清单!M6:M53,"待补证据")</f>
        <v>0</v>
      </c>
      <c r="G55" s="297">
        <f>COUNTIF(全流程验收!G6:G41,"待补证据")</f>
        <v>0</v>
      </c>
      <c r="H55" s="297">
        <f>COUNTIFS(测试清单!F6:F157,"通过",测试清单!G6:G157,"&lt;&gt;",测试清单!H6:H157,"&lt;&gt;",测试清单!I6:I157,"&lt;&gt;",测试清单!J6:J157,"&lt;&gt;")+COUNTIFS(测试清单!F6:F157,"不适用",测试清单!G6:G157,"&lt;&gt;")</f>
        <v>36</v>
      </c>
    </row>
    <row r="56" ht="16.5" spans="1:8">
      <c r="A56" s="294"/>
      <c r="B56" s="294"/>
      <c r="C56" s="294"/>
      <c r="D56" s="294"/>
      <c r="E56" s="294"/>
      <c r="F56" s="294"/>
      <c r="G56" s="294"/>
      <c r="H56" s="294"/>
    </row>
    <row r="57" ht="34" customHeight="1" spans="1:8">
      <c r="A57" s="295" t="s">
        <v>60</v>
      </c>
      <c r="B57" s="295"/>
      <c r="C57" s="295"/>
      <c r="D57" s="295"/>
      <c r="E57" s="295"/>
      <c r="F57" s="295"/>
      <c r="G57" s="295"/>
      <c r="H57" s="295"/>
    </row>
    <row r="58" ht="16.5" spans="1:8">
      <c r="A58" s="294"/>
      <c r="B58" s="294"/>
      <c r="C58" s="294"/>
      <c r="D58" s="294"/>
      <c r="E58" s="294"/>
      <c r="F58" s="294"/>
      <c r="G58" s="294"/>
      <c r="H58" s="294"/>
    </row>
    <row r="59" ht="34" customHeight="1" spans="1:8">
      <c r="A59" s="18" t="s">
        <v>61</v>
      </c>
      <c r="B59" s="18" t="s">
        <v>62</v>
      </c>
      <c r="C59" s="18" t="s">
        <v>63</v>
      </c>
      <c r="D59" s="294"/>
      <c r="E59" s="294"/>
      <c r="F59" s="294"/>
      <c r="G59" s="294"/>
      <c r="H59" s="294"/>
    </row>
    <row r="60" ht="38" customHeight="1" spans="1:8">
      <c r="A60" s="295" t="s">
        <v>64</v>
      </c>
      <c r="B60" s="298" t="s">
        <v>65</v>
      </c>
      <c r="C60" s="298" t="s">
        <v>66</v>
      </c>
      <c r="D60" s="294"/>
      <c r="E60" s="294"/>
      <c r="F60" s="294"/>
      <c r="G60" s="294"/>
      <c r="H60" s="294"/>
    </row>
    <row r="61" ht="38" customHeight="1" spans="1:8">
      <c r="A61" s="295" t="s">
        <v>67</v>
      </c>
      <c r="B61" s="298" t="s">
        <v>65</v>
      </c>
      <c r="C61" s="298" t="s">
        <v>66</v>
      </c>
      <c r="D61" s="294"/>
      <c r="E61" s="294"/>
      <c r="F61" s="294"/>
      <c r="G61" s="294"/>
      <c r="H61" s="294"/>
    </row>
    <row r="62" ht="38" customHeight="1" spans="1:8">
      <c r="A62" s="295" t="s">
        <v>68</v>
      </c>
      <c r="B62" s="298" t="s">
        <v>69</v>
      </c>
      <c r="C62" s="298" t="s">
        <v>70</v>
      </c>
      <c r="D62" s="294"/>
      <c r="E62" s="294"/>
      <c r="F62" s="294"/>
      <c r="G62" s="294"/>
      <c r="H62" s="294"/>
    </row>
    <row r="63" ht="38" customHeight="1" spans="1:8">
      <c r="A63" s="295" t="s">
        <v>71</v>
      </c>
      <c r="B63" s="298"/>
      <c r="C63" s="298" t="s">
        <v>72</v>
      </c>
      <c r="D63" s="294"/>
      <c r="E63" s="294"/>
      <c r="F63" s="294"/>
      <c r="G63" s="294"/>
      <c r="H63" s="294"/>
    </row>
    <row r="64" ht="16.5" spans="1:8">
      <c r="A64" s="294"/>
      <c r="B64" s="294"/>
      <c r="C64" s="294"/>
      <c r="D64" s="294"/>
      <c r="E64" s="294"/>
      <c r="F64" s="294"/>
      <c r="G64" s="294"/>
      <c r="H64" s="294"/>
    </row>
    <row r="65" ht="38" customHeight="1" spans="1:8">
      <c r="A65" s="299" t="str">
        <f>IF(AND(H55=A6,B45=A45,B55=A55,B72=A72,COUNTIF(B60:B62,"已确认")=3,COUNTBLANK(C60:C62)=0,ISNUMBER(B63),B63=0),"资料可提交前后台联合验收，仍需复核证据内容","尚不具备联合验收条件，请补齐前台、运维、流程或确认记录")</f>
        <v>尚不具备联合验收条件，请补齐前台、运维、流程或确认记录</v>
      </c>
      <c r="B65" s="299"/>
      <c r="C65" s="299"/>
      <c r="D65" s="299"/>
      <c r="E65" s="299"/>
      <c r="F65" s="299"/>
      <c r="G65" s="299"/>
      <c r="H65" s="299"/>
    </row>
    <row r="66" ht="110" customHeight="1" spans="1:8">
      <c r="A66" s="295" t="s">
        <v>73</v>
      </c>
      <c r="B66" s="295"/>
      <c r="C66" s="295"/>
      <c r="D66" s="295"/>
      <c r="E66" s="295"/>
      <c r="F66" s="295"/>
      <c r="G66" s="295"/>
      <c r="H66" s="295"/>
    </row>
    <row r="69" ht="21.5" spans="1:8">
      <c r="A69" s="300" t="s">
        <v>74</v>
      </c>
      <c r="B69" s="294"/>
      <c r="C69" s="294"/>
      <c r="D69" s="294"/>
      <c r="E69" s="294"/>
      <c r="F69" s="294"/>
      <c r="G69" s="294"/>
      <c r="H69" s="294"/>
    </row>
    <row r="70" ht="16.5" spans="1:8">
      <c r="A70" s="294"/>
      <c r="B70" s="294"/>
      <c r="C70" s="294"/>
      <c r="D70" s="294"/>
      <c r="E70" s="294"/>
      <c r="F70" s="294"/>
      <c r="G70" s="294"/>
      <c r="H70" s="294"/>
    </row>
    <row r="71" ht="34" customHeight="1" spans="1:8">
      <c r="A71" s="18" t="s">
        <v>75</v>
      </c>
      <c r="B71" s="18" t="s">
        <v>56</v>
      </c>
      <c r="C71" s="18" t="s">
        <v>4</v>
      </c>
      <c r="D71" s="18" t="s">
        <v>5</v>
      </c>
      <c r="E71" s="18" t="s">
        <v>6</v>
      </c>
      <c r="F71" s="18" t="s">
        <v>57</v>
      </c>
      <c r="G71" s="18" t="s">
        <v>76</v>
      </c>
      <c r="H71" s="18" t="s">
        <v>77</v>
      </c>
    </row>
    <row r="72" ht="42" customHeight="1" spans="1:8">
      <c r="A72" s="301">
        <f>COUNTA(设备运维清单!A6:A69)</f>
        <v>64</v>
      </c>
      <c r="B72" s="301">
        <f>COUNTIF(设备运维清单!M6:M69,"记录齐全")</f>
        <v>19</v>
      </c>
      <c r="C72" s="301">
        <f>COUNTIF(设备运维清单!M6:M69,"有问题")</f>
        <v>2</v>
      </c>
      <c r="D72" s="301">
        <f>COUNTIF(设备运维清单!M6:M69,"暂时测不了")</f>
        <v>43</v>
      </c>
      <c r="E72" s="301">
        <f>COUNTIF(设备运维清单!M6:M69,"还没测")</f>
        <v>0</v>
      </c>
      <c r="F72" s="301">
        <f>COUNTIF(设备运维清单!M6:M69,"待补证据")</f>
        <v>0</v>
      </c>
      <c r="G72" s="301">
        <f>COUNTA(全流程验收!A36:A41)</f>
        <v>6</v>
      </c>
      <c r="H72" s="301">
        <f>COUNTIF(全流程验收!G36:G41,"通过")</f>
        <v>0</v>
      </c>
    </row>
    <row r="73" ht="16.5" spans="1:8">
      <c r="A73" s="294"/>
      <c r="B73" s="294"/>
      <c r="C73" s="294"/>
      <c r="D73" s="294"/>
      <c r="E73" s="294"/>
      <c r="F73" s="294"/>
      <c r="G73" s="294"/>
      <c r="H73" s="294"/>
    </row>
    <row r="74" ht="38" customHeight="1" spans="1:8">
      <c r="A74" s="17" t="s">
        <v>78</v>
      </c>
      <c r="B74" s="17"/>
      <c r="C74" s="17"/>
      <c r="D74" s="17"/>
      <c r="E74" s="17"/>
      <c r="F74" s="17"/>
      <c r="G74" s="17"/>
      <c r="H74" s="17"/>
    </row>
    <row r="75" ht="38" customHeight="1" spans="1:8">
      <c r="A75" s="17" t="s">
        <v>79</v>
      </c>
      <c r="B75" s="17"/>
      <c r="C75" s="17"/>
      <c r="D75" s="17"/>
      <c r="E75" s="17"/>
      <c r="F75" s="17"/>
      <c r="G75" s="17"/>
      <c r="H75" s="17"/>
    </row>
    <row r="76" ht="43" customHeight="1" spans="1:8">
      <c r="A76" s="17" t="s">
        <v>80</v>
      </c>
      <c r="B76" s="17"/>
      <c r="C76" s="17"/>
      <c r="D76" s="17"/>
      <c r="E76" s="17"/>
      <c r="F76" s="17"/>
      <c r="G76" s="17"/>
      <c r="H76" s="17"/>
    </row>
  </sheetData>
  <mergeCells count="20">
    <mergeCell ref="A9:H9"/>
    <mergeCell ref="A10:H10"/>
    <mergeCell ref="A31:H31"/>
    <mergeCell ref="A32:H32"/>
    <mergeCell ref="A33:H33"/>
    <mergeCell ref="A34:H34"/>
    <mergeCell ref="A35:H35"/>
    <mergeCell ref="A36:H36"/>
    <mergeCell ref="A37:H37"/>
    <mergeCell ref="E39:H39"/>
    <mergeCell ref="A47:H47"/>
    <mergeCell ref="A48:H48"/>
    <mergeCell ref="A49:H49"/>
    <mergeCell ref="A50:H50"/>
    <mergeCell ref="A57:H57"/>
    <mergeCell ref="A65:H65"/>
    <mergeCell ref="A66:H66"/>
    <mergeCell ref="A74:H74"/>
    <mergeCell ref="A75:H75"/>
    <mergeCell ref="A76:H76"/>
  </mergeCells>
  <conditionalFormatting sqref="B39">
    <cfRule type="cellIs" dxfId="0" priority="1" operator="greaterThan">
      <formula>0</formula>
    </cfRule>
  </conditionalFormatting>
  <conditionalFormatting sqref="D39">
    <cfRule type="cellIs" dxfId="0" priority="2" operator="greaterThan">
      <formula>0</formula>
    </cfRule>
  </conditionalFormatting>
  <dataValidations count="1">
    <dataValidation type="list" sqref="B60:B62">
      <formula1>"未确认,已确认"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</sheetPr>
  <dimension ref="A1:K157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9" customWidth="1"/>
    <col min="2" max="2" width="23" customWidth="1"/>
    <col min="3" max="3" width="13" customWidth="1"/>
    <col min="4" max="4" width="63" customWidth="1"/>
    <col min="5" max="5" width="70" customWidth="1"/>
    <col min="6" max="6" width="16" customWidth="1"/>
    <col min="7" max="7" width="48" customWidth="1"/>
    <col min="8" max="8" width="13" customWidth="1"/>
    <col min="9" max="9" width="17" customWidth="1"/>
    <col min="10" max="10" width="35" customWidth="1"/>
    <col min="11" max="11" width="16" customWidth="1"/>
  </cols>
  <sheetData>
    <row r="1" ht="16.5" spans="1:1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ht="32" customHeight="1" spans="1:11">
      <c r="A2" s="106" t="s">
        <v>81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ht="34" customHeight="1" spans="1:11">
      <c r="A3" s="15"/>
      <c r="B3" s="15"/>
      <c r="C3" s="15"/>
      <c r="D3" s="17" t="s">
        <v>82</v>
      </c>
      <c r="E3" s="17"/>
      <c r="F3" s="15"/>
      <c r="G3" s="15"/>
      <c r="H3" s="15"/>
      <c r="I3" s="15"/>
      <c r="J3" s="15"/>
      <c r="K3" s="15"/>
    </row>
    <row r="4" ht="34" customHeight="1" spans="1:11">
      <c r="A4" s="15"/>
      <c r="B4" s="15"/>
      <c r="C4" s="15"/>
      <c r="D4" s="17" t="s">
        <v>83</v>
      </c>
      <c r="E4" s="17"/>
      <c r="F4" s="15"/>
      <c r="G4" s="15"/>
      <c r="H4" s="15"/>
      <c r="I4" s="15"/>
      <c r="J4" s="15"/>
      <c r="K4" s="15"/>
    </row>
    <row r="5" ht="32" customHeight="1" spans="1:11">
      <c r="A5" s="18" t="s">
        <v>84</v>
      </c>
      <c r="B5" s="18" t="s">
        <v>13</v>
      </c>
      <c r="C5" s="18" t="s">
        <v>85</v>
      </c>
      <c r="D5" s="18" t="s">
        <v>86</v>
      </c>
      <c r="E5" s="18" t="s">
        <v>87</v>
      </c>
      <c r="F5" s="18" t="s">
        <v>88</v>
      </c>
      <c r="G5" s="18" t="s">
        <v>89</v>
      </c>
      <c r="H5" s="18" t="s">
        <v>90</v>
      </c>
      <c r="I5" s="18" t="s">
        <v>91</v>
      </c>
      <c r="J5" s="18" t="s">
        <v>92</v>
      </c>
      <c r="K5" s="18" t="s">
        <v>93</v>
      </c>
    </row>
    <row r="6" ht="120" customHeight="1" spans="1:11">
      <c r="A6" s="126">
        <v>1</v>
      </c>
      <c r="B6" s="127" t="s">
        <v>16</v>
      </c>
      <c r="C6" s="128" t="s">
        <v>94</v>
      </c>
      <c r="D6" s="129" t="s">
        <v>95</v>
      </c>
      <c r="E6" s="129" t="s">
        <v>96</v>
      </c>
      <c r="F6" s="130" t="s">
        <v>15</v>
      </c>
      <c r="G6" s="130" t="s">
        <v>97</v>
      </c>
      <c r="H6" s="130" t="s">
        <v>98</v>
      </c>
      <c r="I6" s="131">
        <v>46292</v>
      </c>
      <c r="J6" s="130" t="s">
        <v>99</v>
      </c>
      <c r="K6" s="130" t="s">
        <v>66</v>
      </c>
    </row>
    <row r="7" ht="160" customHeight="1" spans="1:11">
      <c r="A7" s="132">
        <v>2</v>
      </c>
      <c r="B7" s="19" t="s">
        <v>16</v>
      </c>
      <c r="C7" s="5" t="s">
        <v>100</v>
      </c>
      <c r="D7" s="108" t="s">
        <v>101</v>
      </c>
      <c r="E7" s="108" t="s">
        <v>102</v>
      </c>
      <c r="F7" s="20" t="s">
        <v>15</v>
      </c>
      <c r="G7" s="20" t="s">
        <v>103</v>
      </c>
      <c r="H7" s="20" t="s">
        <v>98</v>
      </c>
      <c r="I7" s="21">
        <v>46293</v>
      </c>
      <c r="J7" s="20" t="s">
        <v>104</v>
      </c>
      <c r="K7" s="20" t="s">
        <v>105</v>
      </c>
    </row>
    <row r="8" ht="160" customHeight="1" spans="1:11">
      <c r="A8" s="132">
        <v>3</v>
      </c>
      <c r="B8" s="19" t="s">
        <v>16</v>
      </c>
      <c r="C8" s="5" t="s">
        <v>94</v>
      </c>
      <c r="D8" s="109" t="s">
        <v>106</v>
      </c>
      <c r="E8" s="109" t="s">
        <v>107</v>
      </c>
      <c r="F8" s="20" t="s">
        <v>5</v>
      </c>
      <c r="G8" s="20" t="s">
        <v>108</v>
      </c>
      <c r="H8" s="20" t="s">
        <v>98</v>
      </c>
      <c r="I8" s="21">
        <v>46293</v>
      </c>
      <c r="J8" s="20" t="s">
        <v>109</v>
      </c>
      <c r="K8" s="20" t="s">
        <v>105</v>
      </c>
    </row>
    <row r="9" ht="120" customHeight="1" spans="1:11">
      <c r="A9" s="132">
        <v>4</v>
      </c>
      <c r="B9" s="19" t="s">
        <v>16</v>
      </c>
      <c r="C9" s="5" t="s">
        <v>94</v>
      </c>
      <c r="D9" s="108" t="s">
        <v>110</v>
      </c>
      <c r="E9" s="108" t="s">
        <v>111</v>
      </c>
      <c r="F9" s="20" t="s">
        <v>15</v>
      </c>
      <c r="G9" s="20" t="s">
        <v>112</v>
      </c>
      <c r="H9" s="20" t="s">
        <v>98</v>
      </c>
      <c r="I9" s="21">
        <v>46292</v>
      </c>
      <c r="J9" s="20" t="s">
        <v>113</v>
      </c>
      <c r="K9" s="20" t="s">
        <v>66</v>
      </c>
    </row>
    <row r="10" ht="160" customHeight="1" spans="1:11">
      <c r="A10" s="132">
        <v>5</v>
      </c>
      <c r="B10" s="19" t="s">
        <v>16</v>
      </c>
      <c r="C10" s="5" t="s">
        <v>94</v>
      </c>
      <c r="D10" s="109" t="s">
        <v>114</v>
      </c>
      <c r="E10" s="109" t="s">
        <v>115</v>
      </c>
      <c r="F10" s="20" t="s">
        <v>5</v>
      </c>
      <c r="G10" s="20" t="s">
        <v>108</v>
      </c>
      <c r="H10" s="20" t="s">
        <v>98</v>
      </c>
      <c r="I10" s="21">
        <v>46293</v>
      </c>
      <c r="J10" s="20" t="s">
        <v>109</v>
      </c>
      <c r="K10" s="20" t="s">
        <v>105</v>
      </c>
    </row>
    <row r="11" ht="160" customHeight="1" spans="1:11">
      <c r="A11" s="132">
        <v>6</v>
      </c>
      <c r="B11" s="19" t="s">
        <v>16</v>
      </c>
      <c r="C11" s="5" t="s">
        <v>94</v>
      </c>
      <c r="D11" s="108" t="s">
        <v>116</v>
      </c>
      <c r="E11" s="108" t="s">
        <v>117</v>
      </c>
      <c r="F11" s="20" t="s">
        <v>7</v>
      </c>
      <c r="G11" s="20" t="s">
        <v>118</v>
      </c>
      <c r="H11" s="20" t="s">
        <v>98</v>
      </c>
      <c r="I11" s="21">
        <v>46293</v>
      </c>
      <c r="J11" s="20" t="s">
        <v>119</v>
      </c>
      <c r="K11" s="20" t="s">
        <v>105</v>
      </c>
    </row>
    <row r="12" ht="160" customHeight="1" spans="1:11">
      <c r="A12" s="132">
        <v>7</v>
      </c>
      <c r="B12" s="19" t="s">
        <v>16</v>
      </c>
      <c r="C12" s="5" t="s">
        <v>94</v>
      </c>
      <c r="D12" s="109" t="s">
        <v>120</v>
      </c>
      <c r="E12" s="109" t="s">
        <v>121</v>
      </c>
      <c r="F12" s="20" t="s">
        <v>5</v>
      </c>
      <c r="G12" s="20" t="s">
        <v>122</v>
      </c>
      <c r="H12" s="20" t="s">
        <v>98</v>
      </c>
      <c r="I12" s="21">
        <v>46293</v>
      </c>
      <c r="J12" s="20" t="s">
        <v>123</v>
      </c>
      <c r="K12" s="20" t="s">
        <v>105</v>
      </c>
    </row>
    <row r="13" ht="120" customHeight="1" spans="1:11">
      <c r="A13" s="132">
        <v>8</v>
      </c>
      <c r="B13" s="19" t="s">
        <v>16</v>
      </c>
      <c r="C13" s="5" t="s">
        <v>100</v>
      </c>
      <c r="D13" s="108" t="s">
        <v>124</v>
      </c>
      <c r="E13" s="108" t="s">
        <v>125</v>
      </c>
      <c r="F13" s="20" t="s">
        <v>15</v>
      </c>
      <c r="G13" s="20" t="s">
        <v>126</v>
      </c>
      <c r="H13" s="20" t="s">
        <v>98</v>
      </c>
      <c r="I13" s="21">
        <v>46292</v>
      </c>
      <c r="J13" s="20" t="s">
        <v>127</v>
      </c>
      <c r="K13" s="20" t="s">
        <v>66</v>
      </c>
    </row>
    <row r="14" ht="160" customHeight="1" spans="1:11">
      <c r="A14" s="132">
        <v>9</v>
      </c>
      <c r="B14" s="19" t="s">
        <v>16</v>
      </c>
      <c r="C14" s="5" t="s">
        <v>100</v>
      </c>
      <c r="D14" s="109" t="s">
        <v>128</v>
      </c>
      <c r="E14" s="109" t="s">
        <v>129</v>
      </c>
      <c r="F14" s="20" t="s">
        <v>5</v>
      </c>
      <c r="G14" s="20" t="s">
        <v>108</v>
      </c>
      <c r="H14" s="20" t="s">
        <v>98</v>
      </c>
      <c r="I14" s="21">
        <v>46293</v>
      </c>
      <c r="J14" s="20" t="s">
        <v>109</v>
      </c>
      <c r="K14" s="20" t="s">
        <v>66</v>
      </c>
    </row>
    <row r="15" ht="160" customHeight="1" spans="1:11">
      <c r="A15" s="132">
        <v>10</v>
      </c>
      <c r="B15" s="19" t="s">
        <v>16</v>
      </c>
      <c r="C15" s="5" t="s">
        <v>94</v>
      </c>
      <c r="D15" s="108" t="s">
        <v>130</v>
      </c>
      <c r="E15" s="108" t="s">
        <v>131</v>
      </c>
      <c r="F15" s="20" t="s">
        <v>5</v>
      </c>
      <c r="G15" s="20" t="s">
        <v>108</v>
      </c>
      <c r="H15" s="20" t="s">
        <v>98</v>
      </c>
      <c r="I15" s="21">
        <v>46293</v>
      </c>
      <c r="J15" s="20" t="s">
        <v>109</v>
      </c>
      <c r="K15" s="20" t="s">
        <v>105</v>
      </c>
    </row>
    <row r="16" ht="160" customHeight="1" spans="1:11">
      <c r="A16" s="132">
        <v>11</v>
      </c>
      <c r="B16" s="19" t="s">
        <v>16</v>
      </c>
      <c r="C16" s="5" t="s">
        <v>100</v>
      </c>
      <c r="D16" s="109" t="s">
        <v>132</v>
      </c>
      <c r="E16" s="109" t="s">
        <v>133</v>
      </c>
      <c r="F16" s="20" t="s">
        <v>5</v>
      </c>
      <c r="G16" s="20" t="s">
        <v>108</v>
      </c>
      <c r="H16" s="20" t="s">
        <v>98</v>
      </c>
      <c r="I16" s="21">
        <v>46293</v>
      </c>
      <c r="J16" s="20" t="s">
        <v>109</v>
      </c>
      <c r="K16" s="20" t="s">
        <v>105</v>
      </c>
    </row>
    <row r="17" ht="120" customHeight="1" spans="1:11">
      <c r="A17" s="132">
        <v>12</v>
      </c>
      <c r="B17" s="19" t="s">
        <v>16</v>
      </c>
      <c r="C17" s="5" t="s">
        <v>100</v>
      </c>
      <c r="D17" s="108" t="s">
        <v>134</v>
      </c>
      <c r="E17" s="108" t="s">
        <v>135</v>
      </c>
      <c r="F17" s="20" t="s">
        <v>4</v>
      </c>
      <c r="G17" s="20" t="s">
        <v>136</v>
      </c>
      <c r="H17" s="20" t="s">
        <v>98</v>
      </c>
      <c r="I17" s="21">
        <v>46292</v>
      </c>
      <c r="J17" s="20" t="s">
        <v>137</v>
      </c>
      <c r="K17" s="20" t="s">
        <v>138</v>
      </c>
    </row>
    <row r="18" ht="160" customHeight="1" spans="1:11">
      <c r="A18" s="133">
        <v>13</v>
      </c>
      <c r="B18" s="134" t="s">
        <v>17</v>
      </c>
      <c r="C18" s="135" t="s">
        <v>94</v>
      </c>
      <c r="D18" s="136" t="s">
        <v>139</v>
      </c>
      <c r="E18" s="136" t="s">
        <v>140</v>
      </c>
      <c r="F18" s="137" t="s">
        <v>15</v>
      </c>
      <c r="G18" s="137" t="s">
        <v>141</v>
      </c>
      <c r="H18" s="137" t="s">
        <v>98</v>
      </c>
      <c r="I18" s="138">
        <v>46293</v>
      </c>
      <c r="J18" s="137" t="s">
        <v>142</v>
      </c>
      <c r="K18" s="137" t="s">
        <v>143</v>
      </c>
    </row>
    <row r="19" ht="160" customHeight="1" spans="1:11">
      <c r="A19" s="139">
        <v>14</v>
      </c>
      <c r="B19" s="28" t="s">
        <v>17</v>
      </c>
      <c r="C19" s="29" t="s">
        <v>94</v>
      </c>
      <c r="D19" s="108" t="s">
        <v>144</v>
      </c>
      <c r="E19" s="108" t="s">
        <v>145</v>
      </c>
      <c r="F19" s="20" t="s">
        <v>15</v>
      </c>
      <c r="G19" s="20" t="s">
        <v>146</v>
      </c>
      <c r="H19" s="20" t="s">
        <v>98</v>
      </c>
      <c r="I19" s="21">
        <v>46293</v>
      </c>
      <c r="J19" s="20" t="s">
        <v>147</v>
      </c>
      <c r="K19" s="20" t="s">
        <v>143</v>
      </c>
    </row>
    <row r="20" ht="160" customHeight="1" spans="1:11">
      <c r="A20" s="139">
        <v>15</v>
      </c>
      <c r="B20" s="28" t="s">
        <v>17</v>
      </c>
      <c r="C20" s="29" t="s">
        <v>100</v>
      </c>
      <c r="D20" s="109" t="s">
        <v>148</v>
      </c>
      <c r="E20" s="109" t="s">
        <v>149</v>
      </c>
      <c r="F20" s="20" t="s">
        <v>5</v>
      </c>
      <c r="G20" s="20" t="s">
        <v>150</v>
      </c>
      <c r="H20" s="20" t="s">
        <v>98</v>
      </c>
      <c r="I20" s="21">
        <v>46293</v>
      </c>
      <c r="J20" s="20" t="s">
        <v>151</v>
      </c>
      <c r="K20" s="20" t="s">
        <v>66</v>
      </c>
    </row>
    <row r="21" ht="160" customHeight="1" spans="1:11">
      <c r="A21" s="139">
        <v>16</v>
      </c>
      <c r="B21" s="28" t="s">
        <v>17</v>
      </c>
      <c r="C21" s="29" t="s">
        <v>100</v>
      </c>
      <c r="D21" s="108" t="s">
        <v>152</v>
      </c>
      <c r="E21" s="108" t="s">
        <v>153</v>
      </c>
      <c r="F21" s="20" t="s">
        <v>5</v>
      </c>
      <c r="G21" s="20" t="s">
        <v>154</v>
      </c>
      <c r="H21" s="20" t="s">
        <v>98</v>
      </c>
      <c r="I21" s="21">
        <v>46293</v>
      </c>
      <c r="J21" s="20" t="s">
        <v>109</v>
      </c>
      <c r="K21" s="20" t="s">
        <v>66</v>
      </c>
    </row>
    <row r="22" ht="160" customHeight="1" spans="1:11">
      <c r="A22" s="139">
        <v>17</v>
      </c>
      <c r="B22" s="28" t="s">
        <v>17</v>
      </c>
      <c r="C22" s="29" t="s">
        <v>100</v>
      </c>
      <c r="D22" s="109" t="s">
        <v>155</v>
      </c>
      <c r="E22" s="109" t="s">
        <v>156</v>
      </c>
      <c r="F22" s="20" t="s">
        <v>5</v>
      </c>
      <c r="G22" s="20" t="s">
        <v>157</v>
      </c>
      <c r="H22" s="20" t="s">
        <v>98</v>
      </c>
      <c r="I22" s="21">
        <v>46293</v>
      </c>
      <c r="J22" s="20" t="s">
        <v>109</v>
      </c>
      <c r="K22" s="20" t="s">
        <v>158</v>
      </c>
    </row>
    <row r="23" ht="160" customHeight="1" spans="1:11">
      <c r="A23" s="139">
        <v>18</v>
      </c>
      <c r="B23" s="28" t="s">
        <v>17</v>
      </c>
      <c r="C23" s="29" t="s">
        <v>100</v>
      </c>
      <c r="D23" s="108" t="s">
        <v>159</v>
      </c>
      <c r="E23" s="108" t="s">
        <v>160</v>
      </c>
      <c r="F23" s="20" t="s">
        <v>5</v>
      </c>
      <c r="G23" s="20" t="s">
        <v>108</v>
      </c>
      <c r="H23" s="20" t="s">
        <v>98</v>
      </c>
      <c r="I23" s="21">
        <v>46293</v>
      </c>
      <c r="J23" s="20" t="s">
        <v>109</v>
      </c>
      <c r="K23" s="20" t="s">
        <v>66</v>
      </c>
    </row>
    <row r="24" ht="160" customHeight="1" spans="1:11">
      <c r="A24" s="139">
        <v>19</v>
      </c>
      <c r="B24" s="28" t="s">
        <v>17</v>
      </c>
      <c r="C24" s="29" t="s">
        <v>94</v>
      </c>
      <c r="D24" s="109" t="s">
        <v>161</v>
      </c>
      <c r="E24" s="109" t="s">
        <v>162</v>
      </c>
      <c r="F24" s="20" t="s">
        <v>5</v>
      </c>
      <c r="G24" s="20" t="s">
        <v>108</v>
      </c>
      <c r="H24" s="20" t="s">
        <v>98</v>
      </c>
      <c r="I24" s="21">
        <v>46293</v>
      </c>
      <c r="J24" s="20" t="s">
        <v>109</v>
      </c>
      <c r="K24" s="20" t="s">
        <v>143</v>
      </c>
    </row>
    <row r="25" ht="160" customHeight="1" spans="1:11">
      <c r="A25" s="139">
        <v>20</v>
      </c>
      <c r="B25" s="28" t="s">
        <v>17</v>
      </c>
      <c r="C25" s="29" t="s">
        <v>100</v>
      </c>
      <c r="D25" s="108" t="s">
        <v>163</v>
      </c>
      <c r="E25" s="108" t="s">
        <v>164</v>
      </c>
      <c r="F25" s="20" t="s">
        <v>5</v>
      </c>
      <c r="G25" s="20" t="s">
        <v>108</v>
      </c>
      <c r="H25" s="20" t="s">
        <v>98</v>
      </c>
      <c r="I25" s="21">
        <v>46293</v>
      </c>
      <c r="J25" s="20" t="s">
        <v>109</v>
      </c>
      <c r="K25" s="20" t="s">
        <v>143</v>
      </c>
    </row>
    <row r="26" ht="160" customHeight="1" spans="1:11">
      <c r="A26" s="139">
        <v>21</v>
      </c>
      <c r="B26" s="28" t="s">
        <v>17</v>
      </c>
      <c r="C26" s="29" t="s">
        <v>100</v>
      </c>
      <c r="D26" s="109" t="s">
        <v>165</v>
      </c>
      <c r="E26" s="109" t="s">
        <v>166</v>
      </c>
      <c r="F26" s="20" t="s">
        <v>5</v>
      </c>
      <c r="G26" s="20" t="s">
        <v>167</v>
      </c>
      <c r="H26" s="20" t="s">
        <v>98</v>
      </c>
      <c r="I26" s="21">
        <v>46293</v>
      </c>
      <c r="J26" s="20" t="s">
        <v>109</v>
      </c>
      <c r="K26" s="20" t="s">
        <v>66</v>
      </c>
    </row>
    <row r="27" ht="120" customHeight="1" spans="1:11">
      <c r="A27" s="139">
        <v>22</v>
      </c>
      <c r="B27" s="28" t="s">
        <v>17</v>
      </c>
      <c r="C27" s="29" t="s">
        <v>100</v>
      </c>
      <c r="D27" s="108" t="s">
        <v>168</v>
      </c>
      <c r="E27" s="108" t="s">
        <v>169</v>
      </c>
      <c r="F27" s="20" t="s">
        <v>4</v>
      </c>
      <c r="G27" s="20" t="s">
        <v>170</v>
      </c>
      <c r="H27" s="20" t="s">
        <v>98</v>
      </c>
      <c r="I27" s="21">
        <v>46292</v>
      </c>
      <c r="J27" s="20" t="s">
        <v>171</v>
      </c>
      <c r="K27" s="20" t="s">
        <v>172</v>
      </c>
    </row>
    <row r="28" ht="120" customHeight="1" spans="1:11">
      <c r="A28" s="140">
        <v>23</v>
      </c>
      <c r="B28" s="141" t="s">
        <v>18</v>
      </c>
      <c r="C28" s="142" t="s">
        <v>94</v>
      </c>
      <c r="D28" s="143" t="s">
        <v>173</v>
      </c>
      <c r="E28" s="143" t="s">
        <v>174</v>
      </c>
      <c r="F28" s="144" t="s">
        <v>15</v>
      </c>
      <c r="G28" s="144" t="s">
        <v>175</v>
      </c>
      <c r="H28" s="144" t="s">
        <v>98</v>
      </c>
      <c r="I28" s="145">
        <v>46292</v>
      </c>
      <c r="J28" s="144" t="s">
        <v>176</v>
      </c>
      <c r="K28" s="144" t="s">
        <v>66</v>
      </c>
    </row>
    <row r="29" ht="120" customHeight="1" spans="1:11">
      <c r="A29" s="146">
        <v>24</v>
      </c>
      <c r="B29" s="22" t="s">
        <v>18</v>
      </c>
      <c r="C29" s="23" t="s">
        <v>100</v>
      </c>
      <c r="D29" s="108" t="s">
        <v>177</v>
      </c>
      <c r="E29" s="108" t="s">
        <v>178</v>
      </c>
      <c r="F29" s="20" t="s">
        <v>15</v>
      </c>
      <c r="G29" s="20" t="s">
        <v>179</v>
      </c>
      <c r="H29" s="20" t="s">
        <v>98</v>
      </c>
      <c r="I29" s="21">
        <v>46292</v>
      </c>
      <c r="J29" s="20" t="s">
        <v>180</v>
      </c>
      <c r="K29" s="20" t="s">
        <v>66</v>
      </c>
    </row>
    <row r="30" ht="160" customHeight="1" spans="1:11">
      <c r="A30" s="146">
        <v>25</v>
      </c>
      <c r="B30" s="22" t="s">
        <v>18</v>
      </c>
      <c r="C30" s="23" t="s">
        <v>100</v>
      </c>
      <c r="D30" s="109" t="s">
        <v>181</v>
      </c>
      <c r="E30" s="109" t="s">
        <v>182</v>
      </c>
      <c r="F30" s="20" t="s">
        <v>5</v>
      </c>
      <c r="G30" s="20" t="s">
        <v>108</v>
      </c>
      <c r="H30" s="20" t="s">
        <v>98</v>
      </c>
      <c r="I30" s="21">
        <v>46293</v>
      </c>
      <c r="J30" s="20" t="s">
        <v>109</v>
      </c>
      <c r="K30" s="20" t="s">
        <v>66</v>
      </c>
    </row>
    <row r="31" ht="160" customHeight="1" spans="1:11">
      <c r="A31" s="146">
        <v>26</v>
      </c>
      <c r="B31" s="22" t="s">
        <v>18</v>
      </c>
      <c r="C31" s="23" t="s">
        <v>94</v>
      </c>
      <c r="D31" s="108" t="s">
        <v>183</v>
      </c>
      <c r="E31" s="108" t="s">
        <v>184</v>
      </c>
      <c r="F31" s="20" t="s">
        <v>5</v>
      </c>
      <c r="G31" s="20" t="s">
        <v>185</v>
      </c>
      <c r="H31" s="20" t="s">
        <v>98</v>
      </c>
      <c r="I31" s="21">
        <v>46293</v>
      </c>
      <c r="J31" s="20" t="s">
        <v>186</v>
      </c>
      <c r="K31" s="20" t="s">
        <v>158</v>
      </c>
    </row>
    <row r="32" ht="120" customHeight="1" spans="1:11">
      <c r="A32" s="146">
        <v>27</v>
      </c>
      <c r="B32" s="22" t="s">
        <v>18</v>
      </c>
      <c r="C32" s="23" t="s">
        <v>100</v>
      </c>
      <c r="D32" s="109" t="s">
        <v>187</v>
      </c>
      <c r="E32" s="109" t="s">
        <v>188</v>
      </c>
      <c r="F32" s="20" t="s">
        <v>15</v>
      </c>
      <c r="G32" s="20" t="s">
        <v>189</v>
      </c>
      <c r="H32" s="20" t="s">
        <v>98</v>
      </c>
      <c r="I32" s="21">
        <v>46292</v>
      </c>
      <c r="J32" s="20" t="s">
        <v>190</v>
      </c>
      <c r="K32" s="20" t="s">
        <v>66</v>
      </c>
    </row>
    <row r="33" ht="160" customHeight="1" spans="1:11">
      <c r="A33" s="146">
        <v>28</v>
      </c>
      <c r="B33" s="22" t="s">
        <v>18</v>
      </c>
      <c r="C33" s="23" t="s">
        <v>94</v>
      </c>
      <c r="D33" s="108" t="s">
        <v>191</v>
      </c>
      <c r="E33" s="108" t="s">
        <v>192</v>
      </c>
      <c r="F33" s="20" t="s">
        <v>5</v>
      </c>
      <c r="G33" s="20" t="s">
        <v>157</v>
      </c>
      <c r="H33" s="20" t="s">
        <v>98</v>
      </c>
      <c r="I33" s="21">
        <v>46293</v>
      </c>
      <c r="J33" s="20" t="s">
        <v>109</v>
      </c>
      <c r="K33" s="20" t="s">
        <v>143</v>
      </c>
    </row>
    <row r="34" ht="160" customHeight="1" spans="1:11">
      <c r="A34" s="146">
        <v>29</v>
      </c>
      <c r="B34" s="22" t="s">
        <v>18</v>
      </c>
      <c r="C34" s="23" t="s">
        <v>100</v>
      </c>
      <c r="D34" s="109" t="s">
        <v>193</v>
      </c>
      <c r="E34" s="109" t="s">
        <v>194</v>
      </c>
      <c r="F34" s="20" t="s">
        <v>5</v>
      </c>
      <c r="G34" s="20" t="s">
        <v>195</v>
      </c>
      <c r="H34" s="20" t="s">
        <v>98</v>
      </c>
      <c r="I34" s="21">
        <v>46293</v>
      </c>
      <c r="J34" s="20" t="s">
        <v>196</v>
      </c>
      <c r="K34" s="20" t="s">
        <v>66</v>
      </c>
    </row>
    <row r="35" ht="160" customHeight="1" spans="1:11">
      <c r="A35" s="146">
        <v>30</v>
      </c>
      <c r="B35" s="22" t="s">
        <v>18</v>
      </c>
      <c r="C35" s="23" t="s">
        <v>100</v>
      </c>
      <c r="D35" s="108" t="s">
        <v>197</v>
      </c>
      <c r="E35" s="108" t="s">
        <v>198</v>
      </c>
      <c r="F35" s="20" t="s">
        <v>15</v>
      </c>
      <c r="G35" s="20" t="s">
        <v>199</v>
      </c>
      <c r="H35" s="20" t="s">
        <v>98</v>
      </c>
      <c r="I35" s="21">
        <v>46293</v>
      </c>
      <c r="J35" s="20" t="s">
        <v>200</v>
      </c>
      <c r="K35" s="20" t="s">
        <v>66</v>
      </c>
    </row>
    <row r="36" ht="160" customHeight="1" spans="1:11">
      <c r="A36" s="146">
        <v>31</v>
      </c>
      <c r="B36" s="22" t="s">
        <v>18</v>
      </c>
      <c r="C36" s="23" t="s">
        <v>94</v>
      </c>
      <c r="D36" s="109" t="s">
        <v>201</v>
      </c>
      <c r="E36" s="109" t="s">
        <v>202</v>
      </c>
      <c r="F36" s="20" t="s">
        <v>5</v>
      </c>
      <c r="G36" s="20" t="s">
        <v>203</v>
      </c>
      <c r="H36" s="20" t="s">
        <v>98</v>
      </c>
      <c r="I36" s="21">
        <v>46293</v>
      </c>
      <c r="J36" s="20" t="s">
        <v>204</v>
      </c>
      <c r="K36" s="20" t="s">
        <v>143</v>
      </c>
    </row>
    <row r="37" ht="160" customHeight="1" spans="1:11">
      <c r="A37" s="146">
        <v>32</v>
      </c>
      <c r="B37" s="22" t="s">
        <v>18</v>
      </c>
      <c r="C37" s="23" t="s">
        <v>100</v>
      </c>
      <c r="D37" s="108" t="s">
        <v>205</v>
      </c>
      <c r="E37" s="108" t="s">
        <v>206</v>
      </c>
      <c r="F37" s="20" t="s">
        <v>5</v>
      </c>
      <c r="G37" s="20" t="s">
        <v>108</v>
      </c>
      <c r="H37" s="20" t="s">
        <v>98</v>
      </c>
      <c r="I37" s="21">
        <v>46293</v>
      </c>
      <c r="J37" s="20" t="s">
        <v>109</v>
      </c>
      <c r="K37" s="20" t="s">
        <v>207</v>
      </c>
    </row>
    <row r="38" ht="160" customHeight="1" spans="1:11">
      <c r="A38" s="147">
        <v>33</v>
      </c>
      <c r="B38" s="148" t="s">
        <v>19</v>
      </c>
      <c r="C38" s="149" t="s">
        <v>94</v>
      </c>
      <c r="D38" s="150" t="s">
        <v>208</v>
      </c>
      <c r="E38" s="150" t="s">
        <v>209</v>
      </c>
      <c r="F38" s="151" t="s">
        <v>5</v>
      </c>
      <c r="G38" s="151" t="s">
        <v>108</v>
      </c>
      <c r="H38" s="151" t="s">
        <v>98</v>
      </c>
      <c r="I38" s="152">
        <v>46293</v>
      </c>
      <c r="J38" s="151" t="s">
        <v>109</v>
      </c>
      <c r="K38" s="151" t="s">
        <v>143</v>
      </c>
    </row>
    <row r="39" ht="160" customHeight="1" spans="1:11">
      <c r="A39" s="153">
        <v>34</v>
      </c>
      <c r="B39" s="24" t="s">
        <v>19</v>
      </c>
      <c r="C39" s="25" t="s">
        <v>94</v>
      </c>
      <c r="D39" s="108" t="s">
        <v>210</v>
      </c>
      <c r="E39" s="108" t="s">
        <v>211</v>
      </c>
      <c r="F39" s="20" t="s">
        <v>5</v>
      </c>
      <c r="G39" s="20" t="s">
        <v>212</v>
      </c>
      <c r="H39" s="20" t="s">
        <v>98</v>
      </c>
      <c r="I39" s="21">
        <v>46293</v>
      </c>
      <c r="J39" s="20" t="s">
        <v>213</v>
      </c>
      <c r="K39" s="20" t="s">
        <v>143</v>
      </c>
    </row>
    <row r="40" ht="160" customHeight="1" spans="1:11">
      <c r="A40" s="153">
        <v>35</v>
      </c>
      <c r="B40" s="24" t="s">
        <v>19</v>
      </c>
      <c r="C40" s="25" t="s">
        <v>100</v>
      </c>
      <c r="D40" s="109" t="s">
        <v>214</v>
      </c>
      <c r="E40" s="109" t="s">
        <v>215</v>
      </c>
      <c r="F40" s="20" t="s">
        <v>5</v>
      </c>
      <c r="G40" s="20" t="s">
        <v>216</v>
      </c>
      <c r="H40" s="20" t="s">
        <v>98</v>
      </c>
      <c r="I40" s="21">
        <v>46293</v>
      </c>
      <c r="J40" s="20" t="s">
        <v>217</v>
      </c>
      <c r="K40" s="20" t="s">
        <v>143</v>
      </c>
    </row>
    <row r="41" ht="160" customHeight="1" spans="1:11">
      <c r="A41" s="153">
        <v>36</v>
      </c>
      <c r="B41" s="24" t="s">
        <v>19</v>
      </c>
      <c r="C41" s="25" t="s">
        <v>94</v>
      </c>
      <c r="D41" s="108" t="s">
        <v>218</v>
      </c>
      <c r="E41" s="108" t="s">
        <v>219</v>
      </c>
      <c r="F41" s="20" t="s">
        <v>5</v>
      </c>
      <c r="G41" s="20" t="s">
        <v>108</v>
      </c>
      <c r="H41" s="20" t="s">
        <v>98</v>
      </c>
      <c r="I41" s="21">
        <v>46293</v>
      </c>
      <c r="J41" s="20" t="s">
        <v>109</v>
      </c>
      <c r="K41" s="20" t="s">
        <v>143</v>
      </c>
    </row>
    <row r="42" ht="160" customHeight="1" spans="1:11">
      <c r="A42" s="153">
        <v>37</v>
      </c>
      <c r="B42" s="24" t="s">
        <v>19</v>
      </c>
      <c r="C42" s="25" t="s">
        <v>94</v>
      </c>
      <c r="D42" s="109" t="s">
        <v>220</v>
      </c>
      <c r="E42" s="109" t="s">
        <v>221</v>
      </c>
      <c r="F42" s="20" t="s">
        <v>15</v>
      </c>
      <c r="G42" s="20" t="s">
        <v>222</v>
      </c>
      <c r="H42" s="20" t="s">
        <v>98</v>
      </c>
      <c r="I42" s="21">
        <v>46293</v>
      </c>
      <c r="J42" s="20" t="s">
        <v>223</v>
      </c>
      <c r="K42" s="20" t="s">
        <v>143</v>
      </c>
    </row>
    <row r="43" ht="160" customHeight="1" spans="1:11">
      <c r="A43" s="153">
        <v>38</v>
      </c>
      <c r="B43" s="24" t="s">
        <v>19</v>
      </c>
      <c r="C43" s="25" t="s">
        <v>94</v>
      </c>
      <c r="D43" s="108" t="s">
        <v>224</v>
      </c>
      <c r="E43" s="108" t="s">
        <v>225</v>
      </c>
      <c r="F43" s="20" t="s">
        <v>4</v>
      </c>
      <c r="G43" s="20" t="s">
        <v>226</v>
      </c>
      <c r="H43" s="20" t="s">
        <v>98</v>
      </c>
      <c r="I43" s="21">
        <v>46293</v>
      </c>
      <c r="J43" s="20" t="s">
        <v>227</v>
      </c>
      <c r="K43" s="20" t="s">
        <v>228</v>
      </c>
    </row>
    <row r="44" ht="160" customHeight="1" spans="1:11">
      <c r="A44" s="153">
        <v>39</v>
      </c>
      <c r="B44" s="24" t="s">
        <v>19</v>
      </c>
      <c r="C44" s="25" t="s">
        <v>94</v>
      </c>
      <c r="D44" s="109" t="s">
        <v>229</v>
      </c>
      <c r="E44" s="109" t="s">
        <v>230</v>
      </c>
      <c r="F44" s="20" t="s">
        <v>15</v>
      </c>
      <c r="G44" s="20" t="s">
        <v>231</v>
      </c>
      <c r="H44" s="20" t="s">
        <v>98</v>
      </c>
      <c r="I44" s="21">
        <v>46293</v>
      </c>
      <c r="J44" s="20" t="s">
        <v>232</v>
      </c>
      <c r="K44" s="20" t="s">
        <v>143</v>
      </c>
    </row>
    <row r="45" ht="160" customHeight="1" spans="1:11">
      <c r="A45" s="153">
        <v>40</v>
      </c>
      <c r="B45" s="24" t="s">
        <v>19</v>
      </c>
      <c r="C45" s="25" t="s">
        <v>100</v>
      </c>
      <c r="D45" s="108" t="s">
        <v>233</v>
      </c>
      <c r="E45" s="108" t="s">
        <v>234</v>
      </c>
      <c r="F45" s="20" t="s">
        <v>5</v>
      </c>
      <c r="G45" s="20" t="s">
        <v>216</v>
      </c>
      <c r="H45" s="20" t="s">
        <v>98</v>
      </c>
      <c r="I45" s="21">
        <v>46293</v>
      </c>
      <c r="J45" s="20" t="s">
        <v>217</v>
      </c>
      <c r="K45" s="20" t="s">
        <v>143</v>
      </c>
    </row>
    <row r="46" ht="160" customHeight="1" spans="1:11">
      <c r="A46" s="153">
        <v>41</v>
      </c>
      <c r="B46" s="24" t="s">
        <v>19</v>
      </c>
      <c r="C46" s="25" t="s">
        <v>94</v>
      </c>
      <c r="D46" s="109" t="s">
        <v>235</v>
      </c>
      <c r="E46" s="109" t="s">
        <v>236</v>
      </c>
      <c r="F46" s="20" t="s">
        <v>15</v>
      </c>
      <c r="G46" s="20" t="s">
        <v>222</v>
      </c>
      <c r="H46" s="20" t="s">
        <v>98</v>
      </c>
      <c r="I46" s="21">
        <v>46293</v>
      </c>
      <c r="J46" s="20" t="s">
        <v>223</v>
      </c>
      <c r="K46" s="20" t="s">
        <v>105</v>
      </c>
    </row>
    <row r="47" ht="160" customHeight="1" spans="1:11">
      <c r="A47" s="153">
        <v>42</v>
      </c>
      <c r="B47" s="24" t="s">
        <v>19</v>
      </c>
      <c r="C47" s="25" t="s">
        <v>100</v>
      </c>
      <c r="D47" s="108" t="s">
        <v>237</v>
      </c>
      <c r="E47" s="108" t="s">
        <v>238</v>
      </c>
      <c r="F47" s="20" t="s">
        <v>15</v>
      </c>
      <c r="G47" s="20" t="s">
        <v>239</v>
      </c>
      <c r="H47" s="20" t="s">
        <v>98</v>
      </c>
      <c r="I47" s="21">
        <v>46293</v>
      </c>
      <c r="J47" s="20" t="s">
        <v>240</v>
      </c>
      <c r="K47" s="20" t="s">
        <v>143</v>
      </c>
    </row>
    <row r="48" ht="160" customHeight="1" spans="1:11">
      <c r="A48" s="153">
        <v>43</v>
      </c>
      <c r="B48" s="24" t="s">
        <v>19</v>
      </c>
      <c r="C48" s="25" t="s">
        <v>100</v>
      </c>
      <c r="D48" s="109" t="s">
        <v>241</v>
      </c>
      <c r="E48" s="109" t="s">
        <v>242</v>
      </c>
      <c r="F48" s="20" t="s">
        <v>15</v>
      </c>
      <c r="G48" s="20" t="s">
        <v>243</v>
      </c>
      <c r="H48" s="20" t="s">
        <v>98</v>
      </c>
      <c r="I48" s="21">
        <v>46293</v>
      </c>
      <c r="J48" s="20" t="s">
        <v>244</v>
      </c>
      <c r="K48" s="20" t="s">
        <v>245</v>
      </c>
    </row>
    <row r="49" ht="160" customHeight="1" spans="1:11">
      <c r="A49" s="153">
        <v>44</v>
      </c>
      <c r="B49" s="24" t="s">
        <v>19</v>
      </c>
      <c r="C49" s="25" t="s">
        <v>94</v>
      </c>
      <c r="D49" s="108" t="s">
        <v>246</v>
      </c>
      <c r="E49" s="108" t="s">
        <v>247</v>
      </c>
      <c r="F49" s="20" t="s">
        <v>5</v>
      </c>
      <c r="G49" s="20" t="s">
        <v>108</v>
      </c>
      <c r="H49" s="20" t="s">
        <v>98</v>
      </c>
      <c r="I49" s="21">
        <v>46293</v>
      </c>
      <c r="J49" s="20" t="s">
        <v>109</v>
      </c>
      <c r="K49" s="20" t="s">
        <v>143</v>
      </c>
    </row>
    <row r="50" ht="120" customHeight="1" spans="1:11">
      <c r="A50" s="154">
        <v>45</v>
      </c>
      <c r="B50" s="155" t="s">
        <v>20</v>
      </c>
      <c r="C50" s="156" t="s">
        <v>100</v>
      </c>
      <c r="D50" s="157" t="s">
        <v>248</v>
      </c>
      <c r="E50" s="157" t="s">
        <v>249</v>
      </c>
      <c r="F50" s="158" t="s">
        <v>15</v>
      </c>
      <c r="G50" s="158" t="s">
        <v>250</v>
      </c>
      <c r="H50" s="158" t="s">
        <v>98</v>
      </c>
      <c r="I50" s="159">
        <v>46292</v>
      </c>
      <c r="J50" s="158" t="s">
        <v>251</v>
      </c>
      <c r="K50" s="158" t="s">
        <v>66</v>
      </c>
    </row>
    <row r="51" ht="160" customHeight="1" spans="1:11">
      <c r="A51" s="160">
        <v>46</v>
      </c>
      <c r="B51" s="161" t="s">
        <v>20</v>
      </c>
      <c r="C51" s="162" t="s">
        <v>94</v>
      </c>
      <c r="D51" s="108" t="s">
        <v>252</v>
      </c>
      <c r="E51" s="108" t="s">
        <v>253</v>
      </c>
      <c r="F51" s="20" t="s">
        <v>5</v>
      </c>
      <c r="G51" s="20" t="s">
        <v>254</v>
      </c>
      <c r="H51" s="20" t="s">
        <v>98</v>
      </c>
      <c r="I51" s="21">
        <v>46293</v>
      </c>
      <c r="J51" s="20" t="s">
        <v>109</v>
      </c>
      <c r="K51" s="20" t="s">
        <v>143</v>
      </c>
    </row>
    <row r="52" ht="160" customHeight="1" spans="1:11">
      <c r="A52" s="160">
        <v>47</v>
      </c>
      <c r="B52" s="161" t="s">
        <v>20</v>
      </c>
      <c r="C52" s="162" t="s">
        <v>100</v>
      </c>
      <c r="D52" s="109" t="s">
        <v>255</v>
      </c>
      <c r="E52" s="109" t="s">
        <v>256</v>
      </c>
      <c r="F52" s="20" t="s">
        <v>5</v>
      </c>
      <c r="G52" s="20" t="s">
        <v>108</v>
      </c>
      <c r="H52" s="20" t="s">
        <v>98</v>
      </c>
      <c r="I52" s="21">
        <v>46293</v>
      </c>
      <c r="J52" s="20" t="s">
        <v>109</v>
      </c>
      <c r="K52" s="20" t="s">
        <v>143</v>
      </c>
    </row>
    <row r="53" ht="160" customHeight="1" spans="1:11">
      <c r="A53" s="160">
        <v>48</v>
      </c>
      <c r="B53" s="161" t="s">
        <v>20</v>
      </c>
      <c r="C53" s="162" t="s">
        <v>100</v>
      </c>
      <c r="D53" s="108" t="s">
        <v>257</v>
      </c>
      <c r="E53" s="108" t="s">
        <v>258</v>
      </c>
      <c r="F53" s="20" t="s">
        <v>5</v>
      </c>
      <c r="G53" s="20" t="s">
        <v>167</v>
      </c>
      <c r="H53" s="20" t="s">
        <v>98</v>
      </c>
      <c r="I53" s="21">
        <v>46293</v>
      </c>
      <c r="J53" s="20" t="s">
        <v>109</v>
      </c>
      <c r="K53" s="20" t="s">
        <v>143</v>
      </c>
    </row>
    <row r="54" ht="160" customHeight="1" spans="1:11">
      <c r="A54" s="160">
        <v>49</v>
      </c>
      <c r="B54" s="161" t="s">
        <v>20</v>
      </c>
      <c r="C54" s="162" t="s">
        <v>94</v>
      </c>
      <c r="D54" s="109" t="s">
        <v>259</v>
      </c>
      <c r="E54" s="109" t="s">
        <v>260</v>
      </c>
      <c r="F54" s="20" t="s">
        <v>5</v>
      </c>
      <c r="G54" s="20" t="s">
        <v>167</v>
      </c>
      <c r="H54" s="20" t="s">
        <v>98</v>
      </c>
      <c r="I54" s="21">
        <v>46293</v>
      </c>
      <c r="J54" s="20" t="s">
        <v>109</v>
      </c>
      <c r="K54" s="20" t="s">
        <v>143</v>
      </c>
    </row>
    <row r="55" ht="160" customHeight="1" spans="1:11">
      <c r="A55" s="160">
        <v>50</v>
      </c>
      <c r="B55" s="161" t="s">
        <v>20</v>
      </c>
      <c r="C55" s="162" t="s">
        <v>100</v>
      </c>
      <c r="D55" s="108" t="s">
        <v>261</v>
      </c>
      <c r="E55" s="108" t="s">
        <v>262</v>
      </c>
      <c r="F55" s="20" t="s">
        <v>5</v>
      </c>
      <c r="G55" s="20" t="s">
        <v>108</v>
      </c>
      <c r="H55" s="20" t="s">
        <v>98</v>
      </c>
      <c r="I55" s="21">
        <v>46293</v>
      </c>
      <c r="J55" s="20" t="s">
        <v>109</v>
      </c>
      <c r="K55" s="20" t="s">
        <v>66</v>
      </c>
    </row>
    <row r="56" ht="160" customHeight="1" spans="1:11">
      <c r="A56" s="163">
        <v>51</v>
      </c>
      <c r="B56" s="164" t="s">
        <v>21</v>
      </c>
      <c r="C56" s="165" t="s">
        <v>94</v>
      </c>
      <c r="D56" s="166" t="s">
        <v>263</v>
      </c>
      <c r="E56" s="166" t="s">
        <v>264</v>
      </c>
      <c r="F56" s="167" t="s">
        <v>5</v>
      </c>
      <c r="G56" s="167" t="s">
        <v>265</v>
      </c>
      <c r="H56" s="167" t="s">
        <v>98</v>
      </c>
      <c r="I56" s="168">
        <v>46293</v>
      </c>
      <c r="J56" s="167" t="s">
        <v>266</v>
      </c>
      <c r="K56" s="167" t="s">
        <v>66</v>
      </c>
    </row>
    <row r="57" ht="160" customHeight="1" spans="1:11">
      <c r="A57" s="169">
        <v>52</v>
      </c>
      <c r="B57" s="170" t="s">
        <v>21</v>
      </c>
      <c r="C57" s="171" t="s">
        <v>94</v>
      </c>
      <c r="D57" s="108" t="s">
        <v>267</v>
      </c>
      <c r="E57" s="108" t="s">
        <v>268</v>
      </c>
      <c r="F57" s="20" t="s">
        <v>5</v>
      </c>
      <c r="G57" s="20" t="s">
        <v>269</v>
      </c>
      <c r="H57" s="20" t="s">
        <v>98</v>
      </c>
      <c r="I57" s="21">
        <v>46293</v>
      </c>
      <c r="J57" s="20" t="s">
        <v>270</v>
      </c>
      <c r="K57" s="20" t="s">
        <v>66</v>
      </c>
    </row>
    <row r="58" ht="160" customHeight="1" spans="1:11">
      <c r="A58" s="169">
        <v>53</v>
      </c>
      <c r="B58" s="170" t="s">
        <v>21</v>
      </c>
      <c r="C58" s="171" t="s">
        <v>100</v>
      </c>
      <c r="D58" s="109" t="s">
        <v>271</v>
      </c>
      <c r="E58" s="109" t="s">
        <v>272</v>
      </c>
      <c r="F58" s="20" t="s">
        <v>5</v>
      </c>
      <c r="G58" s="20" t="s">
        <v>273</v>
      </c>
      <c r="H58" s="20" t="s">
        <v>98</v>
      </c>
      <c r="I58" s="21">
        <v>46293</v>
      </c>
      <c r="J58" s="20" t="s">
        <v>109</v>
      </c>
      <c r="K58" s="20" t="s">
        <v>143</v>
      </c>
    </row>
    <row r="59" ht="160" customHeight="1" spans="1:11">
      <c r="A59" s="169">
        <v>54</v>
      </c>
      <c r="B59" s="170" t="s">
        <v>21</v>
      </c>
      <c r="C59" s="171" t="s">
        <v>94</v>
      </c>
      <c r="D59" s="108" t="s">
        <v>274</v>
      </c>
      <c r="E59" s="108" t="s">
        <v>275</v>
      </c>
      <c r="F59" s="20" t="s">
        <v>5</v>
      </c>
      <c r="G59" s="20" t="s">
        <v>269</v>
      </c>
      <c r="H59" s="20" t="s">
        <v>98</v>
      </c>
      <c r="I59" s="21">
        <v>46293</v>
      </c>
      <c r="J59" s="20" t="s">
        <v>270</v>
      </c>
      <c r="K59" s="20" t="s">
        <v>66</v>
      </c>
    </row>
    <row r="60" ht="160" customHeight="1" spans="1:11">
      <c r="A60" s="169">
        <v>55</v>
      </c>
      <c r="B60" s="170" t="s">
        <v>21</v>
      </c>
      <c r="C60" s="171" t="s">
        <v>94</v>
      </c>
      <c r="D60" s="109" t="s">
        <v>276</v>
      </c>
      <c r="E60" s="109" t="s">
        <v>277</v>
      </c>
      <c r="F60" s="20" t="s">
        <v>5</v>
      </c>
      <c r="G60" s="20" t="s">
        <v>273</v>
      </c>
      <c r="H60" s="20" t="s">
        <v>98</v>
      </c>
      <c r="I60" s="21">
        <v>46293</v>
      </c>
      <c r="J60" s="20" t="s">
        <v>109</v>
      </c>
      <c r="K60" s="20" t="s">
        <v>66</v>
      </c>
    </row>
    <row r="61" ht="160" customHeight="1" spans="1:11">
      <c r="A61" s="169">
        <v>56</v>
      </c>
      <c r="B61" s="170" t="s">
        <v>21</v>
      </c>
      <c r="C61" s="171" t="s">
        <v>100</v>
      </c>
      <c r="D61" s="108" t="s">
        <v>278</v>
      </c>
      <c r="E61" s="108" t="s">
        <v>279</v>
      </c>
      <c r="F61" s="20" t="s">
        <v>5</v>
      </c>
      <c r="G61" s="20" t="s">
        <v>203</v>
      </c>
      <c r="H61" s="20" t="s">
        <v>98</v>
      </c>
      <c r="I61" s="21">
        <v>46293</v>
      </c>
      <c r="J61" s="20" t="s">
        <v>204</v>
      </c>
      <c r="K61" s="20" t="s">
        <v>66</v>
      </c>
    </row>
    <row r="62" ht="145" customHeight="1" spans="1:11">
      <c r="A62" s="172">
        <v>57</v>
      </c>
      <c r="B62" s="173" t="s">
        <v>22</v>
      </c>
      <c r="C62" s="174" t="s">
        <v>94</v>
      </c>
      <c r="D62" s="175" t="s">
        <v>280</v>
      </c>
      <c r="E62" s="175" t="s">
        <v>281</v>
      </c>
      <c r="F62" s="176" t="s">
        <v>15</v>
      </c>
      <c r="G62" s="176" t="s">
        <v>282</v>
      </c>
      <c r="H62" s="176" t="s">
        <v>98</v>
      </c>
      <c r="I62" s="177">
        <v>46293</v>
      </c>
      <c r="J62" s="176" t="s">
        <v>283</v>
      </c>
      <c r="K62" s="176" t="s">
        <v>66</v>
      </c>
    </row>
    <row r="63" ht="160" customHeight="1" spans="1:11">
      <c r="A63" s="178">
        <v>58</v>
      </c>
      <c r="B63" s="26" t="s">
        <v>22</v>
      </c>
      <c r="C63" s="27" t="s">
        <v>94</v>
      </c>
      <c r="D63" s="108" t="s">
        <v>284</v>
      </c>
      <c r="E63" s="108" t="s">
        <v>285</v>
      </c>
      <c r="F63" s="20" t="s">
        <v>15</v>
      </c>
      <c r="G63" s="20" t="s">
        <v>286</v>
      </c>
      <c r="H63" s="20" t="s">
        <v>98</v>
      </c>
      <c r="I63" s="21">
        <v>46293</v>
      </c>
      <c r="J63" s="20" t="s">
        <v>287</v>
      </c>
      <c r="K63" s="20" t="s">
        <v>143</v>
      </c>
    </row>
    <row r="64" ht="160" customHeight="1" spans="1:11">
      <c r="A64" s="178">
        <v>59</v>
      </c>
      <c r="B64" s="26" t="s">
        <v>22</v>
      </c>
      <c r="C64" s="27" t="s">
        <v>94</v>
      </c>
      <c r="D64" s="109" t="s">
        <v>288</v>
      </c>
      <c r="E64" s="109" t="s">
        <v>289</v>
      </c>
      <c r="F64" s="20" t="s">
        <v>15</v>
      </c>
      <c r="G64" s="20" t="s">
        <v>290</v>
      </c>
      <c r="H64" s="20" t="s">
        <v>98</v>
      </c>
      <c r="I64" s="21">
        <v>46293</v>
      </c>
      <c r="J64" s="20" t="s">
        <v>291</v>
      </c>
      <c r="K64" s="20" t="s">
        <v>143</v>
      </c>
    </row>
    <row r="65" ht="160" customHeight="1" spans="1:11">
      <c r="A65" s="178">
        <v>60</v>
      </c>
      <c r="B65" s="26" t="s">
        <v>22</v>
      </c>
      <c r="C65" s="27" t="s">
        <v>100</v>
      </c>
      <c r="D65" s="108" t="s">
        <v>292</v>
      </c>
      <c r="E65" s="108" t="s">
        <v>293</v>
      </c>
      <c r="F65" s="20" t="s">
        <v>5</v>
      </c>
      <c r="G65" s="20" t="s">
        <v>294</v>
      </c>
      <c r="H65" s="20" t="s">
        <v>98</v>
      </c>
      <c r="I65" s="21">
        <v>46293</v>
      </c>
      <c r="J65" s="20" t="s">
        <v>295</v>
      </c>
      <c r="K65" s="20" t="s">
        <v>143</v>
      </c>
    </row>
    <row r="66" ht="160" customHeight="1" spans="1:11">
      <c r="A66" s="178">
        <v>61</v>
      </c>
      <c r="B66" s="26" t="s">
        <v>22</v>
      </c>
      <c r="C66" s="27" t="s">
        <v>94</v>
      </c>
      <c r="D66" s="109" t="s">
        <v>296</v>
      </c>
      <c r="E66" s="109" t="s">
        <v>297</v>
      </c>
      <c r="F66" s="20" t="s">
        <v>5</v>
      </c>
      <c r="G66" s="20" t="s">
        <v>108</v>
      </c>
      <c r="H66" s="20" t="s">
        <v>98</v>
      </c>
      <c r="I66" s="21">
        <v>46293</v>
      </c>
      <c r="J66" s="20" t="s">
        <v>109</v>
      </c>
      <c r="K66" s="20" t="s">
        <v>143</v>
      </c>
    </row>
    <row r="67" ht="160" customHeight="1" spans="1:11">
      <c r="A67" s="178">
        <v>62</v>
      </c>
      <c r="B67" s="26" t="s">
        <v>22</v>
      </c>
      <c r="C67" s="27" t="s">
        <v>100</v>
      </c>
      <c r="D67" s="108" t="s">
        <v>298</v>
      </c>
      <c r="E67" s="108" t="s">
        <v>299</v>
      </c>
      <c r="F67" s="20" t="s">
        <v>15</v>
      </c>
      <c r="G67" s="20" t="s">
        <v>300</v>
      </c>
      <c r="H67" s="20" t="s">
        <v>98</v>
      </c>
      <c r="I67" s="21">
        <v>46293</v>
      </c>
      <c r="J67" s="20" t="s">
        <v>301</v>
      </c>
      <c r="K67" s="20" t="s">
        <v>143</v>
      </c>
    </row>
    <row r="68" ht="160" customHeight="1" spans="1:11">
      <c r="A68" s="178">
        <v>63</v>
      </c>
      <c r="B68" s="26" t="s">
        <v>22</v>
      </c>
      <c r="C68" s="27" t="s">
        <v>94</v>
      </c>
      <c r="D68" s="109" t="s">
        <v>302</v>
      </c>
      <c r="E68" s="109" t="s">
        <v>303</v>
      </c>
      <c r="F68" s="20" t="s">
        <v>15</v>
      </c>
      <c r="G68" s="20" t="s">
        <v>286</v>
      </c>
      <c r="H68" s="20" t="s">
        <v>98</v>
      </c>
      <c r="I68" s="21">
        <v>46293</v>
      </c>
      <c r="J68" s="20" t="s">
        <v>287</v>
      </c>
      <c r="K68" s="20" t="s">
        <v>143</v>
      </c>
    </row>
    <row r="69" ht="160" customHeight="1" spans="1:11">
      <c r="A69" s="178">
        <v>64</v>
      </c>
      <c r="B69" s="26" t="s">
        <v>22</v>
      </c>
      <c r="C69" s="27" t="s">
        <v>94</v>
      </c>
      <c r="D69" s="108" t="s">
        <v>304</v>
      </c>
      <c r="E69" s="108" t="s">
        <v>305</v>
      </c>
      <c r="F69" s="20" t="s">
        <v>5</v>
      </c>
      <c r="G69" s="20" t="s">
        <v>108</v>
      </c>
      <c r="H69" s="20" t="s">
        <v>98</v>
      </c>
      <c r="I69" s="21">
        <v>46293</v>
      </c>
      <c r="J69" s="20" t="s">
        <v>109</v>
      </c>
      <c r="K69" s="20" t="s">
        <v>143</v>
      </c>
    </row>
    <row r="70" ht="160" customHeight="1" spans="1:11">
      <c r="A70" s="178">
        <v>65</v>
      </c>
      <c r="B70" s="26" t="s">
        <v>22</v>
      </c>
      <c r="C70" s="27" t="s">
        <v>100</v>
      </c>
      <c r="D70" s="109" t="s">
        <v>306</v>
      </c>
      <c r="E70" s="109" t="s">
        <v>307</v>
      </c>
      <c r="F70" s="20" t="s">
        <v>5</v>
      </c>
      <c r="G70" s="20" t="s">
        <v>167</v>
      </c>
      <c r="H70" s="20" t="s">
        <v>98</v>
      </c>
      <c r="I70" s="21">
        <v>46293</v>
      </c>
      <c r="J70" s="20" t="s">
        <v>109</v>
      </c>
      <c r="K70" s="20" t="s">
        <v>143</v>
      </c>
    </row>
    <row r="71" ht="160" customHeight="1" spans="1:11">
      <c r="A71" s="179">
        <v>66</v>
      </c>
      <c r="B71" s="180" t="s">
        <v>23</v>
      </c>
      <c r="C71" s="181" t="s">
        <v>94</v>
      </c>
      <c r="D71" s="182" t="s">
        <v>308</v>
      </c>
      <c r="E71" s="182" t="s">
        <v>309</v>
      </c>
      <c r="F71" s="183" t="s">
        <v>5</v>
      </c>
      <c r="G71" s="183" t="s">
        <v>310</v>
      </c>
      <c r="H71" s="183" t="s">
        <v>98</v>
      </c>
      <c r="I71" s="184">
        <v>46293</v>
      </c>
      <c r="J71" s="183" t="s">
        <v>109</v>
      </c>
      <c r="K71" s="183" t="s">
        <v>143</v>
      </c>
    </row>
    <row r="72" ht="160" customHeight="1" spans="1:11">
      <c r="A72" s="185">
        <v>67</v>
      </c>
      <c r="B72" s="30" t="s">
        <v>23</v>
      </c>
      <c r="C72" s="31" t="s">
        <v>94</v>
      </c>
      <c r="D72" s="109" t="s">
        <v>311</v>
      </c>
      <c r="E72" s="109" t="s">
        <v>312</v>
      </c>
      <c r="F72" s="20" t="s">
        <v>15</v>
      </c>
      <c r="G72" s="20" t="s">
        <v>286</v>
      </c>
      <c r="H72" s="20" t="s">
        <v>98</v>
      </c>
      <c r="I72" s="21">
        <v>46293</v>
      </c>
      <c r="J72" s="20" t="s">
        <v>287</v>
      </c>
      <c r="K72" s="20" t="s">
        <v>143</v>
      </c>
    </row>
    <row r="73" ht="160" customHeight="1" spans="1:11">
      <c r="A73" s="185">
        <v>68</v>
      </c>
      <c r="B73" s="30" t="s">
        <v>23</v>
      </c>
      <c r="C73" s="31" t="s">
        <v>94</v>
      </c>
      <c r="D73" s="108" t="s">
        <v>313</v>
      </c>
      <c r="E73" s="108" t="s">
        <v>314</v>
      </c>
      <c r="F73" s="20" t="s">
        <v>5</v>
      </c>
      <c r="G73" s="20" t="s">
        <v>310</v>
      </c>
      <c r="H73" s="20" t="s">
        <v>98</v>
      </c>
      <c r="I73" s="21">
        <v>46293</v>
      </c>
      <c r="J73" s="20" t="s">
        <v>109</v>
      </c>
      <c r="K73" s="20" t="s">
        <v>143</v>
      </c>
    </row>
    <row r="74" ht="160" customHeight="1" spans="1:11">
      <c r="A74" s="185">
        <v>69</v>
      </c>
      <c r="B74" s="30" t="s">
        <v>23</v>
      </c>
      <c r="C74" s="31" t="s">
        <v>94</v>
      </c>
      <c r="D74" s="109" t="s">
        <v>315</v>
      </c>
      <c r="E74" s="109" t="s">
        <v>316</v>
      </c>
      <c r="F74" s="20" t="s">
        <v>5</v>
      </c>
      <c r="G74" s="20" t="s">
        <v>310</v>
      </c>
      <c r="H74" s="20" t="s">
        <v>98</v>
      </c>
      <c r="I74" s="21">
        <v>46293</v>
      </c>
      <c r="J74" s="20" t="s">
        <v>109</v>
      </c>
      <c r="K74" s="20" t="s">
        <v>143</v>
      </c>
    </row>
    <row r="75" ht="160" customHeight="1" spans="1:11">
      <c r="A75" s="185">
        <v>70</v>
      </c>
      <c r="B75" s="30" t="s">
        <v>23</v>
      </c>
      <c r="C75" s="31" t="s">
        <v>94</v>
      </c>
      <c r="D75" s="108" t="s">
        <v>317</v>
      </c>
      <c r="E75" s="108" t="s">
        <v>318</v>
      </c>
      <c r="F75" s="20" t="s">
        <v>5</v>
      </c>
      <c r="G75" s="20" t="s">
        <v>310</v>
      </c>
      <c r="H75" s="20" t="s">
        <v>98</v>
      </c>
      <c r="I75" s="21">
        <v>46293</v>
      </c>
      <c r="J75" s="20" t="s">
        <v>109</v>
      </c>
      <c r="K75" s="20" t="s">
        <v>143</v>
      </c>
    </row>
    <row r="76" ht="160" customHeight="1" spans="1:11">
      <c r="A76" s="185">
        <v>71</v>
      </c>
      <c r="B76" s="30" t="s">
        <v>23</v>
      </c>
      <c r="C76" s="31" t="s">
        <v>94</v>
      </c>
      <c r="D76" s="109" t="s">
        <v>319</v>
      </c>
      <c r="E76" s="109" t="s">
        <v>320</v>
      </c>
      <c r="F76" s="20" t="s">
        <v>5</v>
      </c>
      <c r="G76" s="20" t="s">
        <v>310</v>
      </c>
      <c r="H76" s="20" t="s">
        <v>98</v>
      </c>
      <c r="I76" s="21">
        <v>46293</v>
      </c>
      <c r="J76" s="20" t="s">
        <v>109</v>
      </c>
      <c r="K76" s="20" t="s">
        <v>143</v>
      </c>
    </row>
    <row r="77" ht="160" customHeight="1" spans="1:11">
      <c r="A77" s="185">
        <v>72</v>
      </c>
      <c r="B77" s="30" t="s">
        <v>23</v>
      </c>
      <c r="C77" s="31" t="s">
        <v>94</v>
      </c>
      <c r="D77" s="108" t="s">
        <v>321</v>
      </c>
      <c r="E77" s="108" t="s">
        <v>322</v>
      </c>
      <c r="F77" s="20" t="s">
        <v>5</v>
      </c>
      <c r="G77" s="20" t="s">
        <v>310</v>
      </c>
      <c r="H77" s="20" t="s">
        <v>98</v>
      </c>
      <c r="I77" s="21">
        <v>46293</v>
      </c>
      <c r="J77" s="20" t="s">
        <v>109</v>
      </c>
      <c r="K77" s="20" t="s">
        <v>143</v>
      </c>
    </row>
    <row r="78" ht="160" customHeight="1" spans="1:11">
      <c r="A78" s="185">
        <v>73</v>
      </c>
      <c r="B78" s="30" t="s">
        <v>23</v>
      </c>
      <c r="C78" s="31" t="s">
        <v>94</v>
      </c>
      <c r="D78" s="109" t="s">
        <v>323</v>
      </c>
      <c r="E78" s="109" t="s">
        <v>324</v>
      </c>
      <c r="F78" s="20" t="s">
        <v>5</v>
      </c>
      <c r="G78" s="20" t="s">
        <v>310</v>
      </c>
      <c r="H78" s="20" t="s">
        <v>98</v>
      </c>
      <c r="I78" s="21">
        <v>46293</v>
      </c>
      <c r="J78" s="20" t="s">
        <v>109</v>
      </c>
      <c r="K78" s="20" t="s">
        <v>143</v>
      </c>
    </row>
    <row r="79" ht="160" customHeight="1" spans="1:11">
      <c r="A79" s="185">
        <v>74</v>
      </c>
      <c r="B79" s="30" t="s">
        <v>23</v>
      </c>
      <c r="C79" s="31" t="s">
        <v>94</v>
      </c>
      <c r="D79" s="108" t="s">
        <v>325</v>
      </c>
      <c r="E79" s="108" t="s">
        <v>326</v>
      </c>
      <c r="F79" s="20" t="s">
        <v>5</v>
      </c>
      <c r="G79" s="20" t="s">
        <v>310</v>
      </c>
      <c r="H79" s="20" t="s">
        <v>98</v>
      </c>
      <c r="I79" s="21">
        <v>46293</v>
      </c>
      <c r="J79" s="20" t="s">
        <v>109</v>
      </c>
      <c r="K79" s="20" t="s">
        <v>143</v>
      </c>
    </row>
    <row r="80" ht="160" customHeight="1" spans="1:11">
      <c r="A80" s="185">
        <v>75</v>
      </c>
      <c r="B80" s="30" t="s">
        <v>23</v>
      </c>
      <c r="C80" s="31" t="s">
        <v>94</v>
      </c>
      <c r="D80" s="109" t="s">
        <v>327</v>
      </c>
      <c r="E80" s="109" t="s">
        <v>328</v>
      </c>
      <c r="F80" s="20" t="s">
        <v>5</v>
      </c>
      <c r="G80" s="20" t="s">
        <v>310</v>
      </c>
      <c r="H80" s="20" t="s">
        <v>98</v>
      </c>
      <c r="I80" s="21">
        <v>46293</v>
      </c>
      <c r="J80" s="20" t="s">
        <v>109</v>
      </c>
      <c r="K80" s="20" t="s">
        <v>143</v>
      </c>
    </row>
    <row r="81" ht="160" customHeight="1" spans="1:11">
      <c r="A81" s="185">
        <v>76</v>
      </c>
      <c r="B81" s="30" t="s">
        <v>23</v>
      </c>
      <c r="C81" s="31" t="s">
        <v>94</v>
      </c>
      <c r="D81" s="108" t="s">
        <v>329</v>
      </c>
      <c r="E81" s="108" t="s">
        <v>330</v>
      </c>
      <c r="F81" s="20" t="s">
        <v>5</v>
      </c>
      <c r="G81" s="20" t="s">
        <v>310</v>
      </c>
      <c r="H81" s="20" t="s">
        <v>98</v>
      </c>
      <c r="I81" s="21">
        <v>46293</v>
      </c>
      <c r="J81" s="20" t="s">
        <v>109</v>
      </c>
      <c r="K81" s="20" t="s">
        <v>143</v>
      </c>
    </row>
    <row r="82" ht="160" customHeight="1" spans="1:11">
      <c r="A82" s="185">
        <v>77</v>
      </c>
      <c r="B82" s="30" t="s">
        <v>23</v>
      </c>
      <c r="C82" s="31" t="s">
        <v>100</v>
      </c>
      <c r="D82" s="109" t="s">
        <v>331</v>
      </c>
      <c r="E82" s="109" t="s">
        <v>332</v>
      </c>
      <c r="F82" s="20" t="s">
        <v>5</v>
      </c>
      <c r="G82" s="20" t="s">
        <v>310</v>
      </c>
      <c r="H82" s="20" t="s">
        <v>98</v>
      </c>
      <c r="I82" s="21">
        <v>46293</v>
      </c>
      <c r="J82" s="20" t="s">
        <v>109</v>
      </c>
      <c r="K82" s="20" t="s">
        <v>143</v>
      </c>
    </row>
    <row r="83" ht="160" customHeight="1" spans="1:11">
      <c r="A83" s="185">
        <v>78</v>
      </c>
      <c r="B83" s="30" t="s">
        <v>23</v>
      </c>
      <c r="C83" s="31" t="s">
        <v>94</v>
      </c>
      <c r="D83" s="108" t="s">
        <v>333</v>
      </c>
      <c r="E83" s="108" t="s">
        <v>334</v>
      </c>
      <c r="F83" s="20" t="s">
        <v>5</v>
      </c>
      <c r="G83" s="20" t="s">
        <v>310</v>
      </c>
      <c r="H83" s="20" t="s">
        <v>98</v>
      </c>
      <c r="I83" s="21">
        <v>46293</v>
      </c>
      <c r="J83" s="20" t="s">
        <v>109</v>
      </c>
      <c r="K83" s="20" t="s">
        <v>143</v>
      </c>
    </row>
    <row r="84" ht="160" customHeight="1" spans="1:11">
      <c r="A84" s="185">
        <v>79</v>
      </c>
      <c r="B84" s="30" t="s">
        <v>23</v>
      </c>
      <c r="C84" s="31" t="s">
        <v>94</v>
      </c>
      <c r="D84" s="109" t="s">
        <v>335</v>
      </c>
      <c r="E84" s="109" t="s">
        <v>336</v>
      </c>
      <c r="F84" s="20" t="s">
        <v>5</v>
      </c>
      <c r="G84" s="20" t="s">
        <v>310</v>
      </c>
      <c r="H84" s="20" t="s">
        <v>98</v>
      </c>
      <c r="I84" s="21">
        <v>46293</v>
      </c>
      <c r="J84" s="20" t="s">
        <v>109</v>
      </c>
      <c r="K84" s="20" t="s">
        <v>143</v>
      </c>
    </row>
    <row r="85" ht="160" customHeight="1" spans="1:11">
      <c r="A85" s="186">
        <v>80</v>
      </c>
      <c r="B85" s="187" t="s">
        <v>24</v>
      </c>
      <c r="C85" s="188" t="s">
        <v>94</v>
      </c>
      <c r="D85" s="189" t="s">
        <v>337</v>
      </c>
      <c r="E85" s="189" t="s">
        <v>338</v>
      </c>
      <c r="F85" s="190" t="s">
        <v>5</v>
      </c>
      <c r="G85" s="190" t="s">
        <v>339</v>
      </c>
      <c r="H85" s="190" t="s">
        <v>98</v>
      </c>
      <c r="I85" s="191">
        <v>46293</v>
      </c>
      <c r="J85" s="190" t="s">
        <v>109</v>
      </c>
      <c r="K85" s="190" t="s">
        <v>143</v>
      </c>
    </row>
    <row r="86" ht="160" customHeight="1" spans="1:11">
      <c r="A86" s="192">
        <v>81</v>
      </c>
      <c r="B86" s="193" t="s">
        <v>24</v>
      </c>
      <c r="C86" s="194" t="s">
        <v>94</v>
      </c>
      <c r="D86" s="109" t="s">
        <v>340</v>
      </c>
      <c r="E86" s="109" t="s">
        <v>341</v>
      </c>
      <c r="F86" s="20" t="s">
        <v>5</v>
      </c>
      <c r="G86" s="20" t="s">
        <v>339</v>
      </c>
      <c r="H86" s="20" t="s">
        <v>98</v>
      </c>
      <c r="I86" s="21">
        <v>46293</v>
      </c>
      <c r="J86" s="20" t="s">
        <v>109</v>
      </c>
      <c r="K86" s="20" t="s">
        <v>105</v>
      </c>
    </row>
    <row r="87" ht="160" customHeight="1" spans="1:11">
      <c r="A87" s="192">
        <v>82</v>
      </c>
      <c r="B87" s="193" t="s">
        <v>24</v>
      </c>
      <c r="C87" s="194" t="s">
        <v>94</v>
      </c>
      <c r="D87" s="108" t="s">
        <v>342</v>
      </c>
      <c r="E87" s="108" t="s">
        <v>343</v>
      </c>
      <c r="F87" s="20" t="s">
        <v>5</v>
      </c>
      <c r="G87" s="20" t="s">
        <v>339</v>
      </c>
      <c r="H87" s="20" t="s">
        <v>98</v>
      </c>
      <c r="I87" s="21">
        <v>46293</v>
      </c>
      <c r="J87" s="20" t="s">
        <v>109</v>
      </c>
      <c r="K87" s="20" t="s">
        <v>143</v>
      </c>
    </row>
    <row r="88" ht="160" customHeight="1" spans="1:11">
      <c r="A88" s="192">
        <v>83</v>
      </c>
      <c r="B88" s="193" t="s">
        <v>24</v>
      </c>
      <c r="C88" s="194" t="s">
        <v>94</v>
      </c>
      <c r="D88" s="109" t="s">
        <v>344</v>
      </c>
      <c r="E88" s="109" t="s">
        <v>345</v>
      </c>
      <c r="F88" s="20" t="s">
        <v>5</v>
      </c>
      <c r="G88" s="20" t="s">
        <v>339</v>
      </c>
      <c r="H88" s="20" t="s">
        <v>98</v>
      </c>
      <c r="I88" s="21">
        <v>46293</v>
      </c>
      <c r="J88" s="20" t="s">
        <v>109</v>
      </c>
      <c r="K88" s="20" t="s">
        <v>143</v>
      </c>
    </row>
    <row r="89" ht="160" customHeight="1" spans="1:11">
      <c r="A89" s="192">
        <v>84</v>
      </c>
      <c r="B89" s="193" t="s">
        <v>24</v>
      </c>
      <c r="C89" s="194" t="s">
        <v>94</v>
      </c>
      <c r="D89" s="108" t="s">
        <v>346</v>
      </c>
      <c r="E89" s="108" t="s">
        <v>347</v>
      </c>
      <c r="F89" s="20" t="s">
        <v>5</v>
      </c>
      <c r="G89" s="20" t="s">
        <v>339</v>
      </c>
      <c r="H89" s="20" t="s">
        <v>98</v>
      </c>
      <c r="I89" s="21">
        <v>46293</v>
      </c>
      <c r="J89" s="20" t="s">
        <v>109</v>
      </c>
      <c r="K89" s="20" t="s">
        <v>105</v>
      </c>
    </row>
    <row r="90" ht="160" customHeight="1" spans="1:11">
      <c r="A90" s="192">
        <v>85</v>
      </c>
      <c r="B90" s="193" t="s">
        <v>24</v>
      </c>
      <c r="C90" s="194" t="s">
        <v>94</v>
      </c>
      <c r="D90" s="109" t="s">
        <v>348</v>
      </c>
      <c r="E90" s="109" t="s">
        <v>349</v>
      </c>
      <c r="F90" s="20" t="s">
        <v>15</v>
      </c>
      <c r="G90" s="20" t="s">
        <v>350</v>
      </c>
      <c r="H90" s="20" t="s">
        <v>98</v>
      </c>
      <c r="I90" s="21">
        <v>46293</v>
      </c>
      <c r="J90" s="20" t="s">
        <v>123</v>
      </c>
      <c r="K90" s="20" t="s">
        <v>105</v>
      </c>
    </row>
    <row r="91" ht="160" customHeight="1" spans="1:11">
      <c r="A91" s="192">
        <v>86</v>
      </c>
      <c r="B91" s="193" t="s">
        <v>24</v>
      </c>
      <c r="C91" s="194" t="s">
        <v>94</v>
      </c>
      <c r="D91" s="108" t="s">
        <v>351</v>
      </c>
      <c r="E91" s="108" t="s">
        <v>352</v>
      </c>
      <c r="F91" s="20" t="s">
        <v>5</v>
      </c>
      <c r="G91" s="20" t="s">
        <v>339</v>
      </c>
      <c r="H91" s="20" t="s">
        <v>98</v>
      </c>
      <c r="I91" s="21">
        <v>46293</v>
      </c>
      <c r="J91" s="20" t="s">
        <v>109</v>
      </c>
      <c r="K91" s="20" t="s">
        <v>105</v>
      </c>
    </row>
    <row r="92" ht="160" customHeight="1" spans="1:11">
      <c r="A92" s="192">
        <v>87</v>
      </c>
      <c r="B92" s="193" t="s">
        <v>24</v>
      </c>
      <c r="C92" s="194" t="s">
        <v>94</v>
      </c>
      <c r="D92" s="109" t="s">
        <v>353</v>
      </c>
      <c r="E92" s="109" t="s">
        <v>354</v>
      </c>
      <c r="F92" s="20" t="s">
        <v>5</v>
      </c>
      <c r="G92" s="20" t="s">
        <v>339</v>
      </c>
      <c r="H92" s="20" t="s">
        <v>98</v>
      </c>
      <c r="I92" s="21">
        <v>46293</v>
      </c>
      <c r="J92" s="20" t="s">
        <v>109</v>
      </c>
      <c r="K92" s="20" t="s">
        <v>143</v>
      </c>
    </row>
    <row r="93" ht="160" customHeight="1" spans="1:11">
      <c r="A93" s="192">
        <v>88</v>
      </c>
      <c r="B93" s="193" t="s">
        <v>24</v>
      </c>
      <c r="C93" s="194" t="s">
        <v>94</v>
      </c>
      <c r="D93" s="108" t="s">
        <v>355</v>
      </c>
      <c r="E93" s="108" t="s">
        <v>356</v>
      </c>
      <c r="F93" s="20" t="s">
        <v>5</v>
      </c>
      <c r="G93" s="20" t="s">
        <v>339</v>
      </c>
      <c r="H93" s="20" t="s">
        <v>98</v>
      </c>
      <c r="I93" s="21">
        <v>46293</v>
      </c>
      <c r="J93" s="20" t="s">
        <v>109</v>
      </c>
      <c r="K93" s="20" t="s">
        <v>143</v>
      </c>
    </row>
    <row r="94" ht="160" customHeight="1" spans="1:11">
      <c r="A94" s="192">
        <v>89</v>
      </c>
      <c r="B94" s="193" t="s">
        <v>24</v>
      </c>
      <c r="C94" s="194" t="s">
        <v>94</v>
      </c>
      <c r="D94" s="109" t="s">
        <v>357</v>
      </c>
      <c r="E94" s="109" t="s">
        <v>358</v>
      </c>
      <c r="F94" s="20" t="s">
        <v>5</v>
      </c>
      <c r="G94" s="20" t="s">
        <v>339</v>
      </c>
      <c r="H94" s="20" t="s">
        <v>98</v>
      </c>
      <c r="I94" s="21">
        <v>46293</v>
      </c>
      <c r="J94" s="20" t="s">
        <v>109</v>
      </c>
      <c r="K94" s="20" t="s">
        <v>143</v>
      </c>
    </row>
    <row r="95" ht="160" customHeight="1" spans="1:11">
      <c r="A95" s="192">
        <v>90</v>
      </c>
      <c r="B95" s="193" t="s">
        <v>24</v>
      </c>
      <c r="C95" s="194" t="s">
        <v>94</v>
      </c>
      <c r="D95" s="108" t="s">
        <v>359</v>
      </c>
      <c r="E95" s="108" t="s">
        <v>360</v>
      </c>
      <c r="F95" s="20" t="s">
        <v>5</v>
      </c>
      <c r="G95" s="20" t="s">
        <v>339</v>
      </c>
      <c r="H95" s="20" t="s">
        <v>98</v>
      </c>
      <c r="I95" s="21">
        <v>46293</v>
      </c>
      <c r="J95" s="20" t="s">
        <v>109</v>
      </c>
      <c r="K95" s="20" t="s">
        <v>143</v>
      </c>
    </row>
    <row r="96" ht="160" customHeight="1" spans="1:11">
      <c r="A96" s="192">
        <v>91</v>
      </c>
      <c r="B96" s="193" t="s">
        <v>24</v>
      </c>
      <c r="C96" s="194" t="s">
        <v>94</v>
      </c>
      <c r="D96" s="109" t="s">
        <v>361</v>
      </c>
      <c r="E96" s="109" t="s">
        <v>362</v>
      </c>
      <c r="F96" s="20" t="s">
        <v>5</v>
      </c>
      <c r="G96" s="20" t="s">
        <v>339</v>
      </c>
      <c r="H96" s="20" t="s">
        <v>98</v>
      </c>
      <c r="I96" s="21">
        <v>46293</v>
      </c>
      <c r="J96" s="20" t="s">
        <v>109</v>
      </c>
      <c r="K96" s="20" t="s">
        <v>143</v>
      </c>
    </row>
    <row r="97" ht="160" customHeight="1" spans="1:11">
      <c r="A97" s="192">
        <v>92</v>
      </c>
      <c r="B97" s="193" t="s">
        <v>24</v>
      </c>
      <c r="C97" s="194" t="s">
        <v>94</v>
      </c>
      <c r="D97" s="108" t="s">
        <v>363</v>
      </c>
      <c r="E97" s="108" t="s">
        <v>364</v>
      </c>
      <c r="F97" s="20" t="s">
        <v>5</v>
      </c>
      <c r="G97" s="20" t="s">
        <v>339</v>
      </c>
      <c r="H97" s="20" t="s">
        <v>98</v>
      </c>
      <c r="I97" s="21">
        <v>46293</v>
      </c>
      <c r="J97" s="20" t="s">
        <v>109</v>
      </c>
      <c r="K97" s="20" t="s">
        <v>143</v>
      </c>
    </row>
    <row r="98" ht="160" customHeight="1" spans="1:11">
      <c r="A98" s="192">
        <v>93</v>
      </c>
      <c r="B98" s="193" t="s">
        <v>24</v>
      </c>
      <c r="C98" s="194" t="s">
        <v>94</v>
      </c>
      <c r="D98" s="109" t="s">
        <v>365</v>
      </c>
      <c r="E98" s="109" t="s">
        <v>366</v>
      </c>
      <c r="F98" s="20" t="s">
        <v>5</v>
      </c>
      <c r="G98" s="20" t="s">
        <v>339</v>
      </c>
      <c r="H98" s="20" t="s">
        <v>98</v>
      </c>
      <c r="I98" s="21">
        <v>46293</v>
      </c>
      <c r="J98" s="20" t="s">
        <v>109</v>
      </c>
      <c r="K98" s="20" t="s">
        <v>143</v>
      </c>
    </row>
    <row r="99" ht="160" customHeight="1" spans="1:11">
      <c r="A99" s="192">
        <v>94</v>
      </c>
      <c r="B99" s="193" t="s">
        <v>24</v>
      </c>
      <c r="C99" s="194" t="s">
        <v>94</v>
      </c>
      <c r="D99" s="108" t="s">
        <v>367</v>
      </c>
      <c r="E99" s="108" t="s">
        <v>368</v>
      </c>
      <c r="F99" s="20" t="s">
        <v>5</v>
      </c>
      <c r="G99" s="20" t="s">
        <v>339</v>
      </c>
      <c r="H99" s="20" t="s">
        <v>98</v>
      </c>
      <c r="I99" s="21">
        <v>46293</v>
      </c>
      <c r="J99" s="20" t="s">
        <v>109</v>
      </c>
      <c r="K99" s="20" t="s">
        <v>143</v>
      </c>
    </row>
    <row r="100" ht="160" customHeight="1" spans="1:11">
      <c r="A100" s="192">
        <v>95</v>
      </c>
      <c r="B100" s="193" t="s">
        <v>24</v>
      </c>
      <c r="C100" s="194" t="s">
        <v>94</v>
      </c>
      <c r="D100" s="109" t="s">
        <v>369</v>
      </c>
      <c r="E100" s="109" t="s">
        <v>370</v>
      </c>
      <c r="F100" s="20" t="s">
        <v>5</v>
      </c>
      <c r="G100" s="20" t="s">
        <v>339</v>
      </c>
      <c r="H100" s="20" t="s">
        <v>98</v>
      </c>
      <c r="I100" s="21">
        <v>46293</v>
      </c>
      <c r="J100" s="20" t="s">
        <v>109</v>
      </c>
      <c r="K100" s="20" t="s">
        <v>143</v>
      </c>
    </row>
    <row r="101" ht="160" customHeight="1" spans="1:11">
      <c r="A101" s="192">
        <v>96</v>
      </c>
      <c r="B101" s="193" t="s">
        <v>24</v>
      </c>
      <c r="C101" s="194" t="s">
        <v>100</v>
      </c>
      <c r="D101" s="108" t="s">
        <v>371</v>
      </c>
      <c r="E101" s="108" t="s">
        <v>372</v>
      </c>
      <c r="F101" s="20" t="s">
        <v>5</v>
      </c>
      <c r="G101" s="20" t="s">
        <v>339</v>
      </c>
      <c r="H101" s="20" t="s">
        <v>98</v>
      </c>
      <c r="I101" s="21">
        <v>46293</v>
      </c>
      <c r="J101" s="20" t="s">
        <v>109</v>
      </c>
      <c r="K101" s="20" t="s">
        <v>143</v>
      </c>
    </row>
    <row r="102" ht="160" customHeight="1" spans="1:11">
      <c r="A102" s="192">
        <v>97</v>
      </c>
      <c r="B102" s="193" t="s">
        <v>24</v>
      </c>
      <c r="C102" s="194" t="s">
        <v>94</v>
      </c>
      <c r="D102" s="109" t="s">
        <v>373</v>
      </c>
      <c r="E102" s="109" t="s">
        <v>374</v>
      </c>
      <c r="F102" s="20" t="s">
        <v>5</v>
      </c>
      <c r="G102" s="20" t="s">
        <v>339</v>
      </c>
      <c r="H102" s="20" t="s">
        <v>98</v>
      </c>
      <c r="I102" s="21">
        <v>46293</v>
      </c>
      <c r="J102" s="20" t="s">
        <v>109</v>
      </c>
      <c r="K102" s="20" t="s">
        <v>143</v>
      </c>
    </row>
    <row r="103" ht="160" customHeight="1" spans="1:11">
      <c r="A103" s="195">
        <v>98</v>
      </c>
      <c r="B103" s="196" t="s">
        <v>25</v>
      </c>
      <c r="C103" s="197" t="s">
        <v>94</v>
      </c>
      <c r="D103" s="198" t="s">
        <v>375</v>
      </c>
      <c r="E103" s="198" t="s">
        <v>376</v>
      </c>
      <c r="F103" s="199" t="s">
        <v>5</v>
      </c>
      <c r="G103" s="199" t="s">
        <v>377</v>
      </c>
      <c r="H103" s="199" t="s">
        <v>98</v>
      </c>
      <c r="I103" s="200">
        <v>46293</v>
      </c>
      <c r="J103" s="199" t="s">
        <v>378</v>
      </c>
      <c r="K103" s="199" t="s">
        <v>143</v>
      </c>
    </row>
    <row r="104" ht="160" customHeight="1" spans="1:11">
      <c r="A104" s="201">
        <v>99</v>
      </c>
      <c r="B104" s="202" t="s">
        <v>25</v>
      </c>
      <c r="C104" s="203" t="s">
        <v>94</v>
      </c>
      <c r="D104" s="109" t="s">
        <v>379</v>
      </c>
      <c r="E104" s="109" t="s">
        <v>380</v>
      </c>
      <c r="F104" s="20" t="s">
        <v>5</v>
      </c>
      <c r="G104" s="20" t="s">
        <v>377</v>
      </c>
      <c r="H104" s="20" t="s">
        <v>98</v>
      </c>
      <c r="I104" s="21">
        <v>46293</v>
      </c>
      <c r="J104" s="20" t="s">
        <v>378</v>
      </c>
      <c r="K104" s="20" t="s">
        <v>143</v>
      </c>
    </row>
    <row r="105" ht="160" customHeight="1" spans="1:11">
      <c r="A105" s="201">
        <v>100</v>
      </c>
      <c r="B105" s="202" t="s">
        <v>25</v>
      </c>
      <c r="C105" s="203" t="s">
        <v>94</v>
      </c>
      <c r="D105" s="108" t="s">
        <v>381</v>
      </c>
      <c r="E105" s="108" t="s">
        <v>382</v>
      </c>
      <c r="F105" s="20" t="s">
        <v>5</v>
      </c>
      <c r="G105" s="20" t="s">
        <v>377</v>
      </c>
      <c r="H105" s="20" t="s">
        <v>98</v>
      </c>
      <c r="I105" s="21">
        <v>46293</v>
      </c>
      <c r="J105" s="20" t="s">
        <v>378</v>
      </c>
      <c r="K105" s="20" t="s">
        <v>143</v>
      </c>
    </row>
    <row r="106" ht="160" customHeight="1" spans="1:11">
      <c r="A106" s="201">
        <v>101</v>
      </c>
      <c r="B106" s="202" t="s">
        <v>25</v>
      </c>
      <c r="C106" s="203" t="s">
        <v>94</v>
      </c>
      <c r="D106" s="109" t="s">
        <v>383</v>
      </c>
      <c r="E106" s="109" t="s">
        <v>384</v>
      </c>
      <c r="F106" s="20" t="s">
        <v>5</v>
      </c>
      <c r="G106" s="20" t="s">
        <v>377</v>
      </c>
      <c r="H106" s="20" t="s">
        <v>98</v>
      </c>
      <c r="I106" s="21">
        <v>46293</v>
      </c>
      <c r="J106" s="20" t="s">
        <v>378</v>
      </c>
      <c r="K106" s="20" t="s">
        <v>143</v>
      </c>
    </row>
    <row r="107" ht="160" customHeight="1" spans="1:11">
      <c r="A107" s="201">
        <v>102</v>
      </c>
      <c r="B107" s="202" t="s">
        <v>25</v>
      </c>
      <c r="C107" s="203" t="s">
        <v>94</v>
      </c>
      <c r="D107" s="108" t="s">
        <v>385</v>
      </c>
      <c r="E107" s="108" t="s">
        <v>386</v>
      </c>
      <c r="F107" s="20" t="s">
        <v>5</v>
      </c>
      <c r="G107" s="20" t="s">
        <v>377</v>
      </c>
      <c r="H107" s="20" t="s">
        <v>98</v>
      </c>
      <c r="I107" s="21">
        <v>46293</v>
      </c>
      <c r="J107" s="20" t="s">
        <v>378</v>
      </c>
      <c r="K107" s="20" t="s">
        <v>143</v>
      </c>
    </row>
    <row r="108" ht="160" customHeight="1" spans="1:11">
      <c r="A108" s="201">
        <v>103</v>
      </c>
      <c r="B108" s="202" t="s">
        <v>25</v>
      </c>
      <c r="C108" s="203" t="s">
        <v>94</v>
      </c>
      <c r="D108" s="109" t="s">
        <v>387</v>
      </c>
      <c r="E108" s="109" t="s">
        <v>388</v>
      </c>
      <c r="F108" s="20" t="s">
        <v>5</v>
      </c>
      <c r="G108" s="20" t="s">
        <v>377</v>
      </c>
      <c r="H108" s="20" t="s">
        <v>98</v>
      </c>
      <c r="I108" s="21">
        <v>46293</v>
      </c>
      <c r="J108" s="20" t="s">
        <v>378</v>
      </c>
      <c r="K108" s="20" t="s">
        <v>143</v>
      </c>
    </row>
    <row r="109" ht="160" customHeight="1" spans="1:11">
      <c r="A109" s="201">
        <v>104</v>
      </c>
      <c r="B109" s="202" t="s">
        <v>25</v>
      </c>
      <c r="C109" s="203" t="s">
        <v>100</v>
      </c>
      <c r="D109" s="108" t="s">
        <v>389</v>
      </c>
      <c r="E109" s="108" t="s">
        <v>390</v>
      </c>
      <c r="F109" s="20" t="s">
        <v>5</v>
      </c>
      <c r="G109" s="20" t="s">
        <v>377</v>
      </c>
      <c r="H109" s="20" t="s">
        <v>98</v>
      </c>
      <c r="I109" s="21">
        <v>46293</v>
      </c>
      <c r="J109" s="20" t="s">
        <v>378</v>
      </c>
      <c r="K109" s="20" t="s">
        <v>143</v>
      </c>
    </row>
    <row r="110" ht="160" customHeight="1" spans="1:11">
      <c r="A110" s="201">
        <v>105</v>
      </c>
      <c r="B110" s="202" t="s">
        <v>25</v>
      </c>
      <c r="C110" s="203" t="s">
        <v>94</v>
      </c>
      <c r="D110" s="109" t="s">
        <v>391</v>
      </c>
      <c r="E110" s="109" t="s">
        <v>392</v>
      </c>
      <c r="F110" s="20" t="s">
        <v>5</v>
      </c>
      <c r="G110" s="20" t="s">
        <v>377</v>
      </c>
      <c r="H110" s="20" t="s">
        <v>98</v>
      </c>
      <c r="I110" s="21">
        <v>46293</v>
      </c>
      <c r="J110" s="20" t="s">
        <v>378</v>
      </c>
      <c r="K110" s="20" t="s">
        <v>143</v>
      </c>
    </row>
    <row r="111" ht="160" customHeight="1" spans="1:11">
      <c r="A111" s="201">
        <v>106</v>
      </c>
      <c r="B111" s="202" t="s">
        <v>25</v>
      </c>
      <c r="C111" s="203" t="s">
        <v>94</v>
      </c>
      <c r="D111" s="108" t="s">
        <v>393</v>
      </c>
      <c r="E111" s="108" t="s">
        <v>394</v>
      </c>
      <c r="F111" s="20" t="s">
        <v>5</v>
      </c>
      <c r="G111" s="20" t="s">
        <v>377</v>
      </c>
      <c r="H111" s="20" t="s">
        <v>98</v>
      </c>
      <c r="I111" s="21">
        <v>46293</v>
      </c>
      <c r="J111" s="20" t="s">
        <v>378</v>
      </c>
      <c r="K111" s="20" t="s">
        <v>105</v>
      </c>
    </row>
    <row r="112" ht="160" customHeight="1" spans="1:11">
      <c r="A112" s="204">
        <v>107</v>
      </c>
      <c r="B112" s="205" t="s">
        <v>26</v>
      </c>
      <c r="C112" s="206" t="s">
        <v>100</v>
      </c>
      <c r="D112" s="207" t="s">
        <v>395</v>
      </c>
      <c r="E112" s="207" t="s">
        <v>396</v>
      </c>
      <c r="F112" s="208" t="s">
        <v>4</v>
      </c>
      <c r="G112" s="208" t="s">
        <v>397</v>
      </c>
      <c r="H112" s="208" t="s">
        <v>98</v>
      </c>
      <c r="I112" s="209">
        <v>46293</v>
      </c>
      <c r="J112" s="208" t="s">
        <v>398</v>
      </c>
      <c r="K112" s="208" t="s">
        <v>399</v>
      </c>
    </row>
    <row r="113" ht="160" customHeight="1" spans="1:11">
      <c r="A113" s="210">
        <v>108</v>
      </c>
      <c r="B113" s="211" t="s">
        <v>26</v>
      </c>
      <c r="C113" s="212" t="s">
        <v>94</v>
      </c>
      <c r="D113" s="108" t="s">
        <v>400</v>
      </c>
      <c r="E113" s="108" t="s">
        <v>401</v>
      </c>
      <c r="F113" s="20" t="s">
        <v>15</v>
      </c>
      <c r="G113" s="20" t="s">
        <v>402</v>
      </c>
      <c r="H113" s="20" t="s">
        <v>98</v>
      </c>
      <c r="I113" s="21">
        <v>46293</v>
      </c>
      <c r="J113" s="20" t="s">
        <v>403</v>
      </c>
      <c r="K113" s="20" t="s">
        <v>404</v>
      </c>
    </row>
    <row r="114" ht="145" customHeight="1" spans="1:11">
      <c r="A114" s="210">
        <v>109</v>
      </c>
      <c r="B114" s="211" t="s">
        <v>26</v>
      </c>
      <c r="C114" s="212" t="s">
        <v>94</v>
      </c>
      <c r="D114" s="109" t="s">
        <v>405</v>
      </c>
      <c r="E114" s="109" t="s">
        <v>406</v>
      </c>
      <c r="F114" s="20" t="s">
        <v>15</v>
      </c>
      <c r="G114" s="20" t="s">
        <v>407</v>
      </c>
      <c r="H114" s="20" t="s">
        <v>98</v>
      </c>
      <c r="I114" s="21">
        <v>46293</v>
      </c>
      <c r="J114" s="20" t="s">
        <v>283</v>
      </c>
      <c r="K114" s="20" t="s">
        <v>66</v>
      </c>
    </row>
    <row r="115" ht="160" customHeight="1" spans="1:11">
      <c r="A115" s="210">
        <v>110</v>
      </c>
      <c r="B115" s="211" t="s">
        <v>26</v>
      </c>
      <c r="C115" s="212" t="s">
        <v>100</v>
      </c>
      <c r="D115" s="108" t="s">
        <v>408</v>
      </c>
      <c r="E115" s="108" t="s">
        <v>409</v>
      </c>
      <c r="F115" s="20" t="s">
        <v>15</v>
      </c>
      <c r="G115" s="20" t="s">
        <v>410</v>
      </c>
      <c r="H115" s="20" t="s">
        <v>98</v>
      </c>
      <c r="I115" s="21">
        <v>46293</v>
      </c>
      <c r="J115" s="20" t="s">
        <v>411</v>
      </c>
      <c r="K115" s="20" t="s">
        <v>404</v>
      </c>
    </row>
    <row r="116" ht="160" customHeight="1" spans="1:11">
      <c r="A116" s="210">
        <v>111</v>
      </c>
      <c r="B116" s="211" t="s">
        <v>26</v>
      </c>
      <c r="C116" s="212" t="s">
        <v>94</v>
      </c>
      <c r="D116" s="109" t="s">
        <v>412</v>
      </c>
      <c r="E116" s="109" t="s">
        <v>413</v>
      </c>
      <c r="F116" s="20" t="s">
        <v>15</v>
      </c>
      <c r="G116" s="20" t="s">
        <v>414</v>
      </c>
      <c r="H116" s="20" t="s">
        <v>98</v>
      </c>
      <c r="I116" s="21">
        <v>46293</v>
      </c>
      <c r="J116" s="20" t="s">
        <v>415</v>
      </c>
      <c r="K116" s="20" t="s">
        <v>105</v>
      </c>
    </row>
    <row r="117" ht="160" customHeight="1" spans="1:11">
      <c r="A117" s="210">
        <v>112</v>
      </c>
      <c r="B117" s="211" t="s">
        <v>26</v>
      </c>
      <c r="C117" s="212" t="s">
        <v>100</v>
      </c>
      <c r="D117" s="108" t="s">
        <v>416</v>
      </c>
      <c r="E117" s="108" t="s">
        <v>417</v>
      </c>
      <c r="F117" s="20" t="s">
        <v>15</v>
      </c>
      <c r="G117" s="20" t="s">
        <v>418</v>
      </c>
      <c r="H117" s="20" t="s">
        <v>98</v>
      </c>
      <c r="I117" s="21">
        <v>46293</v>
      </c>
      <c r="J117" s="20" t="s">
        <v>419</v>
      </c>
      <c r="K117" s="20" t="s">
        <v>404</v>
      </c>
    </row>
    <row r="118" ht="160" customHeight="1" spans="1:11">
      <c r="A118" s="210">
        <v>113</v>
      </c>
      <c r="B118" s="211" t="s">
        <v>26</v>
      </c>
      <c r="C118" s="212" t="s">
        <v>94</v>
      </c>
      <c r="D118" s="109" t="s">
        <v>420</v>
      </c>
      <c r="E118" s="109" t="s">
        <v>421</v>
      </c>
      <c r="F118" s="20" t="s">
        <v>5</v>
      </c>
      <c r="G118" s="20" t="s">
        <v>167</v>
      </c>
      <c r="H118" s="20" t="s">
        <v>98</v>
      </c>
      <c r="I118" s="21">
        <v>46293</v>
      </c>
      <c r="J118" s="20" t="s">
        <v>109</v>
      </c>
      <c r="K118" s="20" t="s">
        <v>404</v>
      </c>
    </row>
    <row r="119" ht="160" customHeight="1" spans="1:11">
      <c r="A119" s="210">
        <v>114</v>
      </c>
      <c r="B119" s="211" t="s">
        <v>26</v>
      </c>
      <c r="C119" s="212" t="s">
        <v>100</v>
      </c>
      <c r="D119" s="108" t="s">
        <v>422</v>
      </c>
      <c r="E119" s="108" t="s">
        <v>423</v>
      </c>
      <c r="F119" s="20" t="s">
        <v>4</v>
      </c>
      <c r="G119" s="20" t="s">
        <v>424</v>
      </c>
      <c r="H119" s="20" t="s">
        <v>98</v>
      </c>
      <c r="I119" s="21">
        <v>46293</v>
      </c>
      <c r="J119" s="20" t="s">
        <v>425</v>
      </c>
      <c r="K119" s="20" t="s">
        <v>426</v>
      </c>
    </row>
    <row r="120" ht="160" customHeight="1" spans="1:11">
      <c r="A120" s="213">
        <v>115</v>
      </c>
      <c r="B120" s="214" t="s">
        <v>27</v>
      </c>
      <c r="C120" s="215" t="s">
        <v>94</v>
      </c>
      <c r="D120" s="216" t="s">
        <v>427</v>
      </c>
      <c r="E120" s="216" t="s">
        <v>428</v>
      </c>
      <c r="F120" s="217" t="s">
        <v>5</v>
      </c>
      <c r="G120" s="217" t="s">
        <v>429</v>
      </c>
      <c r="H120" s="217" t="s">
        <v>98</v>
      </c>
      <c r="I120" s="218">
        <v>46293</v>
      </c>
      <c r="J120" s="217" t="s">
        <v>430</v>
      </c>
      <c r="K120" s="217" t="s">
        <v>66</v>
      </c>
    </row>
    <row r="121" ht="160" customHeight="1" spans="1:11">
      <c r="A121" s="219">
        <v>116</v>
      </c>
      <c r="B121" s="32" t="s">
        <v>27</v>
      </c>
      <c r="C121" s="33" t="s">
        <v>100</v>
      </c>
      <c r="D121" s="108" t="s">
        <v>431</v>
      </c>
      <c r="E121" s="108" t="s">
        <v>432</v>
      </c>
      <c r="F121" s="20" t="s">
        <v>4</v>
      </c>
      <c r="G121" s="20" t="s">
        <v>433</v>
      </c>
      <c r="H121" s="20" t="s">
        <v>98</v>
      </c>
      <c r="I121" s="21">
        <v>46293</v>
      </c>
      <c r="J121" s="20" t="s">
        <v>434</v>
      </c>
      <c r="K121" s="20" t="s">
        <v>435</v>
      </c>
    </row>
    <row r="122" ht="120" customHeight="1" spans="1:11">
      <c r="A122" s="219">
        <v>117</v>
      </c>
      <c r="B122" s="32" t="s">
        <v>27</v>
      </c>
      <c r="C122" s="33" t="s">
        <v>94</v>
      </c>
      <c r="D122" s="109" t="s">
        <v>436</v>
      </c>
      <c r="E122" s="109" t="s">
        <v>437</v>
      </c>
      <c r="F122" s="20" t="s">
        <v>15</v>
      </c>
      <c r="G122" s="20" t="s">
        <v>438</v>
      </c>
      <c r="H122" s="20" t="s">
        <v>98</v>
      </c>
      <c r="I122" s="21">
        <v>46292</v>
      </c>
      <c r="J122" s="20" t="s">
        <v>439</v>
      </c>
      <c r="K122" s="20" t="s">
        <v>66</v>
      </c>
    </row>
    <row r="123" ht="160" customHeight="1" spans="1:11">
      <c r="A123" s="219">
        <v>118</v>
      </c>
      <c r="B123" s="32" t="s">
        <v>27</v>
      </c>
      <c r="C123" s="33" t="s">
        <v>100</v>
      </c>
      <c r="D123" s="108" t="s">
        <v>440</v>
      </c>
      <c r="E123" s="108" t="s">
        <v>441</v>
      </c>
      <c r="F123" s="20" t="s">
        <v>5</v>
      </c>
      <c r="G123" s="20" t="s">
        <v>442</v>
      </c>
      <c r="H123" s="20" t="s">
        <v>98</v>
      </c>
      <c r="I123" s="21">
        <v>46293</v>
      </c>
      <c r="J123" s="20" t="s">
        <v>443</v>
      </c>
      <c r="K123" s="20" t="s">
        <v>66</v>
      </c>
    </row>
    <row r="124" ht="160" customHeight="1" spans="1:11">
      <c r="A124" s="219">
        <v>119</v>
      </c>
      <c r="B124" s="32" t="s">
        <v>27</v>
      </c>
      <c r="C124" s="33" t="s">
        <v>100</v>
      </c>
      <c r="D124" s="109" t="s">
        <v>444</v>
      </c>
      <c r="E124" s="109" t="s">
        <v>445</v>
      </c>
      <c r="F124" s="20" t="s">
        <v>5</v>
      </c>
      <c r="G124" s="20" t="s">
        <v>108</v>
      </c>
      <c r="H124" s="20" t="s">
        <v>98</v>
      </c>
      <c r="I124" s="21">
        <v>46293</v>
      </c>
      <c r="J124" s="20" t="s">
        <v>109</v>
      </c>
      <c r="K124" s="20" t="s">
        <v>66</v>
      </c>
    </row>
    <row r="125" ht="160" customHeight="1" spans="1:11">
      <c r="A125" s="219">
        <v>120</v>
      </c>
      <c r="B125" s="32" t="s">
        <v>27</v>
      </c>
      <c r="C125" s="33" t="s">
        <v>94</v>
      </c>
      <c r="D125" s="108" t="s">
        <v>446</v>
      </c>
      <c r="E125" s="108" t="s">
        <v>447</v>
      </c>
      <c r="F125" s="20" t="s">
        <v>7</v>
      </c>
      <c r="G125" s="20" t="s">
        <v>118</v>
      </c>
      <c r="H125" s="20" t="s">
        <v>98</v>
      </c>
      <c r="I125" s="21">
        <v>46293</v>
      </c>
      <c r="J125" s="20" t="s">
        <v>119</v>
      </c>
      <c r="K125" s="20" t="s">
        <v>105</v>
      </c>
    </row>
    <row r="126" ht="160" customHeight="1" spans="1:11">
      <c r="A126" s="219">
        <v>121</v>
      </c>
      <c r="B126" s="32" t="s">
        <v>27</v>
      </c>
      <c r="C126" s="33" t="s">
        <v>100</v>
      </c>
      <c r="D126" s="109" t="s">
        <v>448</v>
      </c>
      <c r="E126" s="109" t="s">
        <v>449</v>
      </c>
      <c r="F126" s="20" t="s">
        <v>5</v>
      </c>
      <c r="G126" s="20" t="s">
        <v>108</v>
      </c>
      <c r="H126" s="20" t="s">
        <v>98</v>
      </c>
      <c r="I126" s="21">
        <v>46293</v>
      </c>
      <c r="J126" s="20" t="s">
        <v>109</v>
      </c>
      <c r="K126" s="20" t="s">
        <v>66</v>
      </c>
    </row>
    <row r="127" ht="120" customHeight="1" spans="1:11">
      <c r="A127" s="220">
        <v>122</v>
      </c>
      <c r="B127" s="221" t="s">
        <v>28</v>
      </c>
      <c r="C127" s="222" t="s">
        <v>100</v>
      </c>
      <c r="D127" s="223" t="s">
        <v>450</v>
      </c>
      <c r="E127" s="223" t="s">
        <v>451</v>
      </c>
      <c r="F127" s="224" t="s">
        <v>4</v>
      </c>
      <c r="G127" s="224" t="s">
        <v>452</v>
      </c>
      <c r="H127" s="224" t="s">
        <v>98</v>
      </c>
      <c r="I127" s="225">
        <v>46292</v>
      </c>
      <c r="J127" s="224" t="s">
        <v>453</v>
      </c>
      <c r="K127" s="224" t="s">
        <v>454</v>
      </c>
    </row>
    <row r="128" ht="160" customHeight="1" spans="1:11">
      <c r="A128" s="160">
        <v>123</v>
      </c>
      <c r="B128" s="226" t="s">
        <v>28</v>
      </c>
      <c r="C128" s="162" t="s">
        <v>100</v>
      </c>
      <c r="D128" s="109" t="s">
        <v>455</v>
      </c>
      <c r="E128" s="109" t="s">
        <v>456</v>
      </c>
      <c r="F128" s="20" t="s">
        <v>7</v>
      </c>
      <c r="G128" s="20" t="s">
        <v>457</v>
      </c>
      <c r="H128" s="20" t="s">
        <v>98</v>
      </c>
      <c r="I128" s="21">
        <v>46293</v>
      </c>
      <c r="J128" s="20" t="s">
        <v>458</v>
      </c>
      <c r="K128" s="20" t="s">
        <v>66</v>
      </c>
    </row>
    <row r="129" ht="160" customHeight="1" spans="1:11">
      <c r="A129" s="160">
        <v>124</v>
      </c>
      <c r="B129" s="226" t="s">
        <v>28</v>
      </c>
      <c r="C129" s="162" t="s">
        <v>100</v>
      </c>
      <c r="D129" s="108" t="s">
        <v>459</v>
      </c>
      <c r="E129" s="108" t="s">
        <v>460</v>
      </c>
      <c r="F129" s="20" t="s">
        <v>5</v>
      </c>
      <c r="G129" s="20" t="s">
        <v>108</v>
      </c>
      <c r="H129" s="20" t="s">
        <v>98</v>
      </c>
      <c r="I129" s="21">
        <v>46293</v>
      </c>
      <c r="J129" s="20" t="s">
        <v>109</v>
      </c>
      <c r="K129" s="20" t="s">
        <v>66</v>
      </c>
    </row>
    <row r="130" ht="160" customHeight="1" spans="1:11">
      <c r="A130" s="160">
        <v>125</v>
      </c>
      <c r="B130" s="226" t="s">
        <v>28</v>
      </c>
      <c r="C130" s="162" t="s">
        <v>100</v>
      </c>
      <c r="D130" s="109" t="s">
        <v>461</v>
      </c>
      <c r="E130" s="109" t="s">
        <v>462</v>
      </c>
      <c r="F130" s="20" t="s">
        <v>5</v>
      </c>
      <c r="G130" s="20" t="s">
        <v>108</v>
      </c>
      <c r="H130" s="20" t="s">
        <v>98</v>
      </c>
      <c r="I130" s="21">
        <v>46293</v>
      </c>
      <c r="J130" s="20" t="s">
        <v>109</v>
      </c>
      <c r="K130" s="20" t="s">
        <v>66</v>
      </c>
    </row>
    <row r="131" ht="160" customHeight="1" spans="1:11">
      <c r="A131" s="160">
        <v>126</v>
      </c>
      <c r="B131" s="226" t="s">
        <v>28</v>
      </c>
      <c r="C131" s="162" t="s">
        <v>100</v>
      </c>
      <c r="D131" s="108" t="s">
        <v>463</v>
      </c>
      <c r="E131" s="108" t="s">
        <v>464</v>
      </c>
      <c r="F131" s="20" t="s">
        <v>5</v>
      </c>
      <c r="G131" s="20" t="s">
        <v>108</v>
      </c>
      <c r="H131" s="20" t="s">
        <v>98</v>
      </c>
      <c r="I131" s="21">
        <v>46293</v>
      </c>
      <c r="J131" s="20" t="s">
        <v>109</v>
      </c>
      <c r="K131" s="20" t="s">
        <v>66</v>
      </c>
    </row>
    <row r="132" ht="160" customHeight="1" spans="1:11">
      <c r="A132" s="160">
        <v>127</v>
      </c>
      <c r="B132" s="226" t="s">
        <v>28</v>
      </c>
      <c r="C132" s="162" t="s">
        <v>100</v>
      </c>
      <c r="D132" s="109" t="s">
        <v>465</v>
      </c>
      <c r="E132" s="109" t="s">
        <v>466</v>
      </c>
      <c r="F132" s="20" t="s">
        <v>5</v>
      </c>
      <c r="G132" s="20" t="s">
        <v>108</v>
      </c>
      <c r="H132" s="20" t="s">
        <v>98</v>
      </c>
      <c r="I132" s="21">
        <v>46293</v>
      </c>
      <c r="J132" s="20" t="s">
        <v>109</v>
      </c>
      <c r="K132" s="20" t="s">
        <v>105</v>
      </c>
    </row>
    <row r="133" ht="160" customHeight="1" spans="1:11">
      <c r="A133" s="160">
        <v>128</v>
      </c>
      <c r="B133" s="226" t="s">
        <v>28</v>
      </c>
      <c r="C133" s="162" t="s">
        <v>100</v>
      </c>
      <c r="D133" s="108" t="s">
        <v>467</v>
      </c>
      <c r="E133" s="108" t="s">
        <v>468</v>
      </c>
      <c r="F133" s="20" t="s">
        <v>5</v>
      </c>
      <c r="G133" s="20" t="s">
        <v>108</v>
      </c>
      <c r="H133" s="20" t="s">
        <v>98</v>
      </c>
      <c r="I133" s="21">
        <v>46293</v>
      </c>
      <c r="J133" s="20" t="s">
        <v>109</v>
      </c>
      <c r="K133" s="20" t="s">
        <v>66</v>
      </c>
    </row>
    <row r="134" ht="160" customHeight="1" spans="1:11">
      <c r="A134" s="160">
        <v>129</v>
      </c>
      <c r="B134" s="226" t="s">
        <v>28</v>
      </c>
      <c r="C134" s="162" t="s">
        <v>469</v>
      </c>
      <c r="D134" s="109" t="s">
        <v>470</v>
      </c>
      <c r="E134" s="109" t="s">
        <v>471</v>
      </c>
      <c r="F134" s="20" t="s">
        <v>4</v>
      </c>
      <c r="G134" s="20" t="s">
        <v>472</v>
      </c>
      <c r="H134" s="20" t="s">
        <v>98</v>
      </c>
      <c r="I134" s="21">
        <v>46293</v>
      </c>
      <c r="J134" s="20" t="s">
        <v>473</v>
      </c>
      <c r="K134" s="20" t="s">
        <v>474</v>
      </c>
    </row>
    <row r="135" ht="160" customHeight="1" spans="1:11">
      <c r="A135" s="160">
        <v>130</v>
      </c>
      <c r="B135" s="226" t="s">
        <v>28</v>
      </c>
      <c r="C135" s="162" t="s">
        <v>100</v>
      </c>
      <c r="D135" s="108" t="s">
        <v>475</v>
      </c>
      <c r="E135" s="108" t="s">
        <v>476</v>
      </c>
      <c r="F135" s="20" t="s">
        <v>5</v>
      </c>
      <c r="G135" s="20" t="s">
        <v>477</v>
      </c>
      <c r="H135" s="20" t="s">
        <v>98</v>
      </c>
      <c r="I135" s="21">
        <v>46293</v>
      </c>
      <c r="J135" s="20" t="s">
        <v>478</v>
      </c>
      <c r="K135" s="20" t="s">
        <v>66</v>
      </c>
    </row>
    <row r="136" ht="160" customHeight="1" spans="1:11">
      <c r="A136" s="227">
        <v>131</v>
      </c>
      <c r="B136" s="228" t="s">
        <v>29</v>
      </c>
      <c r="C136" s="229" t="s">
        <v>94</v>
      </c>
      <c r="D136" s="230" t="s">
        <v>479</v>
      </c>
      <c r="E136" s="230" t="s">
        <v>480</v>
      </c>
      <c r="F136" s="231" t="s">
        <v>15</v>
      </c>
      <c r="G136" s="231" t="s">
        <v>141</v>
      </c>
      <c r="H136" s="231" t="s">
        <v>98</v>
      </c>
      <c r="I136" s="232">
        <v>46293</v>
      </c>
      <c r="J136" s="231" t="s">
        <v>142</v>
      </c>
      <c r="K136" s="231" t="s">
        <v>143</v>
      </c>
    </row>
    <row r="137" ht="160" customHeight="1" spans="1:11">
      <c r="A137" s="178">
        <v>132</v>
      </c>
      <c r="B137" s="233" t="s">
        <v>29</v>
      </c>
      <c r="C137" s="27" t="s">
        <v>94</v>
      </c>
      <c r="D137" s="108" t="s">
        <v>481</v>
      </c>
      <c r="E137" s="108" t="s">
        <v>482</v>
      </c>
      <c r="F137" s="20" t="s">
        <v>5</v>
      </c>
      <c r="G137" s="20" t="s">
        <v>108</v>
      </c>
      <c r="H137" s="20" t="s">
        <v>98</v>
      </c>
      <c r="I137" s="21">
        <v>46293</v>
      </c>
      <c r="J137" s="20" t="s">
        <v>109</v>
      </c>
      <c r="K137" s="20" t="s">
        <v>143</v>
      </c>
    </row>
    <row r="138" ht="160" customHeight="1" spans="1:11">
      <c r="A138" s="178">
        <v>133</v>
      </c>
      <c r="B138" s="233" t="s">
        <v>29</v>
      </c>
      <c r="C138" s="27" t="s">
        <v>100</v>
      </c>
      <c r="D138" s="109" t="s">
        <v>483</v>
      </c>
      <c r="E138" s="109" t="s">
        <v>484</v>
      </c>
      <c r="F138" s="20" t="s">
        <v>5</v>
      </c>
      <c r="G138" s="20" t="s">
        <v>157</v>
      </c>
      <c r="H138" s="20" t="s">
        <v>98</v>
      </c>
      <c r="I138" s="21">
        <v>46293</v>
      </c>
      <c r="J138" s="20" t="s">
        <v>109</v>
      </c>
      <c r="K138" s="20" t="s">
        <v>143</v>
      </c>
    </row>
    <row r="139" ht="160" customHeight="1" spans="1:11">
      <c r="A139" s="178">
        <v>134</v>
      </c>
      <c r="B139" s="233" t="s">
        <v>29</v>
      </c>
      <c r="C139" s="27" t="s">
        <v>94</v>
      </c>
      <c r="D139" s="108" t="s">
        <v>485</v>
      </c>
      <c r="E139" s="108" t="s">
        <v>486</v>
      </c>
      <c r="F139" s="20" t="s">
        <v>5</v>
      </c>
      <c r="G139" s="20" t="s">
        <v>487</v>
      </c>
      <c r="H139" s="20" t="s">
        <v>98</v>
      </c>
      <c r="I139" s="21">
        <v>46293</v>
      </c>
      <c r="J139" s="20" t="s">
        <v>109</v>
      </c>
      <c r="K139" s="20" t="s">
        <v>143</v>
      </c>
    </row>
    <row r="140" ht="160" customHeight="1" spans="1:11">
      <c r="A140" s="178">
        <v>135</v>
      </c>
      <c r="B140" s="233" t="s">
        <v>29</v>
      </c>
      <c r="C140" s="27" t="s">
        <v>94</v>
      </c>
      <c r="D140" s="109" t="s">
        <v>488</v>
      </c>
      <c r="E140" s="109" t="s">
        <v>489</v>
      </c>
      <c r="F140" s="20" t="s">
        <v>5</v>
      </c>
      <c r="G140" s="20" t="s">
        <v>487</v>
      </c>
      <c r="H140" s="20" t="s">
        <v>98</v>
      </c>
      <c r="I140" s="21">
        <v>46293</v>
      </c>
      <c r="J140" s="20" t="s">
        <v>109</v>
      </c>
      <c r="K140" s="20" t="s">
        <v>143</v>
      </c>
    </row>
    <row r="141" ht="120" customHeight="1" spans="1:11">
      <c r="A141" s="178">
        <v>136</v>
      </c>
      <c r="B141" s="233" t="s">
        <v>29</v>
      </c>
      <c r="C141" s="27" t="s">
        <v>100</v>
      </c>
      <c r="D141" s="108" t="s">
        <v>490</v>
      </c>
      <c r="E141" s="108" t="s">
        <v>491</v>
      </c>
      <c r="F141" s="20" t="s">
        <v>15</v>
      </c>
      <c r="G141" s="20" t="s">
        <v>492</v>
      </c>
      <c r="H141" s="20" t="s">
        <v>98</v>
      </c>
      <c r="I141" s="21">
        <v>46292</v>
      </c>
      <c r="J141" s="20" t="s">
        <v>493</v>
      </c>
      <c r="K141" s="20" t="s">
        <v>66</v>
      </c>
    </row>
    <row r="142" ht="160" customHeight="1" spans="1:11">
      <c r="A142" s="178">
        <v>137</v>
      </c>
      <c r="B142" s="233" t="s">
        <v>29</v>
      </c>
      <c r="C142" s="27" t="s">
        <v>94</v>
      </c>
      <c r="D142" s="109" t="s">
        <v>494</v>
      </c>
      <c r="E142" s="109" t="s">
        <v>495</v>
      </c>
      <c r="F142" s="20" t="s">
        <v>5</v>
      </c>
      <c r="G142" s="20" t="s">
        <v>496</v>
      </c>
      <c r="H142" s="20" t="s">
        <v>98</v>
      </c>
      <c r="I142" s="21">
        <v>46293</v>
      </c>
      <c r="J142" s="20" t="s">
        <v>497</v>
      </c>
      <c r="K142" s="20" t="s">
        <v>66</v>
      </c>
    </row>
    <row r="143" ht="160" customHeight="1" spans="1:11">
      <c r="A143" s="234">
        <v>138</v>
      </c>
      <c r="B143" s="235" t="s">
        <v>30</v>
      </c>
      <c r="C143" s="236" t="s">
        <v>94</v>
      </c>
      <c r="D143" s="237" t="s">
        <v>498</v>
      </c>
      <c r="E143" s="237" t="s">
        <v>499</v>
      </c>
      <c r="F143" s="238" t="s">
        <v>5</v>
      </c>
      <c r="G143" s="238" t="s">
        <v>108</v>
      </c>
      <c r="H143" s="238" t="s">
        <v>98</v>
      </c>
      <c r="I143" s="239">
        <v>46293</v>
      </c>
      <c r="J143" s="238" t="s">
        <v>109</v>
      </c>
      <c r="K143" s="238" t="s">
        <v>66</v>
      </c>
    </row>
    <row r="144" ht="160" customHeight="1" spans="1:11">
      <c r="A144" s="240">
        <v>139</v>
      </c>
      <c r="B144" s="241" t="s">
        <v>30</v>
      </c>
      <c r="C144" s="242" t="s">
        <v>94</v>
      </c>
      <c r="D144" s="109" t="s">
        <v>500</v>
      </c>
      <c r="E144" s="109" t="s">
        <v>501</v>
      </c>
      <c r="F144" s="20" t="s">
        <v>15</v>
      </c>
      <c r="G144" s="20" t="s">
        <v>502</v>
      </c>
      <c r="H144" s="20" t="s">
        <v>98</v>
      </c>
      <c r="I144" s="21">
        <v>46293</v>
      </c>
      <c r="J144" s="20" t="s">
        <v>503</v>
      </c>
      <c r="K144" s="20" t="s">
        <v>504</v>
      </c>
    </row>
    <row r="145" ht="160" customHeight="1" spans="1:11">
      <c r="A145" s="240">
        <v>140</v>
      </c>
      <c r="B145" s="241" t="s">
        <v>30</v>
      </c>
      <c r="C145" s="242" t="s">
        <v>94</v>
      </c>
      <c r="D145" s="108" t="s">
        <v>505</v>
      </c>
      <c r="E145" s="108" t="s">
        <v>506</v>
      </c>
      <c r="F145" s="20" t="s">
        <v>5</v>
      </c>
      <c r="G145" s="20" t="s">
        <v>108</v>
      </c>
      <c r="H145" s="20" t="s">
        <v>98</v>
      </c>
      <c r="I145" s="21">
        <v>46293</v>
      </c>
      <c r="J145" s="20" t="s">
        <v>109</v>
      </c>
      <c r="K145" s="20" t="s">
        <v>66</v>
      </c>
    </row>
    <row r="146" ht="160" customHeight="1" spans="1:11">
      <c r="A146" s="240">
        <v>141</v>
      </c>
      <c r="B146" s="241" t="s">
        <v>30</v>
      </c>
      <c r="C146" s="242" t="s">
        <v>94</v>
      </c>
      <c r="D146" s="109" t="s">
        <v>507</v>
      </c>
      <c r="E146" s="109" t="s">
        <v>508</v>
      </c>
      <c r="F146" s="20" t="s">
        <v>5</v>
      </c>
      <c r="G146" s="20" t="s">
        <v>108</v>
      </c>
      <c r="H146" s="20" t="s">
        <v>98</v>
      </c>
      <c r="I146" s="21">
        <v>46293</v>
      </c>
      <c r="J146" s="20" t="s">
        <v>109</v>
      </c>
      <c r="K146" s="20" t="s">
        <v>105</v>
      </c>
    </row>
    <row r="147" ht="160" customHeight="1" spans="1:11">
      <c r="A147" s="240">
        <v>142</v>
      </c>
      <c r="B147" s="241" t="s">
        <v>30</v>
      </c>
      <c r="C147" s="242" t="s">
        <v>100</v>
      </c>
      <c r="D147" s="108" t="s">
        <v>509</v>
      </c>
      <c r="E147" s="108" t="s">
        <v>510</v>
      </c>
      <c r="F147" s="20" t="s">
        <v>4</v>
      </c>
      <c r="G147" s="20" t="s">
        <v>511</v>
      </c>
      <c r="H147" s="20" t="s">
        <v>98</v>
      </c>
      <c r="I147" s="21">
        <v>46293</v>
      </c>
      <c r="J147" s="20" t="s">
        <v>512</v>
      </c>
      <c r="K147" s="20" t="s">
        <v>172</v>
      </c>
    </row>
    <row r="148" ht="160" customHeight="1" spans="1:11">
      <c r="A148" s="240">
        <v>143</v>
      </c>
      <c r="B148" s="241" t="s">
        <v>30</v>
      </c>
      <c r="C148" s="242" t="s">
        <v>100</v>
      </c>
      <c r="D148" s="109" t="s">
        <v>513</v>
      </c>
      <c r="E148" s="109" t="s">
        <v>514</v>
      </c>
      <c r="F148" s="20" t="s">
        <v>5</v>
      </c>
      <c r="G148" s="20" t="s">
        <v>108</v>
      </c>
      <c r="H148" s="20" t="s">
        <v>98</v>
      </c>
      <c r="I148" s="21">
        <v>46293</v>
      </c>
      <c r="J148" s="20" t="s">
        <v>109</v>
      </c>
      <c r="K148" s="20" t="s">
        <v>66</v>
      </c>
    </row>
    <row r="149" ht="120" customHeight="1" spans="1:11">
      <c r="A149" s="240">
        <v>144</v>
      </c>
      <c r="B149" s="241" t="s">
        <v>30</v>
      </c>
      <c r="C149" s="242" t="s">
        <v>94</v>
      </c>
      <c r="D149" s="108" t="s">
        <v>515</v>
      </c>
      <c r="E149" s="108" t="s">
        <v>516</v>
      </c>
      <c r="F149" s="20" t="s">
        <v>15</v>
      </c>
      <c r="G149" s="20" t="s">
        <v>517</v>
      </c>
      <c r="H149" s="20" t="s">
        <v>98</v>
      </c>
      <c r="I149" s="21">
        <v>46292</v>
      </c>
      <c r="J149" s="20" t="s">
        <v>518</v>
      </c>
      <c r="K149" s="20" t="s">
        <v>66</v>
      </c>
    </row>
    <row r="150" ht="160" customHeight="1" spans="1:11">
      <c r="A150" s="240">
        <v>145</v>
      </c>
      <c r="B150" s="241" t="s">
        <v>30</v>
      </c>
      <c r="C150" s="242" t="s">
        <v>94</v>
      </c>
      <c r="D150" s="109" t="s">
        <v>519</v>
      </c>
      <c r="E150" s="109" t="s">
        <v>520</v>
      </c>
      <c r="F150" s="20" t="s">
        <v>5</v>
      </c>
      <c r="G150" s="20" t="s">
        <v>254</v>
      </c>
      <c r="H150" s="20" t="s">
        <v>98</v>
      </c>
      <c r="I150" s="21">
        <v>46293</v>
      </c>
      <c r="J150" s="20" t="s">
        <v>109</v>
      </c>
      <c r="K150" s="20" t="s">
        <v>105</v>
      </c>
    </row>
    <row r="151" ht="160" customHeight="1" spans="1:11">
      <c r="A151" s="240">
        <v>146</v>
      </c>
      <c r="B151" s="241" t="s">
        <v>30</v>
      </c>
      <c r="C151" s="242" t="s">
        <v>94</v>
      </c>
      <c r="D151" s="108" t="s">
        <v>521</v>
      </c>
      <c r="E151" s="108" t="s">
        <v>522</v>
      </c>
      <c r="F151" s="20" t="s">
        <v>5</v>
      </c>
      <c r="G151" s="20" t="s">
        <v>523</v>
      </c>
      <c r="H151" s="20" t="s">
        <v>98</v>
      </c>
      <c r="I151" s="21">
        <v>46293</v>
      </c>
      <c r="J151" s="20" t="s">
        <v>524</v>
      </c>
      <c r="K151" s="20" t="s">
        <v>143</v>
      </c>
    </row>
    <row r="152" ht="160" customHeight="1" spans="1:11">
      <c r="A152" s="243">
        <v>147</v>
      </c>
      <c r="B152" s="244" t="s">
        <v>31</v>
      </c>
      <c r="C152" s="245" t="s">
        <v>94</v>
      </c>
      <c r="D152" s="246" t="s">
        <v>525</v>
      </c>
      <c r="E152" s="246" t="s">
        <v>526</v>
      </c>
      <c r="F152" s="247" t="s">
        <v>5</v>
      </c>
      <c r="G152" s="247" t="s">
        <v>527</v>
      </c>
      <c r="H152" s="247" t="s">
        <v>98</v>
      </c>
      <c r="I152" s="248">
        <v>46293</v>
      </c>
      <c r="J152" s="247" t="s">
        <v>109</v>
      </c>
      <c r="K152" s="247" t="s">
        <v>143</v>
      </c>
    </row>
    <row r="153" ht="160" customHeight="1" spans="1:11">
      <c r="A153" s="249">
        <v>148</v>
      </c>
      <c r="B153" s="250" t="s">
        <v>31</v>
      </c>
      <c r="C153" s="251" t="s">
        <v>100</v>
      </c>
      <c r="D153" s="108" t="s">
        <v>528</v>
      </c>
      <c r="E153" s="108" t="s">
        <v>529</v>
      </c>
      <c r="F153" s="20" t="s">
        <v>5</v>
      </c>
      <c r="G153" s="20" t="s">
        <v>527</v>
      </c>
      <c r="H153" s="20" t="s">
        <v>98</v>
      </c>
      <c r="I153" s="21">
        <v>46293</v>
      </c>
      <c r="J153" s="20" t="s">
        <v>109</v>
      </c>
      <c r="K153" s="20" t="s">
        <v>143</v>
      </c>
    </row>
    <row r="154" ht="160" customHeight="1" spans="1:11">
      <c r="A154" s="249">
        <v>149</v>
      </c>
      <c r="B154" s="250" t="s">
        <v>31</v>
      </c>
      <c r="C154" s="251" t="s">
        <v>94</v>
      </c>
      <c r="D154" s="109" t="s">
        <v>530</v>
      </c>
      <c r="E154" s="109" t="s">
        <v>531</v>
      </c>
      <c r="F154" s="20" t="s">
        <v>5</v>
      </c>
      <c r="G154" s="20" t="s">
        <v>527</v>
      </c>
      <c r="H154" s="20" t="s">
        <v>98</v>
      </c>
      <c r="I154" s="21">
        <v>46293</v>
      </c>
      <c r="J154" s="20" t="s">
        <v>109</v>
      </c>
      <c r="K154" s="20" t="s">
        <v>143</v>
      </c>
    </row>
    <row r="155" ht="160" customHeight="1" spans="1:11">
      <c r="A155" s="249">
        <v>150</v>
      </c>
      <c r="B155" s="250" t="s">
        <v>31</v>
      </c>
      <c r="C155" s="251" t="s">
        <v>94</v>
      </c>
      <c r="D155" s="108" t="s">
        <v>532</v>
      </c>
      <c r="E155" s="108" t="s">
        <v>533</v>
      </c>
      <c r="F155" s="20" t="s">
        <v>5</v>
      </c>
      <c r="G155" s="20" t="s">
        <v>527</v>
      </c>
      <c r="H155" s="20" t="s">
        <v>98</v>
      </c>
      <c r="I155" s="21">
        <v>46293</v>
      </c>
      <c r="J155" s="20" t="s">
        <v>109</v>
      </c>
      <c r="K155" s="20" t="s">
        <v>143</v>
      </c>
    </row>
    <row r="156" ht="160" customHeight="1" spans="1:11">
      <c r="A156" s="249">
        <v>151</v>
      </c>
      <c r="B156" s="250" t="s">
        <v>31</v>
      </c>
      <c r="C156" s="251" t="s">
        <v>94</v>
      </c>
      <c r="D156" s="109" t="s">
        <v>534</v>
      </c>
      <c r="E156" s="109" t="s">
        <v>535</v>
      </c>
      <c r="F156" s="20" t="s">
        <v>5</v>
      </c>
      <c r="G156" s="20" t="s">
        <v>527</v>
      </c>
      <c r="H156" s="20" t="s">
        <v>98</v>
      </c>
      <c r="I156" s="21">
        <v>46293</v>
      </c>
      <c r="J156" s="20" t="s">
        <v>109</v>
      </c>
      <c r="K156" s="20" t="s">
        <v>143</v>
      </c>
    </row>
    <row r="157" ht="160" customHeight="1" spans="1:11">
      <c r="A157" s="249">
        <v>152</v>
      </c>
      <c r="B157" s="250" t="s">
        <v>31</v>
      </c>
      <c r="C157" s="251" t="s">
        <v>100</v>
      </c>
      <c r="D157" s="108" t="s">
        <v>536</v>
      </c>
      <c r="E157" s="108" t="s">
        <v>537</v>
      </c>
      <c r="F157" s="20" t="s">
        <v>5</v>
      </c>
      <c r="G157" s="20" t="s">
        <v>527</v>
      </c>
      <c r="H157" s="20" t="s">
        <v>98</v>
      </c>
      <c r="I157" s="21">
        <v>46293</v>
      </c>
      <c r="J157" s="20" t="s">
        <v>109</v>
      </c>
      <c r="K157" s="20" t="s">
        <v>143</v>
      </c>
    </row>
  </sheetData>
  <conditionalFormatting sqref="C6:C157">
    <cfRule type="cellIs" dxfId="1" priority="6" operator="equal">
      <formula>"必须先测"</formula>
    </cfRule>
  </conditionalFormatting>
  <conditionalFormatting sqref="F6:F157">
    <cfRule type="cellIs" dxfId="2" priority="1" operator="equal">
      <formula>"还没测"</formula>
    </cfRule>
    <cfRule type="cellIs" dxfId="3" priority="2" operator="equal">
      <formula>"通过"</formula>
    </cfRule>
    <cfRule type="cellIs" dxfId="0" priority="3" operator="equal">
      <formula>"有问题"</formula>
    </cfRule>
    <cfRule type="cellIs" dxfId="4" priority="4" operator="equal">
      <formula>"暂时测不了"</formula>
    </cfRule>
    <cfRule type="cellIs" dxfId="5" priority="5" operator="equal">
      <formula>"不适用"</formula>
    </cfRule>
  </conditionalFormatting>
  <dataValidations count="1">
    <dataValidation type="list" sqref="F6:F157">
      <formula1>"还没测,通过,有问题,暂时测不了,不适用"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59669"/>
  </sheetPr>
  <dimension ref="A1:C135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34" customWidth="1"/>
    <col min="2" max="2" width="100" customWidth="1"/>
    <col min="3" max="3" width="70" customWidth="1"/>
  </cols>
  <sheetData>
    <row r="1" ht="16.5" spans="1:3">
      <c r="A1" s="15"/>
      <c r="B1" s="15"/>
      <c r="C1" s="15"/>
    </row>
    <row r="2" ht="32" customHeight="1" spans="1:3">
      <c r="A2" s="106" t="s">
        <v>538</v>
      </c>
      <c r="B2" s="107"/>
      <c r="C2" s="107"/>
    </row>
    <row r="3" ht="16.5" spans="1:3">
      <c r="A3" s="15"/>
      <c r="B3" s="15" t="s">
        <v>539</v>
      </c>
      <c r="C3" s="15"/>
    </row>
    <row r="4" ht="16.5" spans="1:3">
      <c r="A4" s="15"/>
      <c r="B4" s="15"/>
      <c r="C4" s="15"/>
    </row>
    <row r="5" ht="32" customHeight="1" spans="1:3">
      <c r="A5" s="18" t="s">
        <v>540</v>
      </c>
      <c r="B5" s="18" t="s">
        <v>541</v>
      </c>
      <c r="C5" s="18" t="s">
        <v>542</v>
      </c>
    </row>
    <row r="6" ht="46" customHeight="1" spans="1:3">
      <c r="A6" s="108" t="s">
        <v>543</v>
      </c>
      <c r="B6" s="108" t="s">
        <v>544</v>
      </c>
      <c r="C6" s="108" t="s">
        <v>66</v>
      </c>
    </row>
    <row r="7" ht="32" customHeight="1" spans="1:3">
      <c r="A7" s="109" t="s">
        <v>543</v>
      </c>
      <c r="B7" s="109" t="s">
        <v>545</v>
      </c>
      <c r="C7" s="109" t="s">
        <v>66</v>
      </c>
    </row>
    <row r="8" ht="32" customHeight="1" spans="1:3">
      <c r="A8" s="110" t="s">
        <v>546</v>
      </c>
      <c r="B8" s="110" t="s">
        <v>66</v>
      </c>
      <c r="C8" s="110" t="s">
        <v>66</v>
      </c>
    </row>
    <row r="9" ht="72" customHeight="1" spans="1:3">
      <c r="A9" s="109" t="s">
        <v>546</v>
      </c>
      <c r="B9" s="109" t="s">
        <v>547</v>
      </c>
      <c r="C9" s="109" t="s">
        <v>66</v>
      </c>
    </row>
    <row r="10" ht="46" customHeight="1" spans="1:3">
      <c r="A10" s="108" t="s">
        <v>546</v>
      </c>
      <c r="B10" s="108" t="s">
        <v>548</v>
      </c>
      <c r="C10" s="108" t="s">
        <v>66</v>
      </c>
    </row>
    <row r="11" ht="32" customHeight="1" spans="1:3">
      <c r="A11" s="109" t="s">
        <v>549</v>
      </c>
      <c r="B11" s="109" t="s">
        <v>550</v>
      </c>
      <c r="C11" s="109" t="s">
        <v>551</v>
      </c>
    </row>
    <row r="12" ht="32" customHeight="1" spans="1:3">
      <c r="A12" s="108" t="s">
        <v>552</v>
      </c>
      <c r="B12" s="108" t="s">
        <v>553</v>
      </c>
      <c r="C12" s="108" t="s">
        <v>554</v>
      </c>
    </row>
    <row r="13" ht="32" customHeight="1" spans="1:3">
      <c r="A13" s="109" t="s">
        <v>555</v>
      </c>
      <c r="B13" s="109" t="s">
        <v>556</v>
      </c>
      <c r="C13" s="109" t="s">
        <v>557</v>
      </c>
    </row>
    <row r="14" ht="32" customHeight="1" spans="1:3">
      <c r="A14" s="108" t="s">
        <v>558</v>
      </c>
      <c r="B14" s="108" t="s">
        <v>559</v>
      </c>
      <c r="C14" s="108" t="s">
        <v>560</v>
      </c>
    </row>
    <row r="15" ht="46" customHeight="1" spans="1:3">
      <c r="A15" s="109" t="s">
        <v>546</v>
      </c>
      <c r="B15" s="109" t="s">
        <v>561</v>
      </c>
      <c r="C15" s="109" t="s">
        <v>66</v>
      </c>
    </row>
    <row r="16" ht="32" customHeight="1" spans="1:3">
      <c r="A16" s="111" t="s">
        <v>562</v>
      </c>
      <c r="B16" s="111" t="s">
        <v>66</v>
      </c>
      <c r="C16" s="111" t="s">
        <v>66</v>
      </c>
    </row>
    <row r="17" ht="32" customHeight="1" spans="1:3">
      <c r="A17" s="112" t="s">
        <v>563</v>
      </c>
      <c r="B17" s="112" t="s">
        <v>66</v>
      </c>
      <c r="C17" s="112" t="s">
        <v>66</v>
      </c>
    </row>
    <row r="18" ht="46" customHeight="1" spans="1:3">
      <c r="A18" s="108" t="s">
        <v>563</v>
      </c>
      <c r="B18" s="108" t="s">
        <v>564</v>
      </c>
      <c r="C18" s="108" t="s">
        <v>66</v>
      </c>
    </row>
    <row r="19" ht="32" customHeight="1" spans="1:3">
      <c r="A19" s="109" t="s">
        <v>565</v>
      </c>
      <c r="B19" s="109" t="s">
        <v>566</v>
      </c>
      <c r="C19" s="109" t="s">
        <v>66</v>
      </c>
    </row>
    <row r="20" ht="32" customHeight="1" spans="1:3">
      <c r="A20" s="108" t="s">
        <v>567</v>
      </c>
      <c r="B20" s="108" t="s">
        <v>568</v>
      </c>
      <c r="C20" s="108" t="s">
        <v>66</v>
      </c>
    </row>
    <row r="21" ht="32" customHeight="1" spans="1:3">
      <c r="A21" s="109" t="s">
        <v>569</v>
      </c>
      <c r="B21" s="109" t="s">
        <v>570</v>
      </c>
      <c r="C21" s="109" t="s">
        <v>66</v>
      </c>
    </row>
    <row r="22" ht="32" customHeight="1" spans="1:3">
      <c r="A22" s="108" t="s">
        <v>571</v>
      </c>
      <c r="B22" s="108" t="s">
        <v>572</v>
      </c>
      <c r="C22" s="108" t="s">
        <v>66</v>
      </c>
    </row>
    <row r="23" ht="32" customHeight="1" spans="1:3">
      <c r="A23" s="109" t="s">
        <v>573</v>
      </c>
      <c r="B23" s="109" t="s">
        <v>574</v>
      </c>
      <c r="C23" s="109" t="s">
        <v>66</v>
      </c>
    </row>
    <row r="24" ht="32" customHeight="1" spans="1:3">
      <c r="A24" s="108" t="s">
        <v>575</v>
      </c>
      <c r="B24" s="108" t="s">
        <v>576</v>
      </c>
      <c r="C24" s="108" t="s">
        <v>66</v>
      </c>
    </row>
    <row r="25" ht="32" customHeight="1" spans="1:3">
      <c r="A25" s="109" t="s">
        <v>577</v>
      </c>
      <c r="B25" s="109" t="s">
        <v>578</v>
      </c>
      <c r="C25" s="109" t="s">
        <v>66</v>
      </c>
    </row>
    <row r="26" ht="32" customHeight="1" spans="1:3">
      <c r="A26" s="108" t="s">
        <v>579</v>
      </c>
      <c r="B26" s="108" t="s">
        <v>580</v>
      </c>
      <c r="C26" s="108" t="s">
        <v>66</v>
      </c>
    </row>
    <row r="27" ht="32" customHeight="1" spans="1:3">
      <c r="A27" s="109" t="s">
        <v>581</v>
      </c>
      <c r="B27" s="109" t="s">
        <v>582</v>
      </c>
      <c r="C27" s="109" t="s">
        <v>66</v>
      </c>
    </row>
    <row r="28" ht="32" customHeight="1" spans="1:3">
      <c r="A28" s="108" t="s">
        <v>583</v>
      </c>
      <c r="B28" s="108" t="s">
        <v>584</v>
      </c>
      <c r="C28" s="108" t="s">
        <v>66</v>
      </c>
    </row>
    <row r="29" ht="32" customHeight="1" spans="1:3">
      <c r="A29" s="109" t="s">
        <v>563</v>
      </c>
      <c r="B29" s="109" t="s">
        <v>585</v>
      </c>
      <c r="C29" s="109" t="s">
        <v>66</v>
      </c>
    </row>
    <row r="30" ht="32" customHeight="1" spans="1:3">
      <c r="A30" s="113" t="s">
        <v>586</v>
      </c>
      <c r="B30" s="113" t="s">
        <v>66</v>
      </c>
      <c r="C30" s="113" t="s">
        <v>66</v>
      </c>
    </row>
    <row r="31" ht="46" customHeight="1" spans="1:3">
      <c r="A31" s="109" t="s">
        <v>586</v>
      </c>
      <c r="B31" s="109" t="s">
        <v>587</v>
      </c>
      <c r="C31" s="109" t="s">
        <v>66</v>
      </c>
    </row>
    <row r="32" ht="32" customHeight="1" spans="1:3">
      <c r="A32" s="108" t="s">
        <v>588</v>
      </c>
      <c r="B32" s="108" t="s">
        <v>589</v>
      </c>
      <c r="C32" s="108" t="s">
        <v>66</v>
      </c>
    </row>
    <row r="33" ht="32" customHeight="1" spans="1:3">
      <c r="A33" s="109" t="s">
        <v>590</v>
      </c>
      <c r="B33" s="109" t="s">
        <v>591</v>
      </c>
      <c r="C33" s="109" t="s">
        <v>66</v>
      </c>
    </row>
    <row r="34" ht="32" customHeight="1" spans="1:3">
      <c r="A34" s="108" t="s">
        <v>592</v>
      </c>
      <c r="B34" s="108" t="s">
        <v>593</v>
      </c>
      <c r="C34" s="108" t="s">
        <v>66</v>
      </c>
    </row>
    <row r="35" ht="32" customHeight="1" spans="1:3">
      <c r="A35" s="109" t="s">
        <v>594</v>
      </c>
      <c r="B35" s="109" t="s">
        <v>595</v>
      </c>
      <c r="C35" s="109" t="s">
        <v>66</v>
      </c>
    </row>
    <row r="36" ht="32" customHeight="1" spans="1:3">
      <c r="A36" s="108" t="s">
        <v>596</v>
      </c>
      <c r="B36" s="108" t="s">
        <v>597</v>
      </c>
      <c r="C36" s="108" t="s">
        <v>66</v>
      </c>
    </row>
    <row r="37" ht="32" customHeight="1" spans="1:3">
      <c r="A37" s="109" t="s">
        <v>598</v>
      </c>
      <c r="B37" s="109" t="s">
        <v>599</v>
      </c>
      <c r="C37" s="109" t="s">
        <v>66</v>
      </c>
    </row>
    <row r="38" ht="32" customHeight="1" spans="1:3">
      <c r="A38" s="108" t="s">
        <v>600</v>
      </c>
      <c r="B38" s="108" t="s">
        <v>601</v>
      </c>
      <c r="C38" s="108" t="s">
        <v>66</v>
      </c>
    </row>
    <row r="39" ht="32" customHeight="1" spans="1:3">
      <c r="A39" s="109" t="s">
        <v>602</v>
      </c>
      <c r="B39" s="109" t="s">
        <v>603</v>
      </c>
      <c r="C39" s="109" t="s">
        <v>66</v>
      </c>
    </row>
    <row r="40" ht="32" customHeight="1" spans="1:3">
      <c r="A40" s="108" t="s">
        <v>604</v>
      </c>
      <c r="B40" s="108" t="s">
        <v>605</v>
      </c>
      <c r="C40" s="108" t="s">
        <v>66</v>
      </c>
    </row>
    <row r="41" ht="32" customHeight="1" spans="1:3">
      <c r="A41" s="109" t="s">
        <v>606</v>
      </c>
      <c r="B41" s="109" t="s">
        <v>607</v>
      </c>
      <c r="C41" s="109" t="s">
        <v>66</v>
      </c>
    </row>
    <row r="42" ht="32" customHeight="1" spans="1:3">
      <c r="A42" s="108" t="s">
        <v>608</v>
      </c>
      <c r="B42" s="108" t="s">
        <v>609</v>
      </c>
      <c r="C42" s="108" t="s">
        <v>66</v>
      </c>
    </row>
    <row r="43" ht="32" customHeight="1" spans="1:3">
      <c r="A43" s="109" t="s">
        <v>610</v>
      </c>
      <c r="B43" s="109" t="s">
        <v>611</v>
      </c>
      <c r="C43" s="109" t="s">
        <v>66</v>
      </c>
    </row>
    <row r="44" ht="46" customHeight="1" spans="1:3">
      <c r="A44" s="108" t="s">
        <v>586</v>
      </c>
      <c r="B44" s="108" t="s">
        <v>612</v>
      </c>
      <c r="C44" s="108" t="s">
        <v>66</v>
      </c>
    </row>
    <row r="45" ht="32" customHeight="1" spans="1:3">
      <c r="A45" s="114" t="s">
        <v>613</v>
      </c>
      <c r="B45" s="114" t="s">
        <v>66</v>
      </c>
      <c r="C45" s="114" t="s">
        <v>66</v>
      </c>
    </row>
    <row r="46" ht="32" customHeight="1" spans="1:3">
      <c r="A46" s="108" t="s">
        <v>613</v>
      </c>
      <c r="B46" s="108" t="s">
        <v>614</v>
      </c>
      <c r="C46" s="108" t="s">
        <v>66</v>
      </c>
    </row>
    <row r="47" ht="32" customHeight="1" spans="1:3">
      <c r="A47" s="109" t="s">
        <v>615</v>
      </c>
      <c r="B47" s="109" t="s">
        <v>616</v>
      </c>
      <c r="C47" s="109" t="s">
        <v>66</v>
      </c>
    </row>
    <row r="48" ht="32" customHeight="1" spans="1:3">
      <c r="A48" s="108" t="s">
        <v>617</v>
      </c>
      <c r="B48" s="108" t="s">
        <v>618</v>
      </c>
      <c r="C48" s="108" t="s">
        <v>66</v>
      </c>
    </row>
    <row r="49" ht="46" customHeight="1" spans="1:3">
      <c r="A49" s="109" t="s">
        <v>619</v>
      </c>
      <c r="B49" s="109" t="s">
        <v>620</v>
      </c>
      <c r="C49" s="109" t="s">
        <v>66</v>
      </c>
    </row>
    <row r="50" ht="32" customHeight="1" spans="1:3">
      <c r="A50" s="108" t="s">
        <v>621</v>
      </c>
      <c r="B50" s="108" t="s">
        <v>622</v>
      </c>
      <c r="C50" s="108" t="s">
        <v>66</v>
      </c>
    </row>
    <row r="51" ht="32" customHeight="1" spans="1:3">
      <c r="A51" s="109" t="s">
        <v>623</v>
      </c>
      <c r="B51" s="109" t="s">
        <v>624</v>
      </c>
      <c r="C51" s="109" t="s">
        <v>66</v>
      </c>
    </row>
    <row r="52" ht="32" customHeight="1" spans="1:3">
      <c r="A52" s="108" t="s">
        <v>625</v>
      </c>
      <c r="B52" s="108" t="s">
        <v>626</v>
      </c>
      <c r="C52" s="108" t="s">
        <v>66</v>
      </c>
    </row>
    <row r="53" ht="32" customHeight="1" spans="1:3">
      <c r="A53" s="109" t="s">
        <v>613</v>
      </c>
      <c r="B53" s="109" t="s">
        <v>627</v>
      </c>
      <c r="C53" s="109" t="s">
        <v>66</v>
      </c>
    </row>
    <row r="54" ht="32" customHeight="1" spans="1:3">
      <c r="A54" s="115" t="s">
        <v>628</v>
      </c>
      <c r="B54" s="115" t="s">
        <v>66</v>
      </c>
      <c r="C54" s="115" t="s">
        <v>66</v>
      </c>
    </row>
    <row r="55" ht="32" customHeight="1" spans="1:3">
      <c r="A55" s="109" t="s">
        <v>629</v>
      </c>
      <c r="B55" s="109" t="s">
        <v>630</v>
      </c>
      <c r="C55" s="109" t="s">
        <v>631</v>
      </c>
    </row>
    <row r="56" ht="32" customHeight="1" spans="1:3">
      <c r="A56" s="108" t="s">
        <v>632</v>
      </c>
      <c r="B56" s="108" t="s">
        <v>633</v>
      </c>
      <c r="C56" s="108" t="s">
        <v>634</v>
      </c>
    </row>
    <row r="57" ht="32" customHeight="1" spans="1:3">
      <c r="A57" s="109" t="s">
        <v>635</v>
      </c>
      <c r="B57" s="109" t="s">
        <v>636</v>
      </c>
      <c r="C57" s="109" t="s">
        <v>637</v>
      </c>
    </row>
    <row r="58" ht="46" customHeight="1" spans="1:3">
      <c r="A58" s="108" t="s">
        <v>638</v>
      </c>
      <c r="B58" s="108" t="s">
        <v>639</v>
      </c>
      <c r="C58" s="108" t="s">
        <v>640</v>
      </c>
    </row>
    <row r="59" ht="32" customHeight="1" spans="1:3">
      <c r="A59" s="109" t="s">
        <v>641</v>
      </c>
      <c r="B59" s="109" t="s">
        <v>642</v>
      </c>
      <c r="C59" s="109" t="s">
        <v>643</v>
      </c>
    </row>
    <row r="60" ht="32" customHeight="1" spans="1:3">
      <c r="A60" s="108" t="s">
        <v>644</v>
      </c>
      <c r="B60" s="108" t="s">
        <v>645</v>
      </c>
      <c r="C60" s="108" t="s">
        <v>646</v>
      </c>
    </row>
    <row r="61" ht="46" customHeight="1" spans="1:3">
      <c r="A61" s="109" t="s">
        <v>628</v>
      </c>
      <c r="B61" s="109" t="s">
        <v>647</v>
      </c>
      <c r="C61" s="109" t="s">
        <v>66</v>
      </c>
    </row>
    <row r="62" ht="32" customHeight="1" spans="1:3">
      <c r="A62" s="116" t="s">
        <v>648</v>
      </c>
      <c r="B62" s="116" t="s">
        <v>66</v>
      </c>
      <c r="C62" s="116" t="s">
        <v>66</v>
      </c>
    </row>
    <row r="63" ht="32" customHeight="1" spans="1:3">
      <c r="A63" s="117" t="s">
        <v>649</v>
      </c>
      <c r="B63" s="117" t="s">
        <v>66</v>
      </c>
      <c r="C63" s="117" t="s">
        <v>66</v>
      </c>
    </row>
    <row r="64" ht="46" customHeight="1" spans="1:3">
      <c r="A64" s="108" t="s">
        <v>649</v>
      </c>
      <c r="B64" s="108" t="s">
        <v>650</v>
      </c>
      <c r="C64" s="108" t="s">
        <v>66</v>
      </c>
    </row>
    <row r="65" ht="46" customHeight="1" spans="1:3">
      <c r="A65" s="109" t="s">
        <v>649</v>
      </c>
      <c r="B65" s="109" t="s">
        <v>651</v>
      </c>
      <c r="C65" s="109" t="s">
        <v>66</v>
      </c>
    </row>
    <row r="66" ht="46" customHeight="1" spans="1:3">
      <c r="A66" s="118" t="s">
        <v>652</v>
      </c>
      <c r="B66" s="118" t="s">
        <v>66</v>
      </c>
      <c r="C66" s="118" t="s">
        <v>66</v>
      </c>
    </row>
    <row r="67" ht="46" customHeight="1" spans="1:3">
      <c r="A67" s="109" t="s">
        <v>652</v>
      </c>
      <c r="B67" s="109" t="s">
        <v>653</v>
      </c>
      <c r="C67" s="109" t="s">
        <v>66</v>
      </c>
    </row>
    <row r="68" ht="63" customHeight="1" spans="1:3">
      <c r="A68" s="108" t="s">
        <v>652</v>
      </c>
      <c r="B68" s="108" t="s">
        <v>654</v>
      </c>
      <c r="C68" s="108" t="s">
        <v>66</v>
      </c>
    </row>
    <row r="69" ht="46" customHeight="1" spans="1:3">
      <c r="A69" s="109" t="s">
        <v>652</v>
      </c>
      <c r="B69" s="109" t="s">
        <v>655</v>
      </c>
      <c r="C69" s="109" t="s">
        <v>66</v>
      </c>
    </row>
    <row r="70" ht="46" customHeight="1" spans="1:3">
      <c r="A70" s="119" t="s">
        <v>656</v>
      </c>
      <c r="B70" s="119" t="s">
        <v>66</v>
      </c>
      <c r="C70" s="119" t="s">
        <v>66</v>
      </c>
    </row>
    <row r="71" ht="46" customHeight="1" spans="1:3">
      <c r="A71" s="109" t="s">
        <v>656</v>
      </c>
      <c r="B71" s="109" t="s">
        <v>657</v>
      </c>
      <c r="C71" s="109" t="s">
        <v>66</v>
      </c>
    </row>
    <row r="72" ht="46" customHeight="1" spans="1:3">
      <c r="A72" s="108" t="s">
        <v>656</v>
      </c>
      <c r="B72" s="108" t="s">
        <v>658</v>
      </c>
      <c r="C72" s="108" t="s">
        <v>66</v>
      </c>
    </row>
    <row r="73" ht="32" customHeight="1" spans="1:3">
      <c r="A73" s="120" t="s">
        <v>659</v>
      </c>
      <c r="B73" s="120" t="s">
        <v>66</v>
      </c>
      <c r="C73" s="120" t="s">
        <v>66</v>
      </c>
    </row>
    <row r="74" ht="32" customHeight="1" spans="1:3">
      <c r="A74" s="108" t="s">
        <v>659</v>
      </c>
      <c r="B74" s="108" t="s">
        <v>660</v>
      </c>
      <c r="C74" s="108" t="s">
        <v>66</v>
      </c>
    </row>
    <row r="75" ht="46" customHeight="1" spans="1:3">
      <c r="A75" s="109" t="s">
        <v>659</v>
      </c>
      <c r="B75" s="109" t="s">
        <v>661</v>
      </c>
      <c r="C75" s="109" t="s">
        <v>66</v>
      </c>
    </row>
    <row r="76" ht="32" customHeight="1" spans="1:3">
      <c r="A76" s="121" t="s">
        <v>662</v>
      </c>
      <c r="B76" s="121" t="s">
        <v>66</v>
      </c>
      <c r="C76" s="121" t="s">
        <v>66</v>
      </c>
    </row>
    <row r="77" ht="46" customHeight="1" spans="1:3">
      <c r="A77" s="109" t="s">
        <v>662</v>
      </c>
      <c r="B77" s="109" t="s">
        <v>663</v>
      </c>
      <c r="C77" s="109" t="s">
        <v>66</v>
      </c>
    </row>
    <row r="78" ht="32" customHeight="1" spans="1:3">
      <c r="A78" s="108" t="s">
        <v>662</v>
      </c>
      <c r="B78" s="108" t="s">
        <v>664</v>
      </c>
      <c r="C78" s="108" t="s">
        <v>66</v>
      </c>
    </row>
    <row r="79" ht="32" customHeight="1" spans="1:3">
      <c r="A79" s="122" t="s">
        <v>665</v>
      </c>
      <c r="B79" s="122" t="s">
        <v>66</v>
      </c>
      <c r="C79" s="122" t="s">
        <v>66</v>
      </c>
    </row>
    <row r="80" ht="46" customHeight="1" spans="1:3">
      <c r="A80" s="108" t="s">
        <v>665</v>
      </c>
      <c r="B80" s="108" t="s">
        <v>666</v>
      </c>
      <c r="C80" s="108" t="s">
        <v>66</v>
      </c>
    </row>
    <row r="81" ht="46" customHeight="1" spans="1:3">
      <c r="A81" s="109" t="s">
        <v>665</v>
      </c>
      <c r="B81" s="109" t="s">
        <v>667</v>
      </c>
      <c r="C81" s="109" t="s">
        <v>66</v>
      </c>
    </row>
    <row r="82" ht="32" customHeight="1" spans="1:3">
      <c r="A82" s="123" t="s">
        <v>668</v>
      </c>
      <c r="B82" s="123" t="s">
        <v>66</v>
      </c>
      <c r="C82" s="123" t="s">
        <v>66</v>
      </c>
    </row>
    <row r="83" ht="32" customHeight="1" spans="1:3">
      <c r="A83" s="109" t="s">
        <v>669</v>
      </c>
      <c r="B83" s="109" t="s">
        <v>670</v>
      </c>
      <c r="C83" s="109" t="s">
        <v>66</v>
      </c>
    </row>
    <row r="84" ht="32" customHeight="1" spans="1:3">
      <c r="A84" s="108" t="s">
        <v>671</v>
      </c>
      <c r="B84" s="108" t="s">
        <v>672</v>
      </c>
      <c r="C84" s="108" t="s">
        <v>66</v>
      </c>
    </row>
    <row r="85" ht="32" customHeight="1" spans="1:3">
      <c r="A85" s="109" t="s">
        <v>673</v>
      </c>
      <c r="B85" s="109" t="s">
        <v>674</v>
      </c>
      <c r="C85" s="109" t="s">
        <v>66</v>
      </c>
    </row>
    <row r="86" ht="32" customHeight="1" spans="1:3">
      <c r="A86" s="108" t="s">
        <v>675</v>
      </c>
      <c r="B86" s="108" t="s">
        <v>676</v>
      </c>
      <c r="C86" s="108" t="s">
        <v>66</v>
      </c>
    </row>
    <row r="87" ht="32" customHeight="1" spans="1:3">
      <c r="A87" s="109" t="s">
        <v>677</v>
      </c>
      <c r="B87" s="109" t="s">
        <v>678</v>
      </c>
      <c r="C87" s="109" t="s">
        <v>66</v>
      </c>
    </row>
    <row r="88" ht="32" customHeight="1" spans="1:3">
      <c r="A88" s="108" t="s">
        <v>679</v>
      </c>
      <c r="B88" s="108" t="s">
        <v>680</v>
      </c>
      <c r="C88" s="108" t="s">
        <v>66</v>
      </c>
    </row>
    <row r="89" ht="32" customHeight="1" spans="1:3">
      <c r="A89" s="109" t="s">
        <v>681</v>
      </c>
      <c r="B89" s="109" t="s">
        <v>682</v>
      </c>
      <c r="C89" s="109" t="s">
        <v>66</v>
      </c>
    </row>
    <row r="90" ht="32" customHeight="1" spans="1:3">
      <c r="A90" s="108" t="s">
        <v>683</v>
      </c>
      <c r="B90" s="108" t="s">
        <v>684</v>
      </c>
      <c r="C90" s="108" t="s">
        <v>66</v>
      </c>
    </row>
    <row r="91" ht="32" customHeight="1" spans="1:3">
      <c r="A91" s="109" t="s">
        <v>685</v>
      </c>
      <c r="B91" s="109" t="s">
        <v>686</v>
      </c>
      <c r="C91" s="109" t="s">
        <v>66</v>
      </c>
    </row>
    <row r="92" ht="32" customHeight="1" spans="1:3">
      <c r="A92" s="108" t="s">
        <v>687</v>
      </c>
      <c r="B92" s="108" t="s">
        <v>688</v>
      </c>
      <c r="C92" s="108" t="s">
        <v>66</v>
      </c>
    </row>
    <row r="93" ht="32" customHeight="1" spans="1:3">
      <c r="A93" s="124" t="s">
        <v>689</v>
      </c>
      <c r="B93" s="124" t="s">
        <v>66</v>
      </c>
      <c r="C93" s="124" t="s">
        <v>66</v>
      </c>
    </row>
    <row r="94" ht="32" customHeight="1" spans="1:3">
      <c r="A94" s="108" t="s">
        <v>689</v>
      </c>
      <c r="B94" s="108" t="s">
        <v>690</v>
      </c>
      <c r="C94" s="108" t="s">
        <v>66</v>
      </c>
    </row>
    <row r="95" ht="32" customHeight="1" spans="1:3">
      <c r="A95" s="109" t="s">
        <v>691</v>
      </c>
      <c r="B95" s="109" t="s">
        <v>692</v>
      </c>
      <c r="C95" s="109" t="s">
        <v>66</v>
      </c>
    </row>
    <row r="96" ht="32" customHeight="1" spans="1:3">
      <c r="A96" s="108" t="s">
        <v>693</v>
      </c>
      <c r="B96" s="108" t="s">
        <v>694</v>
      </c>
      <c r="C96" s="108" t="s">
        <v>66</v>
      </c>
    </row>
    <row r="97" ht="32" customHeight="1" spans="1:3">
      <c r="A97" s="109" t="s">
        <v>695</v>
      </c>
      <c r="B97" s="109" t="s">
        <v>696</v>
      </c>
      <c r="C97" s="109" t="s">
        <v>66</v>
      </c>
    </row>
    <row r="98" ht="32" customHeight="1" spans="1:3">
      <c r="A98" s="108" t="s">
        <v>697</v>
      </c>
      <c r="B98" s="108" t="s">
        <v>698</v>
      </c>
      <c r="C98" s="108" t="s">
        <v>66</v>
      </c>
    </row>
    <row r="99" ht="32" customHeight="1" spans="1:3">
      <c r="A99" s="109" t="s">
        <v>699</v>
      </c>
      <c r="B99" s="109" t="s">
        <v>700</v>
      </c>
      <c r="C99" s="109" t="s">
        <v>66</v>
      </c>
    </row>
    <row r="100" ht="32" customHeight="1" spans="1:3">
      <c r="A100" s="108" t="s">
        <v>701</v>
      </c>
      <c r="B100" s="108" t="s">
        <v>702</v>
      </c>
      <c r="C100" s="108" t="s">
        <v>66</v>
      </c>
    </row>
    <row r="101" ht="32" customHeight="1" spans="1:3">
      <c r="A101" s="109" t="s">
        <v>703</v>
      </c>
      <c r="B101" s="109" t="s">
        <v>704</v>
      </c>
      <c r="C101" s="109" t="s">
        <v>66</v>
      </c>
    </row>
    <row r="102" ht="32" customHeight="1" spans="1:3">
      <c r="A102" s="108" t="s">
        <v>705</v>
      </c>
      <c r="B102" s="108" t="s">
        <v>706</v>
      </c>
      <c r="C102" s="108" t="s">
        <v>66</v>
      </c>
    </row>
    <row r="103" ht="32" customHeight="1" spans="1:3">
      <c r="A103" s="109" t="s">
        <v>707</v>
      </c>
      <c r="B103" s="109" t="s">
        <v>708</v>
      </c>
      <c r="C103" s="109" t="s">
        <v>66</v>
      </c>
    </row>
    <row r="104" ht="32" customHeight="1" spans="1:3">
      <c r="A104" s="108" t="s">
        <v>709</v>
      </c>
      <c r="B104" s="108" t="s">
        <v>710</v>
      </c>
      <c r="C104" s="108" t="s">
        <v>66</v>
      </c>
    </row>
    <row r="105" ht="63" customHeight="1" spans="1:3">
      <c r="A105" s="109" t="s">
        <v>689</v>
      </c>
      <c r="B105" s="109" t="s">
        <v>711</v>
      </c>
      <c r="C105" s="109" t="s">
        <v>66</v>
      </c>
    </row>
    <row r="106" ht="46" customHeight="1" spans="1:3">
      <c r="A106" s="108" t="s">
        <v>689</v>
      </c>
      <c r="B106" s="108" t="s">
        <v>712</v>
      </c>
      <c r="C106" s="108" t="s">
        <v>66</v>
      </c>
    </row>
    <row r="107" ht="32" customHeight="1" spans="1:3">
      <c r="A107" s="125" t="s">
        <v>713</v>
      </c>
      <c r="B107" s="125" t="s">
        <v>66</v>
      </c>
      <c r="C107" s="125" t="s">
        <v>66</v>
      </c>
    </row>
    <row r="108" ht="32" customHeight="1" spans="1:3">
      <c r="A108" s="108" t="s">
        <v>713</v>
      </c>
      <c r="B108" s="108" t="s">
        <v>714</v>
      </c>
      <c r="C108" s="108" t="s">
        <v>66</v>
      </c>
    </row>
    <row r="109" ht="32" customHeight="1" spans="1:3">
      <c r="A109" s="109" t="s">
        <v>713</v>
      </c>
      <c r="B109" s="109" t="s">
        <v>715</v>
      </c>
      <c r="C109" s="109" t="s">
        <v>66</v>
      </c>
    </row>
    <row r="110" ht="46" customHeight="1" spans="1:3">
      <c r="A110" s="108" t="s">
        <v>713</v>
      </c>
      <c r="B110" s="108" t="s">
        <v>716</v>
      </c>
      <c r="C110" s="108" t="s">
        <v>66</v>
      </c>
    </row>
    <row r="111" ht="32" customHeight="1" spans="1:3">
      <c r="A111" s="109" t="s">
        <v>713</v>
      </c>
      <c r="B111" s="109" t="s">
        <v>717</v>
      </c>
      <c r="C111" s="109" t="s">
        <v>66</v>
      </c>
    </row>
    <row r="112" ht="32" customHeight="1" spans="1:3">
      <c r="A112" s="108" t="s">
        <v>713</v>
      </c>
      <c r="B112" s="108" t="s">
        <v>718</v>
      </c>
      <c r="C112" s="108" t="s">
        <v>66</v>
      </c>
    </row>
    <row r="113" ht="32" customHeight="1" spans="1:3">
      <c r="A113" s="109" t="s">
        <v>713</v>
      </c>
      <c r="B113" s="109" t="s">
        <v>719</v>
      </c>
      <c r="C113" s="109" t="s">
        <v>66</v>
      </c>
    </row>
    <row r="114" ht="32" customHeight="1" spans="1:3">
      <c r="A114" s="108" t="s">
        <v>713</v>
      </c>
      <c r="B114" s="108" t="s">
        <v>720</v>
      </c>
      <c r="C114" s="108" t="s">
        <v>66</v>
      </c>
    </row>
    <row r="115" ht="46" customHeight="1" spans="1:3">
      <c r="A115" s="109" t="s">
        <v>713</v>
      </c>
      <c r="B115" s="109" t="s">
        <v>721</v>
      </c>
      <c r="C115" s="109" t="s">
        <v>66</v>
      </c>
    </row>
    <row r="116" ht="46" customHeight="1" spans="1:3">
      <c r="A116" s="108" t="s">
        <v>713</v>
      </c>
      <c r="B116" s="108" t="s">
        <v>722</v>
      </c>
      <c r="C116" s="108" t="s">
        <v>66</v>
      </c>
    </row>
    <row r="117" ht="46" customHeight="1" spans="1:3">
      <c r="A117" s="109" t="s">
        <v>713</v>
      </c>
      <c r="B117" s="109" t="s">
        <v>723</v>
      </c>
      <c r="C117" s="109" t="s">
        <v>66</v>
      </c>
    </row>
    <row r="119" ht="34" customHeight="1" spans="1:3">
      <c r="A119" s="37" t="s">
        <v>724</v>
      </c>
      <c r="B119" s="37" t="s">
        <v>66</v>
      </c>
      <c r="C119" s="37" t="s">
        <v>66</v>
      </c>
    </row>
    <row r="120" ht="80" customHeight="1" spans="1:3">
      <c r="A120" s="4" t="s">
        <v>725</v>
      </c>
      <c r="B120" s="4" t="s">
        <v>726</v>
      </c>
      <c r="C120" s="4" t="s">
        <v>727</v>
      </c>
    </row>
    <row r="121" ht="80" customHeight="1" spans="1:3">
      <c r="A121" s="5" t="s">
        <v>728</v>
      </c>
      <c r="B121" s="5" t="s">
        <v>729</v>
      </c>
      <c r="C121" s="5" t="s">
        <v>730</v>
      </c>
    </row>
    <row r="122" ht="80" customHeight="1" spans="1:3">
      <c r="A122" s="4" t="s">
        <v>731</v>
      </c>
      <c r="B122" s="4" t="s">
        <v>732</v>
      </c>
      <c r="C122" s="4" t="s">
        <v>733</v>
      </c>
    </row>
    <row r="123" ht="80" customHeight="1" spans="1:3">
      <c r="A123" s="5" t="s">
        <v>734</v>
      </c>
      <c r="B123" s="5" t="s">
        <v>735</v>
      </c>
      <c r="C123" s="5" t="s">
        <v>736</v>
      </c>
    </row>
    <row r="124" ht="80" customHeight="1" spans="1:3">
      <c r="A124" s="4" t="s">
        <v>737</v>
      </c>
      <c r="B124" s="4" t="s">
        <v>738</v>
      </c>
      <c r="C124" s="4" t="s">
        <v>739</v>
      </c>
    </row>
    <row r="125" ht="80" customHeight="1" spans="1:3">
      <c r="A125" s="5" t="s">
        <v>740</v>
      </c>
      <c r="B125" s="5" t="s">
        <v>741</v>
      </c>
      <c r="C125" s="5" t="s">
        <v>742</v>
      </c>
    </row>
    <row r="126" ht="80" customHeight="1" spans="1:3">
      <c r="A126" s="4" t="s">
        <v>743</v>
      </c>
      <c r="B126" s="4" t="s">
        <v>744</v>
      </c>
      <c r="C126" s="4" t="s">
        <v>745</v>
      </c>
    </row>
    <row r="127" ht="80" customHeight="1" spans="1:3">
      <c r="A127" s="5" t="s">
        <v>746</v>
      </c>
      <c r="B127" s="5" t="s">
        <v>747</v>
      </c>
      <c r="C127" s="5" t="s">
        <v>748</v>
      </c>
    </row>
    <row r="128" ht="80" customHeight="1" spans="1:3">
      <c r="A128" s="4" t="s">
        <v>749</v>
      </c>
      <c r="B128" s="4" t="s">
        <v>750</v>
      </c>
      <c r="C128" s="4" t="s">
        <v>751</v>
      </c>
    </row>
    <row r="129" ht="80" customHeight="1" spans="1:3">
      <c r="A129" s="5" t="s">
        <v>752</v>
      </c>
      <c r="B129" s="5" t="s">
        <v>753</v>
      </c>
      <c r="C129" s="5" t="s">
        <v>754</v>
      </c>
    </row>
    <row r="130" ht="80" customHeight="1" spans="1:3">
      <c r="A130" s="4" t="s">
        <v>755</v>
      </c>
      <c r="B130" s="4" t="s">
        <v>756</v>
      </c>
      <c r="C130" s="4" t="s">
        <v>757</v>
      </c>
    </row>
    <row r="131" ht="80" customHeight="1" spans="1:3">
      <c r="A131" s="5" t="s">
        <v>758</v>
      </c>
      <c r="B131" s="5" t="s">
        <v>759</v>
      </c>
      <c r="C131" s="5" t="s">
        <v>760</v>
      </c>
    </row>
    <row r="132" ht="80" customHeight="1" spans="1:3">
      <c r="A132" s="4" t="s">
        <v>761</v>
      </c>
      <c r="B132" s="4" t="s">
        <v>762</v>
      </c>
      <c r="C132" s="4" t="s">
        <v>763</v>
      </c>
    </row>
    <row r="133" ht="80" customHeight="1" spans="1:3">
      <c r="A133" s="5" t="s">
        <v>764</v>
      </c>
      <c r="B133" s="5" t="s">
        <v>765</v>
      </c>
      <c r="C133" s="5" t="s">
        <v>766</v>
      </c>
    </row>
    <row r="134" ht="80" customHeight="1" spans="1:3">
      <c r="A134" s="4" t="s">
        <v>767</v>
      </c>
      <c r="B134" s="4" t="s">
        <v>768</v>
      </c>
      <c r="C134" s="4" t="s">
        <v>769</v>
      </c>
    </row>
    <row r="135" ht="80" customHeight="1" spans="1:3">
      <c r="A135" s="5" t="s">
        <v>770</v>
      </c>
      <c r="B135" s="5" t="s">
        <v>771</v>
      </c>
      <c r="C135" s="5" t="s">
        <v>772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580C"/>
  </sheetPr>
  <dimension ref="A1:J4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13" customWidth="1"/>
    <col min="3" max="3" width="24" customWidth="1"/>
    <col min="4" max="4" width="56" customWidth="1"/>
    <col min="5" max="5" width="54" customWidth="1"/>
    <col min="6" max="6" width="52" customWidth="1"/>
    <col min="7" max="7" width="17" customWidth="1"/>
    <col min="8" max="8" width="14" customWidth="1"/>
    <col min="9" max="9" width="24" customWidth="1"/>
    <col min="10" max="10" width="52" customWidth="1"/>
  </cols>
  <sheetData>
    <row r="1" ht="16.5" spans="1:10">
      <c r="A1" s="15"/>
      <c r="B1" s="15"/>
      <c r="C1" s="15"/>
      <c r="D1" s="15"/>
      <c r="E1" s="15"/>
      <c r="F1" s="15"/>
      <c r="G1" s="15"/>
      <c r="H1" s="15"/>
      <c r="I1" s="15"/>
      <c r="J1" s="15"/>
    </row>
    <row r="2" ht="32" customHeight="1" spans="1:10">
      <c r="A2" s="106" t="s">
        <v>773</v>
      </c>
      <c r="B2" s="107"/>
      <c r="C2" s="107"/>
      <c r="D2" s="107"/>
      <c r="E2" s="107"/>
      <c r="F2" s="107"/>
      <c r="G2" s="107"/>
      <c r="H2" s="107"/>
      <c r="I2" s="107"/>
      <c r="J2" s="107"/>
    </row>
    <row r="3" ht="35" customHeight="1" spans="1:10">
      <c r="A3" s="15"/>
      <c r="B3" s="15"/>
      <c r="C3" s="15"/>
      <c r="D3" s="17" t="s">
        <v>774</v>
      </c>
      <c r="E3" s="17"/>
      <c r="F3" s="17"/>
      <c r="G3" s="15"/>
      <c r="H3" s="15"/>
      <c r="I3" s="15"/>
      <c r="J3" s="15"/>
    </row>
    <row r="4" ht="16.5" spans="1:10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32" customHeight="1" spans="1:10">
      <c r="A5" s="18" t="s">
        <v>93</v>
      </c>
      <c r="B5" s="18" t="s">
        <v>775</v>
      </c>
      <c r="C5" s="18" t="s">
        <v>776</v>
      </c>
      <c r="D5" s="18" t="s">
        <v>777</v>
      </c>
      <c r="E5" s="18" t="s">
        <v>778</v>
      </c>
      <c r="F5" s="18" t="s">
        <v>779</v>
      </c>
      <c r="G5" s="18" t="s">
        <v>780</v>
      </c>
      <c r="H5" s="18" t="s">
        <v>781</v>
      </c>
      <c r="I5" s="18" t="s">
        <v>782</v>
      </c>
      <c r="J5" s="18" t="s">
        <v>783</v>
      </c>
    </row>
    <row r="6" ht="138" customHeight="1" spans="1:10">
      <c r="A6" s="20" t="s">
        <v>784</v>
      </c>
      <c r="B6" s="20" t="s">
        <v>785</v>
      </c>
      <c r="C6" s="20" t="s">
        <v>786</v>
      </c>
      <c r="D6" s="20" t="s">
        <v>787</v>
      </c>
      <c r="E6" s="20" t="s">
        <v>788</v>
      </c>
      <c r="F6" s="20" t="s">
        <v>789</v>
      </c>
      <c r="G6" s="20" t="s">
        <v>790</v>
      </c>
      <c r="H6" s="20" t="s">
        <v>791</v>
      </c>
      <c r="I6" s="20" t="s">
        <v>792</v>
      </c>
      <c r="J6" s="20" t="s">
        <v>793</v>
      </c>
    </row>
    <row r="7" ht="138" customHeight="1" spans="1:10">
      <c r="A7" s="20" t="s">
        <v>794</v>
      </c>
      <c r="B7" s="20" t="s">
        <v>795</v>
      </c>
      <c r="C7" s="20" t="s">
        <v>796</v>
      </c>
      <c r="D7" s="20" t="s">
        <v>797</v>
      </c>
      <c r="E7" s="20" t="s">
        <v>798</v>
      </c>
      <c r="F7" s="20" t="s">
        <v>799</v>
      </c>
      <c r="G7" s="20" t="s">
        <v>800</v>
      </c>
      <c r="H7" s="20" t="s">
        <v>791</v>
      </c>
      <c r="I7" s="20" t="s">
        <v>801</v>
      </c>
      <c r="J7" s="20" t="s">
        <v>802</v>
      </c>
    </row>
    <row r="8" ht="138" customHeight="1" spans="1:10">
      <c r="A8" s="20" t="s">
        <v>803</v>
      </c>
      <c r="B8" s="20" t="s">
        <v>804</v>
      </c>
      <c r="C8" s="20" t="s">
        <v>805</v>
      </c>
      <c r="D8" s="20" t="s">
        <v>806</v>
      </c>
      <c r="E8" s="20" t="s">
        <v>807</v>
      </c>
      <c r="F8" s="20" t="s">
        <v>808</v>
      </c>
      <c r="G8" s="20" t="s">
        <v>809</v>
      </c>
      <c r="H8" s="20" t="s">
        <v>810</v>
      </c>
      <c r="I8" s="20" t="s">
        <v>792</v>
      </c>
      <c r="J8" s="20" t="s">
        <v>811</v>
      </c>
    </row>
    <row r="9" ht="168" customHeight="1" spans="1:10">
      <c r="A9" s="20" t="s">
        <v>812</v>
      </c>
      <c r="B9" s="20" t="s">
        <v>813</v>
      </c>
      <c r="C9" s="20" t="s">
        <v>814</v>
      </c>
      <c r="D9" s="20" t="s">
        <v>815</v>
      </c>
      <c r="E9" s="20" t="s">
        <v>816</v>
      </c>
      <c r="F9" s="20" t="s">
        <v>817</v>
      </c>
      <c r="G9" s="20" t="s">
        <v>809</v>
      </c>
      <c r="H9" s="20" t="s">
        <v>818</v>
      </c>
      <c r="I9" s="20" t="s">
        <v>792</v>
      </c>
      <c r="J9" s="20" t="s">
        <v>819</v>
      </c>
    </row>
    <row r="10" ht="168" customHeight="1" spans="1:10">
      <c r="A10" s="20" t="s">
        <v>820</v>
      </c>
      <c r="B10" s="20" t="s">
        <v>821</v>
      </c>
      <c r="C10" s="20" t="s">
        <v>822</v>
      </c>
      <c r="D10" s="20" t="s">
        <v>823</v>
      </c>
      <c r="E10" s="20" t="s">
        <v>824</v>
      </c>
      <c r="F10" s="20" t="s">
        <v>825</v>
      </c>
      <c r="G10" s="20" t="s">
        <v>809</v>
      </c>
      <c r="H10" s="20" t="s">
        <v>826</v>
      </c>
      <c r="I10" s="20" t="s">
        <v>792</v>
      </c>
      <c r="J10" s="20" t="s">
        <v>827</v>
      </c>
    </row>
    <row r="11" ht="105" customHeight="1" spans="1:10">
      <c r="A11" s="20" t="s">
        <v>404</v>
      </c>
      <c r="B11" s="20" t="s">
        <v>828</v>
      </c>
      <c r="C11" s="20" t="s">
        <v>829</v>
      </c>
      <c r="D11" s="20" t="s">
        <v>830</v>
      </c>
      <c r="E11" s="20" t="s">
        <v>831</v>
      </c>
      <c r="F11" s="20" t="s">
        <v>832</v>
      </c>
      <c r="G11" s="20" t="s">
        <v>833</v>
      </c>
      <c r="H11" s="20" t="s">
        <v>834</v>
      </c>
      <c r="I11" s="20" t="s">
        <v>835</v>
      </c>
      <c r="J11" s="20" t="s">
        <v>836</v>
      </c>
    </row>
    <row r="12" ht="105" customHeight="1" spans="1:10">
      <c r="A12" s="20" t="s">
        <v>837</v>
      </c>
      <c r="B12" s="20" t="s">
        <v>838</v>
      </c>
      <c r="C12" s="20" t="s">
        <v>839</v>
      </c>
      <c r="D12" s="20" t="s">
        <v>840</v>
      </c>
      <c r="E12" s="20" t="s">
        <v>841</v>
      </c>
      <c r="F12" s="20" t="s">
        <v>842</v>
      </c>
      <c r="G12" s="20" t="s">
        <v>843</v>
      </c>
      <c r="H12" s="20" t="s">
        <v>844</v>
      </c>
      <c r="I12" s="20" t="s">
        <v>845</v>
      </c>
      <c r="J12" s="20" t="s">
        <v>846</v>
      </c>
    </row>
    <row r="13" ht="105" customHeight="1" spans="1:10">
      <c r="A13" s="20" t="s">
        <v>847</v>
      </c>
      <c r="B13" s="20" t="s">
        <v>848</v>
      </c>
      <c r="C13" s="20" t="s">
        <v>849</v>
      </c>
      <c r="D13" s="20" t="s">
        <v>850</v>
      </c>
      <c r="E13" s="20" t="s">
        <v>851</v>
      </c>
      <c r="F13" s="20" t="s">
        <v>852</v>
      </c>
      <c r="G13" s="20" t="s">
        <v>790</v>
      </c>
      <c r="H13" s="20" t="s">
        <v>853</v>
      </c>
      <c r="I13" s="20" t="s">
        <v>845</v>
      </c>
      <c r="J13" s="20" t="s">
        <v>854</v>
      </c>
    </row>
    <row r="14" ht="105" customHeight="1" spans="1:10">
      <c r="A14" s="20" t="s">
        <v>855</v>
      </c>
      <c r="B14" s="20" t="s">
        <v>856</v>
      </c>
      <c r="C14" s="20" t="s">
        <v>857</v>
      </c>
      <c r="D14" s="20" t="s">
        <v>858</v>
      </c>
      <c r="E14" s="20" t="s">
        <v>859</v>
      </c>
      <c r="F14" s="20" t="s">
        <v>860</v>
      </c>
      <c r="G14" s="20" t="s">
        <v>861</v>
      </c>
      <c r="H14" s="20" t="s">
        <v>862</v>
      </c>
      <c r="I14" s="20" t="s">
        <v>863</v>
      </c>
      <c r="J14" s="20" t="s">
        <v>864</v>
      </c>
    </row>
    <row r="15" ht="105" customHeight="1" spans="1:10">
      <c r="A15" s="20" t="s">
        <v>105</v>
      </c>
      <c r="B15" s="20" t="s">
        <v>865</v>
      </c>
      <c r="C15" s="20" t="s">
        <v>866</v>
      </c>
      <c r="D15" s="20" t="s">
        <v>867</v>
      </c>
      <c r="E15" s="20" t="s">
        <v>868</v>
      </c>
      <c r="F15" s="20" t="s">
        <v>869</v>
      </c>
      <c r="G15" s="20" t="s">
        <v>870</v>
      </c>
      <c r="H15" s="20" t="s">
        <v>810</v>
      </c>
      <c r="I15" s="20" t="s">
        <v>871</v>
      </c>
      <c r="J15" s="20" t="s">
        <v>872</v>
      </c>
    </row>
    <row r="16" ht="105" customHeight="1" spans="1:10">
      <c r="A16" s="20" t="s">
        <v>143</v>
      </c>
      <c r="B16" s="20" t="s">
        <v>873</v>
      </c>
      <c r="C16" s="20" t="s">
        <v>874</v>
      </c>
      <c r="D16" s="20" t="s">
        <v>875</v>
      </c>
      <c r="E16" s="20" t="s">
        <v>876</v>
      </c>
      <c r="F16" s="20" t="s">
        <v>877</v>
      </c>
      <c r="G16" s="20" t="s">
        <v>878</v>
      </c>
      <c r="H16" s="20" t="s">
        <v>879</v>
      </c>
      <c r="I16" s="20" t="s">
        <v>871</v>
      </c>
      <c r="J16" s="20" t="s">
        <v>880</v>
      </c>
    </row>
    <row r="17" ht="105" customHeight="1" spans="1:10">
      <c r="A17" s="20" t="s">
        <v>158</v>
      </c>
      <c r="B17" s="20" t="s">
        <v>881</v>
      </c>
      <c r="C17" s="20" t="s">
        <v>882</v>
      </c>
      <c r="D17" s="20" t="s">
        <v>883</v>
      </c>
      <c r="E17" s="20" t="s">
        <v>884</v>
      </c>
      <c r="F17" s="20" t="s">
        <v>885</v>
      </c>
      <c r="G17" s="20" t="s">
        <v>886</v>
      </c>
      <c r="H17" s="20" t="s">
        <v>887</v>
      </c>
      <c r="I17" s="20" t="s">
        <v>863</v>
      </c>
      <c r="J17" s="20" t="s">
        <v>888</v>
      </c>
    </row>
    <row r="18" ht="110" customHeight="1" spans="1:10">
      <c r="A18" s="20" t="s">
        <v>172</v>
      </c>
      <c r="B18" s="20" t="s">
        <v>889</v>
      </c>
      <c r="C18" s="20" t="s">
        <v>890</v>
      </c>
      <c r="D18" s="20" t="s">
        <v>891</v>
      </c>
      <c r="E18" s="20" t="s">
        <v>892</v>
      </c>
      <c r="F18" s="20" t="s">
        <v>893</v>
      </c>
      <c r="G18" s="20" t="s">
        <v>894</v>
      </c>
      <c r="H18" s="20" t="s">
        <v>895</v>
      </c>
      <c r="I18" s="20" t="s">
        <v>863</v>
      </c>
      <c r="J18" s="20" t="s">
        <v>896</v>
      </c>
    </row>
    <row r="19" ht="110" customHeight="1" spans="1:10">
      <c r="A19" s="20" t="s">
        <v>897</v>
      </c>
      <c r="B19" s="20" t="s">
        <v>898</v>
      </c>
      <c r="C19" s="20" t="s">
        <v>899</v>
      </c>
      <c r="D19" s="20" t="s">
        <v>900</v>
      </c>
      <c r="E19" s="20" t="s">
        <v>901</v>
      </c>
      <c r="F19" s="20" t="s">
        <v>902</v>
      </c>
      <c r="G19" s="20" t="s">
        <v>903</v>
      </c>
      <c r="H19" s="20" t="s">
        <v>904</v>
      </c>
      <c r="I19" s="20" t="s">
        <v>845</v>
      </c>
      <c r="J19" s="20" t="s">
        <v>905</v>
      </c>
    </row>
    <row r="20" ht="110" customHeight="1" spans="1:10">
      <c r="A20" s="20" t="s">
        <v>906</v>
      </c>
      <c r="B20" s="20" t="s">
        <v>907</v>
      </c>
      <c r="C20" s="20" t="s">
        <v>908</v>
      </c>
      <c r="D20" s="20" t="s">
        <v>909</v>
      </c>
      <c r="E20" s="20" t="s">
        <v>910</v>
      </c>
      <c r="F20" s="20" t="s">
        <v>911</v>
      </c>
      <c r="G20" s="20" t="s">
        <v>912</v>
      </c>
      <c r="H20" s="20" t="s">
        <v>913</v>
      </c>
      <c r="I20" s="20" t="s">
        <v>845</v>
      </c>
      <c r="J20" s="20" t="s">
        <v>914</v>
      </c>
    </row>
    <row r="21" ht="110" customHeight="1" spans="1:10">
      <c r="A21" s="20" t="s">
        <v>915</v>
      </c>
      <c r="B21" s="20" t="s">
        <v>916</v>
      </c>
      <c r="C21" s="20" t="s">
        <v>917</v>
      </c>
      <c r="D21" s="20" t="s">
        <v>918</v>
      </c>
      <c r="E21" s="20" t="s">
        <v>919</v>
      </c>
      <c r="F21" s="20" t="s">
        <v>920</v>
      </c>
      <c r="G21" s="20" t="s">
        <v>833</v>
      </c>
      <c r="H21" s="20" t="s">
        <v>921</v>
      </c>
      <c r="I21" s="20" t="s">
        <v>835</v>
      </c>
      <c r="J21" s="20" t="s">
        <v>922</v>
      </c>
    </row>
    <row r="22" ht="115" customHeight="1" spans="1:10">
      <c r="A22" s="20" t="s">
        <v>454</v>
      </c>
      <c r="B22" s="20" t="s">
        <v>923</v>
      </c>
      <c r="C22" s="20" t="s">
        <v>924</v>
      </c>
      <c r="D22" s="20" t="s">
        <v>925</v>
      </c>
      <c r="E22" s="20" t="s">
        <v>926</v>
      </c>
      <c r="F22" s="20" t="s">
        <v>927</v>
      </c>
      <c r="G22" s="20" t="s">
        <v>928</v>
      </c>
      <c r="H22" s="20" t="s">
        <v>895</v>
      </c>
      <c r="I22" s="20" t="s">
        <v>863</v>
      </c>
      <c r="J22" s="20" t="s">
        <v>929</v>
      </c>
    </row>
    <row r="23" ht="115" customHeight="1" spans="1:10">
      <c r="A23" s="20" t="s">
        <v>138</v>
      </c>
      <c r="B23" s="20" t="s">
        <v>930</v>
      </c>
      <c r="C23" s="20" t="s">
        <v>931</v>
      </c>
      <c r="D23" s="20" t="s">
        <v>932</v>
      </c>
      <c r="E23" s="20" t="s">
        <v>933</v>
      </c>
      <c r="F23" s="20" t="s">
        <v>934</v>
      </c>
      <c r="G23" s="20" t="s">
        <v>935</v>
      </c>
      <c r="H23" s="20" t="s">
        <v>895</v>
      </c>
      <c r="I23" s="20" t="s">
        <v>863</v>
      </c>
      <c r="J23" s="20" t="s">
        <v>936</v>
      </c>
    </row>
    <row r="24" ht="115" customHeight="1" spans="1:10">
      <c r="A24" s="20" t="s">
        <v>937</v>
      </c>
      <c r="B24" s="20" t="s">
        <v>938</v>
      </c>
      <c r="C24" s="20" t="s">
        <v>939</v>
      </c>
      <c r="D24" s="20" t="s">
        <v>940</v>
      </c>
      <c r="E24" s="20" t="s">
        <v>941</v>
      </c>
      <c r="F24" s="20" t="s">
        <v>942</v>
      </c>
      <c r="G24" s="20" t="s">
        <v>943</v>
      </c>
      <c r="H24" s="20" t="s">
        <v>853</v>
      </c>
      <c r="I24" s="20" t="s">
        <v>863</v>
      </c>
      <c r="J24" s="20" t="s">
        <v>944</v>
      </c>
    </row>
    <row r="25" ht="115" customHeight="1" spans="1:10">
      <c r="A25" s="20" t="s">
        <v>945</v>
      </c>
      <c r="B25" s="20" t="s">
        <v>946</v>
      </c>
      <c r="C25" s="20" t="s">
        <v>947</v>
      </c>
      <c r="D25" s="20" t="s">
        <v>948</v>
      </c>
      <c r="E25" s="20" t="s">
        <v>949</v>
      </c>
      <c r="F25" s="20" t="s">
        <v>950</v>
      </c>
      <c r="G25" s="20" t="s">
        <v>951</v>
      </c>
      <c r="H25" s="20" t="s">
        <v>952</v>
      </c>
      <c r="I25" s="20" t="s">
        <v>845</v>
      </c>
      <c r="J25" s="20" t="s">
        <v>953</v>
      </c>
    </row>
    <row r="26" ht="115" customHeight="1" spans="1:10">
      <c r="A26" s="20" t="s">
        <v>954</v>
      </c>
      <c r="B26" s="20" t="s">
        <v>955</v>
      </c>
      <c r="C26" s="20" t="s">
        <v>956</v>
      </c>
      <c r="D26" s="20" t="s">
        <v>957</v>
      </c>
      <c r="E26" s="20" t="s">
        <v>958</v>
      </c>
      <c r="F26" s="20" t="s">
        <v>959</v>
      </c>
      <c r="G26" s="20" t="s">
        <v>960</v>
      </c>
      <c r="H26" s="20" t="s">
        <v>952</v>
      </c>
      <c r="I26" s="20" t="s">
        <v>845</v>
      </c>
      <c r="J26" s="20" t="s">
        <v>961</v>
      </c>
    </row>
    <row r="27" ht="115" customHeight="1" spans="1:10">
      <c r="A27" s="20" t="s">
        <v>962</v>
      </c>
      <c r="B27" s="20" t="s">
        <v>963</v>
      </c>
      <c r="C27" s="20" t="s">
        <v>964</v>
      </c>
      <c r="D27" s="20" t="s">
        <v>965</v>
      </c>
      <c r="E27" s="20" t="s">
        <v>966</v>
      </c>
      <c r="F27" s="20" t="s">
        <v>967</v>
      </c>
      <c r="G27" s="20" t="s">
        <v>968</v>
      </c>
      <c r="H27" s="20" t="s">
        <v>969</v>
      </c>
      <c r="I27" s="20" t="s">
        <v>863</v>
      </c>
      <c r="J27" s="20" t="s">
        <v>970</v>
      </c>
    </row>
    <row r="28" ht="115" customHeight="1" spans="1:10">
      <c r="A28" s="20" t="s">
        <v>971</v>
      </c>
      <c r="B28" s="20" t="s">
        <v>972</v>
      </c>
      <c r="C28" s="20" t="s">
        <v>973</v>
      </c>
      <c r="D28" s="20" t="s">
        <v>974</v>
      </c>
      <c r="E28" s="20" t="s">
        <v>975</v>
      </c>
      <c r="F28" s="20" t="s">
        <v>976</v>
      </c>
      <c r="G28" s="20" t="s">
        <v>977</v>
      </c>
      <c r="H28" s="20" t="s">
        <v>978</v>
      </c>
      <c r="I28" s="20" t="s">
        <v>845</v>
      </c>
      <c r="J28" s="20" t="s">
        <v>979</v>
      </c>
    </row>
    <row r="29" ht="115" customHeight="1" spans="1:10">
      <c r="A29" s="20" t="s">
        <v>980</v>
      </c>
      <c r="B29" s="20" t="s">
        <v>981</v>
      </c>
      <c r="C29" s="20" t="s">
        <v>982</v>
      </c>
      <c r="D29" s="20" t="s">
        <v>983</v>
      </c>
      <c r="E29" s="20" t="s">
        <v>984</v>
      </c>
      <c r="F29" s="20" t="s">
        <v>985</v>
      </c>
      <c r="G29" s="20" t="s">
        <v>986</v>
      </c>
      <c r="H29" s="20" t="s">
        <v>987</v>
      </c>
      <c r="I29" s="20" t="s">
        <v>845</v>
      </c>
      <c r="J29" s="20" t="s">
        <v>988</v>
      </c>
    </row>
    <row r="30" ht="115" customHeight="1" spans="1:10">
      <c r="A30" s="20" t="s">
        <v>989</v>
      </c>
      <c r="B30" s="20" t="s">
        <v>990</v>
      </c>
      <c r="C30" s="20" t="s">
        <v>991</v>
      </c>
      <c r="D30" s="20" t="s">
        <v>992</v>
      </c>
      <c r="E30" s="20" t="s">
        <v>993</v>
      </c>
      <c r="F30" s="20" t="s">
        <v>994</v>
      </c>
      <c r="G30" s="20" t="s">
        <v>995</v>
      </c>
      <c r="H30" s="20" t="s">
        <v>996</v>
      </c>
      <c r="I30" s="20" t="s">
        <v>845</v>
      </c>
      <c r="J30" s="20" t="s">
        <v>997</v>
      </c>
    </row>
    <row r="31" ht="155" customHeight="1" spans="1:10">
      <c r="A31" s="20" t="s">
        <v>998</v>
      </c>
      <c r="B31" s="20" t="s">
        <v>999</v>
      </c>
      <c r="C31" s="20" t="s">
        <v>1000</v>
      </c>
      <c r="D31" s="20" t="s">
        <v>1001</v>
      </c>
      <c r="E31" s="20" t="s">
        <v>1002</v>
      </c>
      <c r="F31" s="20" t="s">
        <v>1003</v>
      </c>
      <c r="G31" s="20" t="s">
        <v>1004</v>
      </c>
      <c r="H31" s="20" t="s">
        <v>1005</v>
      </c>
      <c r="I31" s="20" t="s">
        <v>835</v>
      </c>
      <c r="J31" s="20" t="s">
        <v>1006</v>
      </c>
    </row>
    <row r="32" ht="155" customHeight="1" spans="1:10">
      <c r="A32" s="20" t="s">
        <v>228</v>
      </c>
      <c r="B32" s="20" t="s">
        <v>1007</v>
      </c>
      <c r="C32" s="20" t="s">
        <v>1008</v>
      </c>
      <c r="D32" s="20" t="s">
        <v>1009</v>
      </c>
      <c r="E32" s="20" t="s">
        <v>1010</v>
      </c>
      <c r="F32" s="20" t="s">
        <v>1011</v>
      </c>
      <c r="G32" s="20" t="s">
        <v>1012</v>
      </c>
      <c r="H32" s="20" t="s">
        <v>1013</v>
      </c>
      <c r="I32" s="20" t="s">
        <v>845</v>
      </c>
      <c r="J32" s="20" t="s">
        <v>1014</v>
      </c>
    </row>
    <row r="33" ht="155" customHeight="1" spans="1:10">
      <c r="A33" s="20" t="s">
        <v>399</v>
      </c>
      <c r="B33" s="20" t="s">
        <v>1015</v>
      </c>
      <c r="C33" s="20" t="s">
        <v>1016</v>
      </c>
      <c r="D33" s="20" t="s">
        <v>1017</v>
      </c>
      <c r="E33" s="20" t="s">
        <v>1018</v>
      </c>
      <c r="F33" s="20" t="s">
        <v>1019</v>
      </c>
      <c r="G33" s="20" t="s">
        <v>1020</v>
      </c>
      <c r="H33" s="20" t="s">
        <v>1021</v>
      </c>
      <c r="I33" s="20" t="s">
        <v>1022</v>
      </c>
      <c r="J33" s="20" t="s">
        <v>1023</v>
      </c>
    </row>
    <row r="34" ht="155" customHeight="1" spans="1:10">
      <c r="A34" s="20" t="s">
        <v>426</v>
      </c>
      <c r="B34" s="20" t="s">
        <v>1024</v>
      </c>
      <c r="C34" s="20" t="s">
        <v>1025</v>
      </c>
      <c r="D34" s="20" t="s">
        <v>1026</v>
      </c>
      <c r="E34" s="20" t="s">
        <v>1027</v>
      </c>
      <c r="F34" s="20" t="s">
        <v>1028</v>
      </c>
      <c r="G34" s="20" t="s">
        <v>843</v>
      </c>
      <c r="H34" s="20" t="s">
        <v>1005</v>
      </c>
      <c r="I34" s="20" t="s">
        <v>863</v>
      </c>
      <c r="J34" s="20" t="s">
        <v>1029</v>
      </c>
    </row>
    <row r="35" ht="155" customHeight="1" spans="1:10">
      <c r="A35" s="20" t="s">
        <v>435</v>
      </c>
      <c r="B35" s="20" t="s">
        <v>1030</v>
      </c>
      <c r="C35" s="20" t="s">
        <v>1031</v>
      </c>
      <c r="D35" s="20" t="s">
        <v>1032</v>
      </c>
      <c r="E35" s="20" t="s">
        <v>1033</v>
      </c>
      <c r="F35" s="20" t="s">
        <v>1034</v>
      </c>
      <c r="G35" s="20" t="s">
        <v>1035</v>
      </c>
      <c r="H35" s="20" t="s">
        <v>1036</v>
      </c>
      <c r="I35" s="20" t="s">
        <v>1037</v>
      </c>
      <c r="J35" s="20" t="s">
        <v>1038</v>
      </c>
    </row>
    <row r="36" ht="155" customHeight="1" spans="1:10">
      <c r="A36" s="14" t="s">
        <v>1039</v>
      </c>
      <c r="B36" s="14" t="s">
        <v>1040</v>
      </c>
      <c r="C36" s="14" t="s">
        <v>1041</v>
      </c>
      <c r="D36" s="14" t="s">
        <v>1042</v>
      </c>
      <c r="E36" s="14" t="s">
        <v>1043</v>
      </c>
      <c r="F36" s="14" t="s">
        <v>1044</v>
      </c>
      <c r="G36" s="14" t="s">
        <v>1045</v>
      </c>
      <c r="H36" s="14" t="s">
        <v>1046</v>
      </c>
      <c r="I36" s="14" t="s">
        <v>863</v>
      </c>
      <c r="J36" s="14" t="s">
        <v>1047</v>
      </c>
    </row>
    <row r="37" ht="155" customHeight="1" spans="1:10">
      <c r="A37" s="14" t="s">
        <v>1048</v>
      </c>
      <c r="B37" s="14" t="s">
        <v>1049</v>
      </c>
      <c r="C37" s="14" t="s">
        <v>1050</v>
      </c>
      <c r="D37" s="14" t="s">
        <v>1051</v>
      </c>
      <c r="E37" s="14" t="s">
        <v>1052</v>
      </c>
      <c r="F37" s="14" t="s">
        <v>1053</v>
      </c>
      <c r="G37" s="14" t="s">
        <v>1054</v>
      </c>
      <c r="H37" s="14" t="s">
        <v>1046</v>
      </c>
      <c r="I37" s="14" t="s">
        <v>1055</v>
      </c>
      <c r="J37" s="14" t="s">
        <v>1056</v>
      </c>
    </row>
    <row r="38" ht="155" customHeight="1" spans="1:10">
      <c r="A38" s="14" t="s">
        <v>1057</v>
      </c>
      <c r="B38" s="14" t="s">
        <v>1058</v>
      </c>
      <c r="C38" s="14" t="s">
        <v>1059</v>
      </c>
      <c r="D38" s="14" t="s">
        <v>1060</v>
      </c>
      <c r="E38" s="14" t="s">
        <v>1061</v>
      </c>
      <c r="F38" s="14" t="s">
        <v>1062</v>
      </c>
      <c r="G38" s="14" t="s">
        <v>1063</v>
      </c>
      <c r="H38" s="14" t="s">
        <v>1046</v>
      </c>
      <c r="I38" s="14" t="s">
        <v>1055</v>
      </c>
      <c r="J38" s="14" t="s">
        <v>1064</v>
      </c>
    </row>
    <row r="39" ht="155" customHeight="1" spans="1:10">
      <c r="A39" s="14" t="s">
        <v>1065</v>
      </c>
      <c r="B39" s="14" t="s">
        <v>1066</v>
      </c>
      <c r="C39" s="14" t="s">
        <v>1067</v>
      </c>
      <c r="D39" s="14" t="s">
        <v>1068</v>
      </c>
      <c r="E39" s="14" t="s">
        <v>1069</v>
      </c>
      <c r="F39" s="14" t="s">
        <v>1070</v>
      </c>
      <c r="G39" s="14" t="s">
        <v>1071</v>
      </c>
      <c r="H39" s="14" t="s">
        <v>1072</v>
      </c>
      <c r="I39" s="14" t="s">
        <v>1073</v>
      </c>
      <c r="J39" s="14" t="s">
        <v>1074</v>
      </c>
    </row>
    <row r="40" ht="155" customHeight="1" spans="1:10">
      <c r="A40" s="14" t="s">
        <v>1075</v>
      </c>
      <c r="B40" s="14" t="s">
        <v>1076</v>
      </c>
      <c r="C40" s="14" t="s">
        <v>1077</v>
      </c>
      <c r="D40" s="14" t="s">
        <v>1078</v>
      </c>
      <c r="E40" s="14" t="s">
        <v>1079</v>
      </c>
      <c r="F40" s="14" t="s">
        <v>1080</v>
      </c>
      <c r="G40" s="14" t="s">
        <v>1081</v>
      </c>
      <c r="H40" s="14" t="s">
        <v>1082</v>
      </c>
      <c r="I40" s="14" t="s">
        <v>1083</v>
      </c>
      <c r="J40" s="14" t="s">
        <v>1084</v>
      </c>
    </row>
    <row r="41" ht="155" customHeight="1" spans="1:10">
      <c r="A41" s="14" t="s">
        <v>1085</v>
      </c>
      <c r="B41" s="14" t="s">
        <v>1086</v>
      </c>
      <c r="C41" s="14" t="s">
        <v>1087</v>
      </c>
      <c r="D41" s="14" t="s">
        <v>1088</v>
      </c>
      <c r="E41" s="14" t="s">
        <v>1089</v>
      </c>
      <c r="F41" s="14" t="s">
        <v>1090</v>
      </c>
      <c r="G41" s="14" t="s">
        <v>1091</v>
      </c>
      <c r="H41" s="14" t="s">
        <v>1092</v>
      </c>
      <c r="I41" s="14" t="s">
        <v>863</v>
      </c>
      <c r="J41" s="14" t="s">
        <v>1093</v>
      </c>
    </row>
  </sheetData>
  <conditionalFormatting sqref="G6:G35">
    <cfRule type="cellIs" dxfId="0" priority="1" operator="equal">
      <formula>"必须先修"</formula>
    </cfRule>
  </conditionalFormatting>
  <conditionalFormatting sqref="I6:I35">
    <cfRule type="cellIs" dxfId="6" priority="2" operator="equal">
      <formula>"复测通过"</formula>
    </cfRule>
  </conditionalFormatting>
  <dataValidations count="2">
    <dataValidation type="list" sqref="G6:G35">
      <formula1>"必须先修,影响主要操作,一般问题,轻微体验"</formula1>
    </dataValidation>
    <dataValidation type="list" sqref="I6:I35">
      <formula1>"待处理,处理中,待复测,复测通过,暂缓并说明"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G2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6"/>
  <cols>
    <col min="1" max="1" width="13" customWidth="1"/>
    <col min="2" max="3" width="14" customWidth="1"/>
    <col min="4" max="4" width="20" customWidth="1"/>
    <col min="5" max="5" width="57" customWidth="1"/>
    <col min="6" max="6" width="58" customWidth="1"/>
    <col min="7" max="7" width="50" customWidth="1"/>
  </cols>
  <sheetData>
    <row r="1" ht="16.5" spans="1:7">
      <c r="A1" s="15"/>
    </row>
    <row r="2" ht="32" customHeight="1" spans="1:7">
      <c r="A2" s="35" t="s">
        <v>1094</v>
      </c>
      <c r="B2" s="36"/>
      <c r="C2" s="36"/>
      <c r="D2" s="36"/>
      <c r="E2" s="36"/>
      <c r="F2" s="36"/>
      <c r="G2" s="36"/>
    </row>
    <row r="3" ht="34" customHeight="1" spans="1:7">
      <c r="A3" s="14" t="s">
        <v>1095</v>
      </c>
      <c r="B3" s="14"/>
      <c r="C3" s="14"/>
      <c r="D3" s="14"/>
      <c r="E3" s="14"/>
      <c r="F3" s="14"/>
      <c r="G3" s="14"/>
    </row>
    <row r="5" ht="32" customHeight="1" spans="1:7">
      <c r="A5" s="37" t="s">
        <v>1096</v>
      </c>
      <c r="B5" s="37" t="s">
        <v>1097</v>
      </c>
      <c r="C5" s="37" t="s">
        <v>1098</v>
      </c>
      <c r="D5" s="37" t="s">
        <v>1099</v>
      </c>
      <c r="E5" s="37" t="s">
        <v>1100</v>
      </c>
      <c r="F5" s="37" t="s">
        <v>1101</v>
      </c>
      <c r="G5" s="37" t="s">
        <v>1102</v>
      </c>
    </row>
    <row r="6" ht="142" customHeight="1" spans="1:7">
      <c r="A6" s="88" t="s">
        <v>1103</v>
      </c>
      <c r="B6" s="88" t="s">
        <v>1104</v>
      </c>
      <c r="C6" s="88" t="s">
        <v>1104</v>
      </c>
      <c r="D6" s="88" t="s">
        <v>1104</v>
      </c>
      <c r="E6" s="89" t="s">
        <v>1105</v>
      </c>
      <c r="F6" s="89" t="s">
        <v>1106</v>
      </c>
      <c r="G6" s="89" t="s">
        <v>1107</v>
      </c>
    </row>
    <row r="7" ht="142" customHeight="1" spans="1:7">
      <c r="A7" s="90" t="s">
        <v>1108</v>
      </c>
      <c r="B7" s="90" t="s">
        <v>1104</v>
      </c>
      <c r="C7" s="90" t="s">
        <v>1104</v>
      </c>
      <c r="D7" s="90" t="s">
        <v>1109</v>
      </c>
      <c r="E7" s="91" t="s">
        <v>1110</v>
      </c>
      <c r="F7" s="91" t="s">
        <v>1111</v>
      </c>
      <c r="G7" s="91" t="s">
        <v>1107</v>
      </c>
    </row>
    <row r="8" ht="142" customHeight="1" spans="1:7">
      <c r="A8" s="92" t="s">
        <v>1112</v>
      </c>
      <c r="B8" s="92" t="s">
        <v>1104</v>
      </c>
      <c r="C8" s="92" t="s">
        <v>1109</v>
      </c>
      <c r="D8" s="92" t="s">
        <v>1104</v>
      </c>
      <c r="E8" s="93" t="s">
        <v>1113</v>
      </c>
      <c r="F8" s="93" t="s">
        <v>1114</v>
      </c>
      <c r="G8" s="93" t="s">
        <v>1107</v>
      </c>
    </row>
    <row r="9" ht="142" customHeight="1" spans="1:7">
      <c r="A9" s="94" t="s">
        <v>1115</v>
      </c>
      <c r="B9" s="94" t="s">
        <v>1104</v>
      </c>
      <c r="C9" s="94" t="s">
        <v>1109</v>
      </c>
      <c r="D9" s="94" t="s">
        <v>1109</v>
      </c>
      <c r="E9" s="95" t="s">
        <v>1116</v>
      </c>
      <c r="F9" s="95" t="s">
        <v>1117</v>
      </c>
      <c r="G9" s="95" t="s">
        <v>1107</v>
      </c>
    </row>
    <row r="10" ht="142" customHeight="1" spans="1:7">
      <c r="A10" s="96" t="s">
        <v>1118</v>
      </c>
      <c r="B10" s="96" t="s">
        <v>1109</v>
      </c>
      <c r="C10" s="96" t="s">
        <v>1104</v>
      </c>
      <c r="D10" s="96" t="s">
        <v>1104</v>
      </c>
      <c r="E10" s="97" t="s">
        <v>1119</v>
      </c>
      <c r="F10" s="97" t="s">
        <v>1120</v>
      </c>
      <c r="G10" s="97" t="s">
        <v>1107</v>
      </c>
    </row>
    <row r="11" ht="142" customHeight="1" spans="1:7">
      <c r="A11" s="98" t="s">
        <v>1121</v>
      </c>
      <c r="B11" s="98" t="s">
        <v>1109</v>
      </c>
      <c r="C11" s="98" t="s">
        <v>1104</v>
      </c>
      <c r="D11" s="98" t="s">
        <v>1109</v>
      </c>
      <c r="E11" s="99" t="s">
        <v>1122</v>
      </c>
      <c r="F11" s="99" t="s">
        <v>1123</v>
      </c>
      <c r="G11" s="99" t="s">
        <v>1107</v>
      </c>
    </row>
    <row r="12" ht="142" customHeight="1" spans="1:7">
      <c r="A12" s="100" t="s">
        <v>1124</v>
      </c>
      <c r="B12" s="100" t="s">
        <v>1109</v>
      </c>
      <c r="C12" s="100" t="s">
        <v>1109</v>
      </c>
      <c r="D12" s="100" t="s">
        <v>1104</v>
      </c>
      <c r="E12" s="101" t="s">
        <v>1125</v>
      </c>
      <c r="F12" s="101" t="s">
        <v>1126</v>
      </c>
      <c r="G12" s="101" t="s">
        <v>1107</v>
      </c>
    </row>
    <row r="13" ht="142" customHeight="1" spans="1:7">
      <c r="A13" s="102" t="s">
        <v>1127</v>
      </c>
      <c r="B13" s="102" t="s">
        <v>1109</v>
      </c>
      <c r="C13" s="102" t="s">
        <v>1109</v>
      </c>
      <c r="D13" s="102" t="s">
        <v>1109</v>
      </c>
      <c r="E13" s="103" t="s">
        <v>1128</v>
      </c>
      <c r="F13" s="103" t="s">
        <v>1129</v>
      </c>
      <c r="G13" s="103" t="s">
        <v>1107</v>
      </c>
    </row>
    <row r="16" ht="32" customHeight="1" spans="1:7">
      <c r="A16" s="37" t="s">
        <v>1130</v>
      </c>
      <c r="B16" s="37" t="s">
        <v>66</v>
      </c>
      <c r="C16" s="37" t="s">
        <v>66</v>
      </c>
      <c r="D16" s="37" t="s">
        <v>66</v>
      </c>
      <c r="E16" s="37" t="s">
        <v>66</v>
      </c>
      <c r="F16" s="37" t="s">
        <v>66</v>
      </c>
      <c r="G16" s="37" t="s">
        <v>66</v>
      </c>
    </row>
    <row r="17" ht="64" customHeight="1" spans="1:7">
      <c r="A17" s="104" t="s">
        <v>1131</v>
      </c>
      <c r="B17" s="104"/>
      <c r="C17" s="104" t="s">
        <v>1132</v>
      </c>
      <c r="D17" s="104"/>
      <c r="E17" s="104"/>
      <c r="F17" s="104"/>
      <c r="G17" s="104"/>
    </row>
    <row r="18" ht="64" customHeight="1" spans="1:7">
      <c r="A18" s="105" t="s">
        <v>1133</v>
      </c>
      <c r="B18" s="105"/>
      <c r="C18" s="105" t="s">
        <v>1134</v>
      </c>
      <c r="D18" s="105"/>
      <c r="E18" s="105"/>
      <c r="F18" s="105"/>
      <c r="G18" s="105"/>
    </row>
    <row r="19" ht="64" customHeight="1" spans="1:7">
      <c r="A19" s="104" t="s">
        <v>1135</v>
      </c>
      <c r="B19" s="104"/>
      <c r="C19" s="104" t="s">
        <v>1136</v>
      </c>
      <c r="D19" s="104"/>
      <c r="E19" s="104"/>
      <c r="F19" s="104"/>
      <c r="G19" s="104"/>
    </row>
    <row r="20" ht="64" customHeight="1" spans="1:7">
      <c r="A20" s="105" t="s">
        <v>1137</v>
      </c>
      <c r="B20" s="105"/>
      <c r="C20" s="105" t="s">
        <v>1138</v>
      </c>
      <c r="D20" s="105"/>
      <c r="E20" s="105"/>
      <c r="F20" s="105"/>
      <c r="G20" s="105"/>
    </row>
    <row r="21" ht="64" customHeight="1" spans="1:7">
      <c r="A21" s="104" t="s">
        <v>1139</v>
      </c>
      <c r="B21" s="104"/>
      <c r="C21" s="104" t="s">
        <v>1140</v>
      </c>
      <c r="D21" s="104"/>
      <c r="E21" s="104"/>
      <c r="F21" s="104"/>
      <c r="G21" s="104"/>
    </row>
    <row r="22" ht="64" customHeight="1" spans="1:7">
      <c r="A22" s="105" t="s">
        <v>1141</v>
      </c>
      <c r="B22" s="105"/>
      <c r="C22" s="105" t="s">
        <v>1142</v>
      </c>
      <c r="D22" s="105"/>
      <c r="E22" s="105"/>
      <c r="F22" s="105"/>
      <c r="G22" s="105"/>
    </row>
    <row r="23" ht="64" customHeight="1" spans="1:7">
      <c r="A23" s="104" t="s">
        <v>1143</v>
      </c>
      <c r="B23" s="104"/>
      <c r="C23" s="104" t="s">
        <v>1144</v>
      </c>
      <c r="D23" s="104"/>
      <c r="E23" s="104"/>
      <c r="F23" s="104"/>
      <c r="G23" s="104"/>
    </row>
    <row r="24" ht="64" customHeight="1" spans="1:7">
      <c r="A24" s="105" t="s">
        <v>1145</v>
      </c>
      <c r="B24" s="105"/>
      <c r="C24" s="105" t="s">
        <v>1146</v>
      </c>
      <c r="D24" s="105"/>
      <c r="E24" s="105"/>
      <c r="F24" s="105"/>
      <c r="G24" s="105"/>
    </row>
    <row r="25" ht="64" customHeight="1" spans="1:7">
      <c r="A25" s="104" t="s">
        <v>1147</v>
      </c>
      <c r="B25" s="104"/>
      <c r="C25" s="104" t="s">
        <v>1148</v>
      </c>
      <c r="D25" s="104"/>
      <c r="E25" s="104"/>
      <c r="F25" s="104"/>
      <c r="G25" s="104"/>
    </row>
    <row r="26" ht="64" customHeight="1" spans="1:7">
      <c r="A26" s="105" t="s">
        <v>1149</v>
      </c>
      <c r="B26" s="105"/>
      <c r="C26" s="105" t="s">
        <v>1150</v>
      </c>
      <c r="D26" s="105"/>
      <c r="E26" s="105"/>
      <c r="F26" s="105"/>
      <c r="G26" s="105"/>
    </row>
  </sheetData>
  <mergeCells count="21">
    <mergeCell ref="A3:G3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B2777"/>
  </sheetPr>
  <dimension ref="A1:J41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0" customWidth="1"/>
    <col min="2" max="2" width="33" customWidth="1"/>
    <col min="3" max="3" width="20" customWidth="1"/>
    <col min="4" max="4" width="56" customWidth="1"/>
    <col min="5" max="5" width="60" customWidth="1"/>
    <col min="6" max="6" width="35" customWidth="1"/>
    <col min="7" max="7" width="16" customWidth="1"/>
    <col min="8" max="8" width="13" customWidth="1"/>
    <col min="9" max="9" width="24" customWidth="1"/>
    <col min="10" max="10" width="35" customWidth="1"/>
  </cols>
  <sheetData>
    <row r="1" ht="16.5" spans="1:10">
      <c r="A1" s="15"/>
    </row>
    <row r="2" ht="32" customHeight="1" spans="1:10">
      <c r="A2" s="35" t="s">
        <v>1151</v>
      </c>
      <c r="B2" s="36"/>
      <c r="C2" s="36"/>
      <c r="D2" s="36"/>
      <c r="E2" s="36"/>
      <c r="F2" s="36"/>
      <c r="G2" s="36"/>
      <c r="H2" s="36"/>
      <c r="I2" s="36"/>
      <c r="J2" s="36"/>
    </row>
    <row r="3" ht="34" customHeight="1" spans="1:10">
      <c r="A3" s="14" t="s">
        <v>1152</v>
      </c>
      <c r="B3" s="14"/>
      <c r="C3" s="14"/>
      <c r="D3" s="14"/>
      <c r="E3" s="14"/>
      <c r="F3" s="14"/>
      <c r="G3" s="14"/>
      <c r="H3" s="14"/>
      <c r="I3" s="14"/>
      <c r="J3" s="14"/>
    </row>
    <row r="4" ht="34" customHeight="1" spans="1:10">
      <c r="A4" s="14" t="s">
        <v>1153</v>
      </c>
      <c r="B4" s="14"/>
      <c r="C4" s="14"/>
      <c r="D4" s="14"/>
      <c r="E4" s="14"/>
      <c r="F4" s="14"/>
      <c r="G4" s="14"/>
      <c r="H4" s="14"/>
      <c r="I4" s="14"/>
      <c r="J4" s="14"/>
    </row>
    <row r="5" ht="32" customHeight="1" spans="1:10">
      <c r="A5" s="37" t="s">
        <v>1154</v>
      </c>
      <c r="B5" s="37" t="s">
        <v>1155</v>
      </c>
      <c r="C5" s="37" t="s">
        <v>1156</v>
      </c>
      <c r="D5" s="37" t="s">
        <v>1157</v>
      </c>
      <c r="E5" s="37" t="s">
        <v>1158</v>
      </c>
      <c r="F5" s="37" t="s">
        <v>1159</v>
      </c>
      <c r="G5" s="37" t="s">
        <v>1160</v>
      </c>
      <c r="H5" s="37" t="s">
        <v>781</v>
      </c>
      <c r="I5" s="37" t="s">
        <v>1161</v>
      </c>
      <c r="J5" s="37" t="s">
        <v>1162</v>
      </c>
    </row>
    <row r="6" ht="180" customHeight="1" spans="1:10">
      <c r="A6" s="88" t="s">
        <v>1163</v>
      </c>
      <c r="B6" s="88" t="s">
        <v>1164</v>
      </c>
      <c r="C6" s="88" t="s">
        <v>1103</v>
      </c>
      <c r="D6" s="89" t="s">
        <v>1165</v>
      </c>
      <c r="E6" s="89" t="s">
        <v>1166</v>
      </c>
      <c r="F6" s="44" t="s">
        <v>1167</v>
      </c>
      <c r="G6" s="44" t="str">
        <f>IF(COUNTIF(流程步骤记录!G6:G15,"有问题")&gt;0,"有问题",IF(COUNTIF(流程步骤记录!G6:G15,"暂时测不了")&gt;0,"暂时测不了",IF(COUNTBLANK(流程步骤记录!G6:G15)&gt;0,"未填结果",IF(COUNTIF(流程步骤记录!G6:G15,"通过")=10,IF(COUNTBLANK(流程步骤记录!H6:L15)&gt;0,"待补证据","通过"),IF(COUNTIF(流程步骤记录!G6:G15,"还没测")=10,"还没测","进行中")))))</f>
        <v>暂时测不了</v>
      </c>
      <c r="H6" s="44" t="s">
        <v>98</v>
      </c>
      <c r="I6" s="45">
        <v>46293</v>
      </c>
      <c r="J6" s="44" t="s">
        <v>1168</v>
      </c>
    </row>
    <row r="7" ht="180" customHeight="1" spans="1:10">
      <c r="A7" s="90" t="s">
        <v>1169</v>
      </c>
      <c r="B7" s="90" t="s">
        <v>1170</v>
      </c>
      <c r="C7" s="90" t="s">
        <v>1108</v>
      </c>
      <c r="D7" s="91" t="s">
        <v>1165</v>
      </c>
      <c r="E7" s="91" t="s">
        <v>1166</v>
      </c>
      <c r="F7" s="44" t="s">
        <v>1167</v>
      </c>
      <c r="G7" s="44" t="str">
        <f>IF(COUNTIF(流程步骤记录!G16:G25,"有问题")&gt;0,"有问题",IF(COUNTIF(流程步骤记录!G16:G25,"暂时测不了")&gt;0,"暂时测不了",IF(COUNTBLANK(流程步骤记录!G16:G25)&gt;0,"未填结果",IF(COUNTIF(流程步骤记录!G16:G25,"通过")=10,IF(COUNTBLANK(流程步骤记录!H16:L25)&gt;0,"待补证据","通过"),IF(COUNTIF(流程步骤记录!G16:G25,"还没测")=10,"还没测","进行中")))))</f>
        <v>暂时测不了</v>
      </c>
      <c r="H7" s="44" t="s">
        <v>98</v>
      </c>
      <c r="I7" s="45">
        <v>46293</v>
      </c>
      <c r="J7" s="44" t="s">
        <v>1168</v>
      </c>
    </row>
    <row r="8" ht="180" customHeight="1" spans="1:10">
      <c r="A8" s="92" t="s">
        <v>1171</v>
      </c>
      <c r="B8" s="92" t="s">
        <v>1172</v>
      </c>
      <c r="C8" s="92" t="s">
        <v>1112</v>
      </c>
      <c r="D8" s="93" t="s">
        <v>1165</v>
      </c>
      <c r="E8" s="93" t="s">
        <v>1166</v>
      </c>
      <c r="F8" s="44" t="s">
        <v>1167</v>
      </c>
      <c r="G8" s="44" t="str">
        <f>IF(COUNTIF(流程步骤记录!G26:G35,"有问题")&gt;0,"有问题",IF(COUNTIF(流程步骤记录!G26:G35,"暂时测不了")&gt;0,"暂时测不了",IF(COUNTBLANK(流程步骤记录!G26:G35)&gt;0,"未填结果",IF(COUNTIF(流程步骤记录!G26:G35,"通过")=10,IF(COUNTBLANK(流程步骤记录!H26:L35)&gt;0,"待补证据","通过"),IF(COUNTIF(流程步骤记录!G26:G35,"还没测")=10,"还没测","进行中")))))</f>
        <v>暂时测不了</v>
      </c>
      <c r="H8" s="44" t="s">
        <v>98</v>
      </c>
      <c r="I8" s="45">
        <v>46293</v>
      </c>
      <c r="J8" s="44" t="s">
        <v>1168</v>
      </c>
    </row>
    <row r="9" ht="180" customHeight="1" spans="1:10">
      <c r="A9" s="94" t="s">
        <v>1173</v>
      </c>
      <c r="B9" s="94" t="s">
        <v>1174</v>
      </c>
      <c r="C9" s="94" t="s">
        <v>1115</v>
      </c>
      <c r="D9" s="95" t="s">
        <v>1165</v>
      </c>
      <c r="E9" s="95" t="s">
        <v>1166</v>
      </c>
      <c r="F9" s="44" t="s">
        <v>1167</v>
      </c>
      <c r="G9" s="44" t="str">
        <f>IF(COUNTIF(流程步骤记录!G36:G45,"有问题")&gt;0,"有问题",IF(COUNTIF(流程步骤记录!G36:G45,"暂时测不了")&gt;0,"暂时测不了",IF(COUNTBLANK(流程步骤记录!G36:G45)&gt;0,"未填结果",IF(COUNTIF(流程步骤记录!G36:G45,"通过")=10,IF(COUNTBLANK(流程步骤记录!H36:L45)&gt;0,"待补证据","通过"),IF(COUNTIF(流程步骤记录!G36:G45,"还没测")=10,"还没测","进行中")))))</f>
        <v>暂时测不了</v>
      </c>
      <c r="H9" s="44" t="s">
        <v>98</v>
      </c>
      <c r="I9" s="45">
        <v>46293</v>
      </c>
      <c r="J9" s="44" t="s">
        <v>1168</v>
      </c>
    </row>
    <row r="10" ht="180" customHeight="1" spans="1:10">
      <c r="A10" s="96" t="s">
        <v>1175</v>
      </c>
      <c r="B10" s="96" t="s">
        <v>1176</v>
      </c>
      <c r="C10" s="96" t="s">
        <v>1118</v>
      </c>
      <c r="D10" s="97" t="s">
        <v>1165</v>
      </c>
      <c r="E10" s="97" t="s">
        <v>1166</v>
      </c>
      <c r="F10" s="44" t="s">
        <v>1167</v>
      </c>
      <c r="G10" s="44" t="str">
        <f>IF(COUNTIF(流程步骤记录!G46:G55,"有问题")&gt;0,"有问题",IF(COUNTIF(流程步骤记录!G46:G55,"暂时测不了")&gt;0,"暂时测不了",IF(COUNTBLANK(流程步骤记录!G46:G55)&gt;0,"未填结果",IF(COUNTIF(流程步骤记录!G46:G55,"通过")=10,IF(COUNTBLANK(流程步骤记录!H46:L55)&gt;0,"待补证据","通过"),IF(COUNTIF(流程步骤记录!G46:G55,"还没测")=10,"还没测","进行中")))))</f>
        <v>暂时测不了</v>
      </c>
      <c r="H10" s="44" t="s">
        <v>98</v>
      </c>
      <c r="I10" s="45">
        <v>46293</v>
      </c>
      <c r="J10" s="44" t="s">
        <v>1168</v>
      </c>
    </row>
    <row r="11" ht="180" customHeight="1" spans="1:10">
      <c r="A11" s="98" t="s">
        <v>1177</v>
      </c>
      <c r="B11" s="98" t="s">
        <v>1178</v>
      </c>
      <c r="C11" s="98" t="s">
        <v>1121</v>
      </c>
      <c r="D11" s="99" t="s">
        <v>1165</v>
      </c>
      <c r="E11" s="99" t="s">
        <v>1166</v>
      </c>
      <c r="F11" s="44" t="s">
        <v>1167</v>
      </c>
      <c r="G11" s="44" t="str">
        <f>IF(COUNTIF(流程步骤记录!G56:G65,"有问题")&gt;0,"有问题",IF(COUNTIF(流程步骤记录!G56:G65,"暂时测不了")&gt;0,"暂时测不了",IF(COUNTBLANK(流程步骤记录!G56:G65)&gt;0,"未填结果",IF(COUNTIF(流程步骤记录!G56:G65,"通过")=10,IF(COUNTBLANK(流程步骤记录!H56:L65)&gt;0,"待补证据","通过"),IF(COUNTIF(流程步骤记录!G56:G65,"还没测")=10,"还没测","进行中")))))</f>
        <v>暂时测不了</v>
      </c>
      <c r="H11" s="44" t="s">
        <v>98</v>
      </c>
      <c r="I11" s="45">
        <v>46293</v>
      </c>
      <c r="J11" s="44" t="s">
        <v>1168</v>
      </c>
    </row>
    <row r="12" ht="180" customHeight="1" spans="1:10">
      <c r="A12" s="100" t="s">
        <v>1179</v>
      </c>
      <c r="B12" s="100" t="s">
        <v>1180</v>
      </c>
      <c r="C12" s="100" t="s">
        <v>1124</v>
      </c>
      <c r="D12" s="101" t="s">
        <v>1165</v>
      </c>
      <c r="E12" s="101" t="s">
        <v>1166</v>
      </c>
      <c r="F12" s="44" t="s">
        <v>1167</v>
      </c>
      <c r="G12" s="44" t="str">
        <f>IF(COUNTIF(流程步骤记录!G66:G75,"有问题")&gt;0,"有问题",IF(COUNTIF(流程步骤记录!G66:G75,"暂时测不了")&gt;0,"暂时测不了",IF(COUNTBLANK(流程步骤记录!G66:G75)&gt;0,"未填结果",IF(COUNTIF(流程步骤记录!G66:G75,"通过")=10,IF(COUNTBLANK(流程步骤记录!H66:L75)&gt;0,"待补证据","通过"),IF(COUNTIF(流程步骤记录!G66:G75,"还没测")=10,"还没测","进行中")))))</f>
        <v>暂时测不了</v>
      </c>
      <c r="H12" s="44" t="s">
        <v>98</v>
      </c>
      <c r="I12" s="45">
        <v>46293</v>
      </c>
      <c r="J12" s="44" t="s">
        <v>1168</v>
      </c>
    </row>
    <row r="13" ht="180" customHeight="1" spans="1:10">
      <c r="A13" s="102" t="s">
        <v>1181</v>
      </c>
      <c r="B13" s="102" t="s">
        <v>1182</v>
      </c>
      <c r="C13" s="102" t="s">
        <v>1127</v>
      </c>
      <c r="D13" s="103" t="s">
        <v>1165</v>
      </c>
      <c r="E13" s="103" t="s">
        <v>1166</v>
      </c>
      <c r="F13" s="44" t="s">
        <v>1167</v>
      </c>
      <c r="G13" s="44" t="str">
        <f>IF(COUNTIF(流程步骤记录!G76:G85,"有问题")&gt;0,"有问题",IF(COUNTIF(流程步骤记录!G76:G85,"暂时测不了")&gt;0,"暂时测不了",IF(COUNTBLANK(流程步骤记录!G76:G85)&gt;0,"未填结果",IF(COUNTIF(流程步骤记录!G76:G85,"通过")=10,IF(COUNTBLANK(流程步骤记录!H76:L85)&gt;0,"待补证据","通过"),IF(COUNTIF(流程步骤记录!G76:G85,"还没测")=10,"还没测","进行中")))))</f>
        <v>暂时测不了</v>
      </c>
      <c r="H13" s="44" t="s">
        <v>98</v>
      </c>
      <c r="I13" s="45">
        <v>46293</v>
      </c>
      <c r="J13" s="44" t="s">
        <v>1168</v>
      </c>
    </row>
    <row r="14" ht="180" customHeight="1" spans="1:10">
      <c r="A14" s="88" t="s">
        <v>1183</v>
      </c>
      <c r="B14" s="88" t="s">
        <v>1184</v>
      </c>
      <c r="C14" s="88" t="s">
        <v>1127</v>
      </c>
      <c r="D14" s="89" t="s">
        <v>1185</v>
      </c>
      <c r="E14" s="89" t="s">
        <v>1186</v>
      </c>
      <c r="F14" s="44" t="s">
        <v>1167</v>
      </c>
      <c r="G14" s="44" t="str">
        <f>IF(COUNTIF(流程步骤记录!G86:G95,"有问题")&gt;0,"有问题",IF(COUNTIF(流程步骤记录!G86:G95,"暂时测不了")&gt;0,"暂时测不了",IF(COUNTBLANK(流程步骤记录!G86:G95)&gt;0,"未填结果",IF(COUNTIF(流程步骤记录!G86:G95,"通过")=10,IF(COUNTBLANK(流程步骤记录!H86:L95)&gt;0,"待补证据","通过"),IF(COUNTIF(流程步骤记录!G86:G95,"还没测")=10,"还没测","进行中")))))</f>
        <v>暂时测不了</v>
      </c>
      <c r="H14" s="44" t="s">
        <v>98</v>
      </c>
      <c r="I14" s="45">
        <v>46293</v>
      </c>
      <c r="J14" s="44" t="s">
        <v>1168</v>
      </c>
    </row>
    <row r="15" ht="180" customHeight="1" spans="1:10">
      <c r="A15" s="90" t="s">
        <v>1187</v>
      </c>
      <c r="B15" s="90" t="s">
        <v>1188</v>
      </c>
      <c r="C15" s="90" t="s">
        <v>1115</v>
      </c>
      <c r="D15" s="91" t="s">
        <v>1189</v>
      </c>
      <c r="E15" s="91" t="s">
        <v>1190</v>
      </c>
      <c r="F15" s="44" t="s">
        <v>1167</v>
      </c>
      <c r="G15" s="44" t="str">
        <f>IF(COUNTIF(流程步骤记录!G96:G105,"有问题")&gt;0,"有问题",IF(COUNTIF(流程步骤记录!G96:G105,"暂时测不了")&gt;0,"暂时测不了",IF(COUNTBLANK(流程步骤记录!G96:G105)&gt;0,"未填结果",IF(COUNTIF(流程步骤记录!G96:G105,"通过")=10,IF(COUNTBLANK(流程步骤记录!H96:L105)&gt;0,"待补证据","通过"),IF(COUNTIF(流程步骤记录!G96:G105,"还没测")=10,"还没测","进行中")))))</f>
        <v>暂时测不了</v>
      </c>
      <c r="H15" s="44" t="s">
        <v>98</v>
      </c>
      <c r="I15" s="45">
        <v>46293</v>
      </c>
      <c r="J15" s="44" t="s">
        <v>1191</v>
      </c>
    </row>
    <row r="16" ht="180" customHeight="1" spans="1:10">
      <c r="A16" s="92" t="s">
        <v>1192</v>
      </c>
      <c r="B16" s="92" t="s">
        <v>1193</v>
      </c>
      <c r="C16" s="92" t="s">
        <v>1127</v>
      </c>
      <c r="D16" s="93" t="s">
        <v>1194</v>
      </c>
      <c r="E16" s="93" t="s">
        <v>1195</v>
      </c>
      <c r="F16" s="44" t="s">
        <v>1167</v>
      </c>
      <c r="G16" s="44" t="str">
        <f>IF(COUNTIF(流程步骤记录!G106:G115,"有问题")&gt;0,"有问题",IF(COUNTIF(流程步骤记录!G106:G115,"暂时测不了")&gt;0,"暂时测不了",IF(COUNTBLANK(流程步骤记录!G106:G115)&gt;0,"未填结果",IF(COUNTIF(流程步骤记录!G106:G115,"通过")=10,IF(COUNTBLANK(流程步骤记录!H106:L115)&gt;0,"待补证据","通过"),IF(COUNTIF(流程步骤记录!G106:G115,"还没测")=10,"还没测","进行中")))))</f>
        <v>暂时测不了</v>
      </c>
      <c r="H16" s="44" t="s">
        <v>98</v>
      </c>
      <c r="I16" s="45">
        <v>46293</v>
      </c>
      <c r="J16" s="44" t="s">
        <v>1168</v>
      </c>
    </row>
    <row r="17" ht="180" customHeight="1" spans="1:10">
      <c r="A17" s="94" t="s">
        <v>1196</v>
      </c>
      <c r="B17" s="94" t="s">
        <v>1197</v>
      </c>
      <c r="C17" s="94" t="s">
        <v>1127</v>
      </c>
      <c r="D17" s="95" t="s">
        <v>1198</v>
      </c>
      <c r="E17" s="95" t="s">
        <v>1199</v>
      </c>
      <c r="F17" s="44" t="s">
        <v>1167</v>
      </c>
      <c r="G17" s="44" t="str">
        <f>IF(COUNTIF(流程步骤记录!G116:G125,"有问题")&gt;0,"有问题",IF(COUNTIF(流程步骤记录!G116:G125,"暂时测不了")&gt;0,"暂时测不了",IF(COUNTBLANK(流程步骤记录!G116:G125)&gt;0,"未填结果",IF(COUNTIF(流程步骤记录!G116:G125,"通过")=10,IF(COUNTBLANK(流程步骤记录!H116:L125)&gt;0,"待补证据","通过"),IF(COUNTIF(流程步骤记录!G116:G125,"还没测")=10,"还没测","进行中")))))</f>
        <v>暂时测不了</v>
      </c>
      <c r="H17" s="44" t="s">
        <v>98</v>
      </c>
      <c r="I17" s="45">
        <v>46293</v>
      </c>
      <c r="J17" s="44" t="s">
        <v>1168</v>
      </c>
    </row>
    <row r="18" ht="180" customHeight="1" spans="1:10">
      <c r="A18" s="96" t="s">
        <v>1200</v>
      </c>
      <c r="B18" s="96" t="s">
        <v>1201</v>
      </c>
      <c r="C18" s="96" t="s">
        <v>1127</v>
      </c>
      <c r="D18" s="97" t="s">
        <v>1202</v>
      </c>
      <c r="E18" s="97" t="s">
        <v>1203</v>
      </c>
      <c r="F18" s="44" t="s">
        <v>1167</v>
      </c>
      <c r="G18" s="44" t="str">
        <f>IF(COUNTIF(流程步骤记录!G126:G135,"有问题")&gt;0,"有问题",IF(COUNTIF(流程步骤记录!G126:G135,"暂时测不了")&gt;0,"暂时测不了",IF(COUNTBLANK(流程步骤记录!G126:G135)&gt;0,"未填结果",IF(COUNTIF(流程步骤记录!G126:G135,"通过")=10,IF(COUNTBLANK(流程步骤记录!H126:L135)&gt;0,"待补证据","通过"),IF(COUNTIF(流程步骤记录!G126:G135,"还没测")=10,"还没测","进行中")))))</f>
        <v>暂时测不了</v>
      </c>
      <c r="H18" s="44" t="s">
        <v>98</v>
      </c>
      <c r="I18" s="45">
        <v>46293</v>
      </c>
      <c r="J18" s="44" t="s">
        <v>1168</v>
      </c>
    </row>
    <row r="19" ht="180" customHeight="1" spans="1:10">
      <c r="A19" s="98" t="s">
        <v>1204</v>
      </c>
      <c r="B19" s="98" t="s">
        <v>1205</v>
      </c>
      <c r="C19" s="98" t="s">
        <v>1127</v>
      </c>
      <c r="D19" s="99" t="s">
        <v>1206</v>
      </c>
      <c r="E19" s="99" t="s">
        <v>1207</v>
      </c>
      <c r="F19" s="44" t="s">
        <v>1167</v>
      </c>
      <c r="G19" s="44" t="str">
        <f>IF(COUNTIF(流程步骤记录!G136:G145,"有问题")&gt;0,"有问题",IF(COUNTIF(流程步骤记录!G136:G145,"暂时测不了")&gt;0,"暂时测不了",IF(COUNTBLANK(流程步骤记录!G136:G145)&gt;0,"未填结果",IF(COUNTIF(流程步骤记录!G136:G145,"通过")=10,IF(COUNTIFS(补充测试清单!A6:A53,"R40",补充测试清单!M6:M53,"记录齐全")+COUNTIFS(补充测试清单!A6:A53,"R41",补充测试清单!M6:M53,"记录齐全")+COUNTIFS(补充测试清单!A6:A53,"R42",补充测试清单!M6:M53,"记录齐全")&lt;3,"子场景未完成",IF(COUNTBLANK(流程步骤记录!H136:L145)&gt;0,"待补证据","通过")),IF(COUNTIF(流程步骤记录!G136:G145,"还没测")=10,"还没测","进行中")))))</f>
        <v>暂时测不了</v>
      </c>
      <c r="H19" s="44" t="s">
        <v>98</v>
      </c>
      <c r="I19" s="45">
        <v>46293</v>
      </c>
      <c r="J19" s="44" t="s">
        <v>1168</v>
      </c>
    </row>
    <row r="20" ht="180" customHeight="1" spans="1:10">
      <c r="A20" s="100" t="s">
        <v>1208</v>
      </c>
      <c r="B20" s="100" t="s">
        <v>1209</v>
      </c>
      <c r="C20" s="100" t="s">
        <v>1210</v>
      </c>
      <c r="D20" s="101" t="s">
        <v>1211</v>
      </c>
      <c r="E20" s="101" t="s">
        <v>1212</v>
      </c>
      <c r="F20" s="44" t="s">
        <v>1167</v>
      </c>
      <c r="G20" s="44" t="str">
        <f>IF(COUNTIF(流程步骤记录!G146:G155,"有问题")&gt;0,"有问题",IF(COUNTIF(流程步骤记录!G146:G155,"暂时测不了")&gt;0,"暂时测不了",IF(COUNTBLANK(流程步骤记录!G146:G155)&gt;0,"未填结果",IF(COUNTIF(流程步骤记录!G146:G155,"通过")=10,IF(COUNTIFS(补充测试清单!A6:A53,"R43",补充测试清单!M6:M53,"记录齐全")+COUNTIFS(补充测试清单!A6:A53,"R44",补充测试清单!M6:M53,"记录齐全")+COUNTIFS(补充测试清单!A6:A53,"R45",补充测试清单!M6:M53,"记录齐全")&lt;3,"子场景未完成",IF(COUNTBLANK(流程步骤记录!H146:L155)&gt;0,"待补证据","通过")),IF(COUNTIF(流程步骤记录!G146:G155,"还没测")=10,"还没测","进行中")))))</f>
        <v>暂时测不了</v>
      </c>
      <c r="H20" s="44" t="s">
        <v>98</v>
      </c>
      <c r="I20" s="45">
        <v>46293</v>
      </c>
      <c r="J20" s="44" t="s">
        <v>1168</v>
      </c>
    </row>
    <row r="21" ht="180" customHeight="1" spans="1:10">
      <c r="A21" s="102" t="s">
        <v>1213</v>
      </c>
      <c r="B21" s="102" t="s">
        <v>1214</v>
      </c>
      <c r="C21" s="102" t="s">
        <v>1215</v>
      </c>
      <c r="D21" s="103" t="s">
        <v>1216</v>
      </c>
      <c r="E21" s="103" t="s">
        <v>1217</v>
      </c>
      <c r="F21" s="44" t="s">
        <v>1167</v>
      </c>
      <c r="G21" s="44" t="str">
        <f>IF(COUNTIF(流程步骤记录!G156:G165,"有问题")&gt;0,"有问题",IF(COUNTIF(流程步骤记录!G156:G165,"暂时测不了")&gt;0,"暂时测不了",IF(COUNTBLANK(流程步骤记录!G156:G165)&gt;0,"未填结果",IF(COUNTIF(流程步骤记录!G156:G165,"通过")=10,IF(COUNTBLANK(流程步骤记录!H156:L165)&gt;0,"待补证据","通过"),IF(COUNTIF(流程步骤记录!G156:G165,"还没测")=10,"还没测","进行中")))))</f>
        <v>暂时测不了</v>
      </c>
      <c r="H21" s="44" t="s">
        <v>98</v>
      </c>
      <c r="I21" s="45">
        <v>46293</v>
      </c>
      <c r="J21" s="44" t="s">
        <v>1168</v>
      </c>
    </row>
    <row r="22" ht="180" customHeight="1" spans="1:10">
      <c r="A22" s="88" t="s">
        <v>1218</v>
      </c>
      <c r="B22" s="88" t="s">
        <v>1219</v>
      </c>
      <c r="C22" s="88" t="s">
        <v>1127</v>
      </c>
      <c r="D22" s="89" t="s">
        <v>1220</v>
      </c>
      <c r="E22" s="89" t="s">
        <v>1221</v>
      </c>
      <c r="F22" s="44" t="s">
        <v>1167</v>
      </c>
      <c r="G22" s="44" t="str">
        <f>IF(COUNTIF(流程步骤记录!G166:G175,"有问题")&gt;0,"有问题",IF(COUNTIF(流程步骤记录!G166:G175,"暂时测不了")&gt;0,"暂时测不了",IF(COUNTBLANK(流程步骤记录!G166:G175)&gt;0,"未填结果",IF(COUNTIF(流程步骤记录!G166:G175,"通过")=10,IF(COUNTBLANK(流程步骤记录!H166:L175)&gt;0,"待补证据","通过"),IF(COUNTIF(流程步骤记录!G166:G175,"还没测")=10,"还没测","进行中")))))</f>
        <v>暂时测不了</v>
      </c>
      <c r="H22" s="44" t="s">
        <v>98</v>
      </c>
      <c r="I22" s="45">
        <v>46293</v>
      </c>
      <c r="J22" s="44" t="s">
        <v>1168</v>
      </c>
    </row>
    <row r="23" ht="180" customHeight="1" spans="1:10">
      <c r="A23" s="90" t="s">
        <v>1222</v>
      </c>
      <c r="B23" s="90" t="s">
        <v>1223</v>
      </c>
      <c r="C23" s="90" t="s">
        <v>1127</v>
      </c>
      <c r="D23" s="91" t="s">
        <v>1224</v>
      </c>
      <c r="E23" s="91" t="s">
        <v>1225</v>
      </c>
      <c r="F23" s="44" t="s">
        <v>1167</v>
      </c>
      <c r="G23" s="44" t="str">
        <f>IF(COUNTIF(流程步骤记录!G176:G185,"有问题")&gt;0,"有问题",IF(COUNTIF(流程步骤记录!G176:G185,"暂时测不了")&gt;0,"暂时测不了",IF(COUNTBLANK(流程步骤记录!G176:G185)&gt;0,"未填结果",IF(COUNTIF(流程步骤记录!G176:G185,"通过")=10,IF(COUNTBLANK(流程步骤记录!H176:L185)&gt;0,"待补证据","通过"),IF(COUNTIF(流程步骤记录!G176:G185,"还没测")=10,"还没测","进行中")))))</f>
        <v>暂时测不了</v>
      </c>
      <c r="H23" s="44" t="s">
        <v>98</v>
      </c>
      <c r="I23" s="45">
        <v>46293</v>
      </c>
      <c r="J23" s="44" t="s">
        <v>1168</v>
      </c>
    </row>
    <row r="24" ht="180" customHeight="1" spans="1:10">
      <c r="A24" s="92" t="s">
        <v>1226</v>
      </c>
      <c r="B24" s="92" t="s">
        <v>1227</v>
      </c>
      <c r="C24" s="92" t="s">
        <v>1127</v>
      </c>
      <c r="D24" s="93" t="s">
        <v>1228</v>
      </c>
      <c r="E24" s="93" t="s">
        <v>1229</v>
      </c>
      <c r="F24" s="44" t="s">
        <v>1167</v>
      </c>
      <c r="G24" s="44" t="str">
        <f>IF(COUNTIF(流程步骤记录!G186:G195,"有问题")&gt;0,"有问题",IF(COUNTIF(流程步骤记录!G186:G195,"暂时测不了")&gt;0,"暂时测不了",IF(COUNTBLANK(流程步骤记录!G186:G195)&gt;0,"未填结果",IF(COUNTIF(流程步骤记录!G186:G195,"通过")=10,IF(COUNTBLANK(流程步骤记录!H186:L195)&gt;0,"待补证据","通过"),IF(COUNTIF(流程步骤记录!G186:G195,"还没测")=10,"还没测","进行中")))))</f>
        <v>暂时测不了</v>
      </c>
      <c r="H24" s="44" t="s">
        <v>98</v>
      </c>
      <c r="I24" s="45">
        <v>46293</v>
      </c>
      <c r="J24" s="44" t="s">
        <v>1168</v>
      </c>
    </row>
    <row r="25" ht="180" customHeight="1" spans="1:10">
      <c r="A25" s="94" t="s">
        <v>1230</v>
      </c>
      <c r="B25" s="94" t="s">
        <v>1231</v>
      </c>
      <c r="C25" s="94" t="s">
        <v>1127</v>
      </c>
      <c r="D25" s="95" t="s">
        <v>1232</v>
      </c>
      <c r="E25" s="95" t="s">
        <v>1233</v>
      </c>
      <c r="F25" s="44" t="s">
        <v>1167</v>
      </c>
      <c r="G25" s="44" t="str">
        <f>IF(COUNTIF(流程步骤记录!G196:G205,"有问题")&gt;0,"有问题",IF(COUNTIF(流程步骤记录!G196:G205,"暂时测不了")&gt;0,"暂时测不了",IF(COUNTBLANK(流程步骤记录!G196:G205)&gt;0,"未填结果",IF(COUNTIF(流程步骤记录!G196:G205,"通过")=10,IF(COUNTBLANK(流程步骤记录!H196:L205)&gt;0,"待补证据","通过"),IF(COUNTIF(流程步骤记录!G196:G205,"还没测")=10,"还没测","进行中")))))</f>
        <v>暂时测不了</v>
      </c>
      <c r="H25" s="44" t="s">
        <v>98</v>
      </c>
      <c r="I25" s="45">
        <v>46293</v>
      </c>
      <c r="J25" s="44" t="s">
        <v>1168</v>
      </c>
    </row>
    <row r="26" ht="180" customHeight="1" spans="1:10">
      <c r="A26" s="96" t="s">
        <v>1234</v>
      </c>
      <c r="B26" s="96" t="s">
        <v>1235</v>
      </c>
      <c r="C26" s="96" t="s">
        <v>1127</v>
      </c>
      <c r="D26" s="97" t="s">
        <v>1236</v>
      </c>
      <c r="E26" s="97" t="s">
        <v>1237</v>
      </c>
      <c r="F26" s="44" t="s">
        <v>1167</v>
      </c>
      <c r="G26" s="44" t="str">
        <f>IF(COUNTIF(流程步骤记录!G206:G215,"有问题")&gt;0,"有问题",IF(COUNTIF(流程步骤记录!G206:G215,"暂时测不了")&gt;0,"暂时测不了",IF(COUNTBLANK(流程步骤记录!G206:G215)&gt;0,"未填结果",IF(COUNTIF(流程步骤记录!G206:G215,"通过")=10,IF(COUNTBLANK(流程步骤记录!H206:L215)&gt;0,"待补证据","通过"),IF(COUNTIF(流程步骤记录!G206:G215,"还没测")=10,"还没测","进行中")))))</f>
        <v>暂时测不了</v>
      </c>
      <c r="H26" s="44" t="s">
        <v>98</v>
      </c>
      <c r="I26" s="45">
        <v>46293</v>
      </c>
      <c r="J26" s="44" t="s">
        <v>1168</v>
      </c>
    </row>
    <row r="27" ht="180" customHeight="1" spans="1:10">
      <c r="A27" s="98" t="s">
        <v>1238</v>
      </c>
      <c r="B27" s="98" t="s">
        <v>1239</v>
      </c>
      <c r="C27" s="98" t="s">
        <v>1127</v>
      </c>
      <c r="D27" s="99" t="s">
        <v>1240</v>
      </c>
      <c r="E27" s="99" t="s">
        <v>1241</v>
      </c>
      <c r="F27" s="44" t="s">
        <v>1167</v>
      </c>
      <c r="G27" s="44" t="str">
        <f>IF(COUNTIF(流程步骤记录!G216:G225,"有问题")&gt;0,"有问题",IF(COUNTIF(流程步骤记录!G216:G225,"暂时测不了")&gt;0,"暂时测不了",IF(COUNTBLANK(流程步骤记录!G216:G225)&gt;0,"未填结果",IF(COUNTIF(流程步骤记录!G216:G225,"通过")=10,IF(COUNTBLANK(流程步骤记录!H216:L225)&gt;0,"待补证据","通过"),IF(COUNTIF(流程步骤记录!G216:G225,"还没测")=10,"还没测","进行中")))))</f>
        <v>暂时测不了</v>
      </c>
      <c r="H27" s="44" t="s">
        <v>98</v>
      </c>
      <c r="I27" s="45">
        <v>46293</v>
      </c>
      <c r="J27" s="44" t="s">
        <v>1168</v>
      </c>
    </row>
    <row r="28" ht="180" customHeight="1" spans="1:10">
      <c r="A28" s="100" t="s">
        <v>1242</v>
      </c>
      <c r="B28" s="100" t="s">
        <v>1243</v>
      </c>
      <c r="C28" s="100" t="s">
        <v>1103</v>
      </c>
      <c r="D28" s="101" t="s">
        <v>1244</v>
      </c>
      <c r="E28" s="101" t="s">
        <v>1245</v>
      </c>
      <c r="F28" s="44" t="s">
        <v>1167</v>
      </c>
      <c r="G28" s="44" t="str">
        <f>IF(COUNTIF(流程步骤记录!G226:G235,"有问题")&gt;0,"有问题",IF(COUNTIF(流程步骤记录!G226:G235,"暂时测不了")&gt;0,"暂时测不了",IF(COUNTBLANK(流程步骤记录!G226:G235)&gt;0,"未填结果",IF(COUNTIF(流程步骤记录!G226:G235,"通过")=10,IF(COUNTBLANK(流程步骤记录!H226:L235)&gt;0,"待补证据","通过"),IF(COUNTIF(流程步骤记录!G226:G235,"还没测")=10,"还没测","进行中")))))</f>
        <v>暂时测不了</v>
      </c>
      <c r="H28" s="44" t="s">
        <v>98</v>
      </c>
      <c r="I28" s="45">
        <v>46293</v>
      </c>
      <c r="J28" s="44" t="s">
        <v>1168</v>
      </c>
    </row>
    <row r="29" ht="180" customHeight="1" spans="1:10">
      <c r="A29" s="102" t="s">
        <v>1246</v>
      </c>
      <c r="B29" s="102" t="s">
        <v>1247</v>
      </c>
      <c r="C29" s="102" t="s">
        <v>1127</v>
      </c>
      <c r="D29" s="103" t="s">
        <v>1248</v>
      </c>
      <c r="E29" s="103" t="s">
        <v>1249</v>
      </c>
      <c r="F29" s="44" t="s">
        <v>1167</v>
      </c>
      <c r="G29" s="44" t="str">
        <f>IF(COUNTIF(流程步骤记录!G236:G245,"有问题")&gt;0,"有问题",IF(COUNTIF(流程步骤记录!G236:G245,"暂时测不了")&gt;0,"暂时测不了",IF(COUNTBLANK(流程步骤记录!G236:G245)&gt;0,"未填结果",IF(COUNTIF(流程步骤记录!G236:G245,"通过")=10,IF(COUNTBLANK(流程步骤记录!H236:L245)&gt;0,"待补证据","通过"),IF(COUNTIF(流程步骤记录!G236:G245,"还没测")=10,"还没测","进行中")))))</f>
        <v>暂时测不了</v>
      </c>
      <c r="H29" s="44" t="s">
        <v>98</v>
      </c>
      <c r="I29" s="45">
        <v>46293</v>
      </c>
      <c r="J29" s="44" t="s">
        <v>1168</v>
      </c>
    </row>
    <row r="30" ht="180" customHeight="1" spans="1:10">
      <c r="A30" s="88" t="s">
        <v>1250</v>
      </c>
      <c r="B30" s="88" t="s">
        <v>1251</v>
      </c>
      <c r="C30" s="88" t="s">
        <v>1252</v>
      </c>
      <c r="D30" s="89" t="s">
        <v>1253</v>
      </c>
      <c r="E30" s="89" t="s">
        <v>1254</v>
      </c>
      <c r="F30" s="44" t="s">
        <v>1167</v>
      </c>
      <c r="G30" s="44" t="str">
        <f>IF(COUNTIF(流程步骤记录!G246:G255,"有问题")&gt;0,"有问题",IF(COUNTIF(流程步骤记录!G246:G255,"暂时测不了")&gt;0,"暂时测不了",IF(COUNTBLANK(流程步骤记录!G246:G255)&gt;0,"未填结果",IF(COUNTIF(流程步骤记录!G246:G255,"通过")=10,IF(COUNTBLANK(流程步骤记录!H246:L255)&gt;0,"待补证据","通过"),IF(COUNTIF(流程步骤记录!G246:G255,"还没测")=10,"还没测","进行中")))))</f>
        <v>暂时测不了</v>
      </c>
      <c r="H30" s="44" t="s">
        <v>98</v>
      </c>
      <c r="I30" s="45">
        <v>46293</v>
      </c>
      <c r="J30" s="44" t="s">
        <v>1255</v>
      </c>
    </row>
    <row r="31" ht="180" customHeight="1" spans="1:10">
      <c r="A31" s="90" t="s">
        <v>1256</v>
      </c>
      <c r="B31" s="90" t="s">
        <v>1257</v>
      </c>
      <c r="C31" s="90" t="s">
        <v>1258</v>
      </c>
      <c r="D31" s="91" t="s">
        <v>1259</v>
      </c>
      <c r="E31" s="91" t="s">
        <v>1260</v>
      </c>
      <c r="F31" s="44" t="s">
        <v>1167</v>
      </c>
      <c r="G31" s="44" t="str">
        <f>IF(COUNTIF(流程步骤记录!G256:G265,"有问题")&gt;0,"有问题",IF(COUNTIF(流程步骤记录!G256:G265,"暂时测不了")&gt;0,"暂时测不了",IF(COUNTBLANK(流程步骤记录!G256:G265)&gt;0,"未填结果",IF(COUNTIF(流程步骤记录!G256:G265,"通过")=10,IF(COUNTBLANK(流程步骤记录!H256:L265)&gt;0,"待补证据","通过"),IF(COUNTIF(流程步骤记录!G256:G265,"还没测")=10,"还没测","进行中")))))</f>
        <v>暂时测不了</v>
      </c>
      <c r="H31" s="44" t="s">
        <v>98</v>
      </c>
      <c r="I31" s="45">
        <v>46293</v>
      </c>
      <c r="J31" s="44" t="s">
        <v>1261</v>
      </c>
    </row>
    <row r="32" ht="180" customHeight="1" spans="1:10">
      <c r="A32" s="23" t="s">
        <v>1262</v>
      </c>
      <c r="B32" s="23" t="s">
        <v>1263</v>
      </c>
      <c r="C32" s="23" t="s">
        <v>1264</v>
      </c>
      <c r="D32" s="23" t="s">
        <v>1265</v>
      </c>
      <c r="E32" s="23" t="s">
        <v>1266</v>
      </c>
      <c r="F32" s="20" t="s">
        <v>1167</v>
      </c>
      <c r="G32" s="20" t="str">
        <f>IF(COUNTIF(流程步骤记录!G266:G275,"有问题")&gt;0,"有问题",IF(COUNTIF(流程步骤记录!G266:G275,"暂时测不了")&gt;0,"暂时测不了",IF(COUNTBLANK(流程步骤记录!G266:G275)&gt;0,"未填结果",IF(COUNTIF(流程步骤记录!G266:G275,"通过")=10,IF(COUNTBLANK(流程步骤记录!H266:L275)&gt;0,"待补证据","通过"),IF(COUNTIF(流程步骤记录!G266:G275,"还没测")=10,"还没测","进行中")))))</f>
        <v>暂时测不了</v>
      </c>
      <c r="H32" s="20" t="s">
        <v>98</v>
      </c>
      <c r="I32" s="21">
        <v>46293</v>
      </c>
      <c r="J32" s="20" t="s">
        <v>1267</v>
      </c>
    </row>
    <row r="33" ht="180" customHeight="1" spans="1:10">
      <c r="A33" s="25" t="s">
        <v>1268</v>
      </c>
      <c r="B33" s="25" t="s">
        <v>1269</v>
      </c>
      <c r="C33" s="25" t="s">
        <v>1270</v>
      </c>
      <c r="D33" s="25" t="s">
        <v>1271</v>
      </c>
      <c r="E33" s="25" t="s">
        <v>1272</v>
      </c>
      <c r="F33" s="20" t="s">
        <v>1167</v>
      </c>
      <c r="G33" s="20" t="str">
        <f>IF(COUNTIF(流程步骤记录!G276:G285,"有问题")&gt;0,"有问题",IF(COUNTIF(流程步骤记录!G276:G285,"暂时测不了")&gt;0,"暂时测不了",IF(COUNTBLANK(流程步骤记录!G276:G285)&gt;0,"未填结果",IF(COUNTIF(流程步骤记录!G276:G285,"通过")=10,IF(COUNTBLANK(流程步骤记录!H276:L285)&gt;0,"待补证据","通过"),IF(COUNTIF(流程步骤记录!G276:G285,"还没测")=10,"还没测","进行中")))))</f>
        <v>暂时测不了</v>
      </c>
      <c r="H33" s="20" t="s">
        <v>98</v>
      </c>
      <c r="I33" s="21">
        <v>46293</v>
      </c>
      <c r="J33" s="20" t="s">
        <v>1273</v>
      </c>
    </row>
    <row r="34" ht="180" customHeight="1" spans="1:10">
      <c r="A34" s="23" t="s">
        <v>1274</v>
      </c>
      <c r="B34" s="23" t="s">
        <v>1275</v>
      </c>
      <c r="C34" s="23" t="s">
        <v>1103</v>
      </c>
      <c r="D34" s="23" t="s">
        <v>1276</v>
      </c>
      <c r="E34" s="23" t="s">
        <v>1277</v>
      </c>
      <c r="F34" s="20" t="s">
        <v>1167</v>
      </c>
      <c r="G34" s="20" t="str">
        <f>IF(COUNTIF(流程步骤记录!G286:G295,"有问题")&gt;0,"有问题",IF(COUNTIF(流程步骤记录!G286:G295,"暂时测不了")&gt;0,"暂时测不了",IF(COUNTBLANK(流程步骤记录!G286:G295)&gt;0,"未填结果",IF(COUNTIF(流程步骤记录!G286:G295,"通过")=10,IF(COUNTBLANK(流程步骤记录!H286:L295)&gt;0,"待补证据","通过"),IF(COUNTIF(流程步骤记录!G286:G295,"还没测")=10,"还没测","进行中")))))</f>
        <v>暂时测不了</v>
      </c>
      <c r="H34" s="20" t="s">
        <v>98</v>
      </c>
      <c r="I34" s="21">
        <v>46293</v>
      </c>
      <c r="J34" s="20" t="s">
        <v>1278</v>
      </c>
    </row>
    <row r="35" ht="180" customHeight="1" spans="1:10">
      <c r="A35" s="25" t="s">
        <v>1279</v>
      </c>
      <c r="B35" s="25" t="s">
        <v>1280</v>
      </c>
      <c r="C35" s="25" t="s">
        <v>1281</v>
      </c>
      <c r="D35" s="25" t="s">
        <v>1282</v>
      </c>
      <c r="E35" s="25" t="s">
        <v>1283</v>
      </c>
      <c r="F35" s="20" t="s">
        <v>1167</v>
      </c>
      <c r="G35" s="20" t="str">
        <f>IF(COUNTIF(流程步骤记录!G296:G305,"有问题")&gt;0,"有问题",IF(COUNTIF(流程步骤记录!G296:G305,"暂时测不了")&gt;0,"暂时测不了",IF(COUNTBLANK(流程步骤记录!G296:G305)&gt;0,"未填结果",IF(COUNTIF(流程步骤记录!G296:G305,"通过")=10,IF(COUNTBLANK(流程步骤记录!H296:L305)&gt;0,"待补证据","通过"),IF(COUNTIF(流程步骤记录!G296:G305,"还没测")=10,"还没测","进行中")))))</f>
        <v>暂时测不了</v>
      </c>
      <c r="H35" s="20" t="s">
        <v>98</v>
      </c>
      <c r="I35" s="21">
        <v>46293</v>
      </c>
      <c r="J35" s="20" t="s">
        <v>1284</v>
      </c>
    </row>
    <row r="36" ht="180" customHeight="1" spans="1:10">
      <c r="A36" s="5" t="s">
        <v>1285</v>
      </c>
      <c r="B36" s="5" t="s">
        <v>1286</v>
      </c>
      <c r="C36" s="5" t="s">
        <v>1287</v>
      </c>
      <c r="D36" s="5" t="s">
        <v>1288</v>
      </c>
      <c r="E36" s="5" t="s">
        <v>1289</v>
      </c>
      <c r="F36" s="20" t="s">
        <v>1167</v>
      </c>
      <c r="G36" s="20" t="str">
        <f>IF(COUNTIF(流程步骤记录!G306:G315,"有问题")&gt;0,"有问题",IF(COUNTIF(流程步骤记录!G306:G315,"暂时测不了")&gt;0,"暂时测不了",IF(COUNTBLANK(流程步骤记录!G306:G315)&gt;0,"未填结果",IF(COUNTIF(流程步骤记录!G306:G315,"通过")=10,IF(COUNTBLANK(流程步骤记录!H306:L315)&gt;0,"待补证据","通过"),IF(COUNTIF(流程步骤记录!G306:G315,"还没测")=10,"还没测","进行中")))))</f>
        <v>暂时测不了</v>
      </c>
      <c r="H36" s="20" t="s">
        <v>98</v>
      </c>
      <c r="I36" s="21">
        <v>46293</v>
      </c>
      <c r="J36" s="20" t="s">
        <v>1261</v>
      </c>
    </row>
    <row r="37" ht="180" customHeight="1" spans="1:10">
      <c r="A37" s="23" t="s">
        <v>1290</v>
      </c>
      <c r="B37" s="23" t="s">
        <v>1291</v>
      </c>
      <c r="C37" s="23" t="s">
        <v>1292</v>
      </c>
      <c r="D37" s="23" t="s">
        <v>1293</v>
      </c>
      <c r="E37" s="23" t="s">
        <v>1294</v>
      </c>
      <c r="F37" s="20" t="s">
        <v>1167</v>
      </c>
      <c r="G37" s="20" t="str">
        <f>IF(COUNTIF(流程步骤记录!G316:G325,"有问题")&gt;0,"有问题",IF(COUNTIF(流程步骤记录!G316:G325,"暂时测不了")&gt;0,"暂时测不了",IF(COUNTBLANK(流程步骤记录!G316:G325)&gt;0,"未填结果",IF(COUNTIF(流程步骤记录!G316:G325,"通过")=10,IF(COUNTBLANK(流程步骤记录!H316:L325)&gt;0,"待补证据","通过"),IF(COUNTIF(流程步骤记录!G316:G325,"还没测")=10,"还没测","进行中")))))</f>
        <v>暂时测不了</v>
      </c>
      <c r="H37" s="20" t="s">
        <v>98</v>
      </c>
      <c r="I37" s="21">
        <v>46293</v>
      </c>
      <c r="J37" s="20" t="s">
        <v>1261</v>
      </c>
    </row>
    <row r="38" ht="180" customHeight="1" spans="1:10">
      <c r="A38" s="25" t="s">
        <v>1295</v>
      </c>
      <c r="B38" s="25" t="s">
        <v>1296</v>
      </c>
      <c r="C38" s="25" t="s">
        <v>1297</v>
      </c>
      <c r="D38" s="25" t="s">
        <v>1298</v>
      </c>
      <c r="E38" s="25" t="s">
        <v>1299</v>
      </c>
      <c r="F38" s="20" t="s">
        <v>1167</v>
      </c>
      <c r="G38" s="20" t="str">
        <f>IF(COUNTIF(流程步骤记录!G326:G335,"有问题")&gt;0,"有问题",IF(COUNTIF(流程步骤记录!G326:G335,"暂时测不了")&gt;0,"暂时测不了",IF(COUNTBLANK(流程步骤记录!G326:G335)&gt;0,"未填结果",IF(COUNTIF(流程步骤记录!G326:G335,"通过")=10,IF(COUNTBLANK(流程步骤记录!H326:L335)&gt;0,"待补证据","通过"),IF(COUNTIF(流程步骤记录!G326:G335,"还没测")=10,"还没测","进行中")))))</f>
        <v>暂时测不了</v>
      </c>
      <c r="H38" s="20" t="s">
        <v>98</v>
      </c>
      <c r="I38" s="21">
        <v>46293</v>
      </c>
      <c r="J38" s="20" t="s">
        <v>1261</v>
      </c>
    </row>
    <row r="39" ht="180" customHeight="1" spans="1:10">
      <c r="A39" s="27" t="s">
        <v>1300</v>
      </c>
      <c r="B39" s="27" t="s">
        <v>1301</v>
      </c>
      <c r="C39" s="27" t="s">
        <v>1302</v>
      </c>
      <c r="D39" s="27" t="s">
        <v>1303</v>
      </c>
      <c r="E39" s="27" t="s">
        <v>1304</v>
      </c>
      <c r="F39" s="20" t="s">
        <v>1167</v>
      </c>
      <c r="G39" s="20" t="str">
        <f>IF(COUNTIF(流程步骤记录!G336:G345,"有问题")&gt;0,"有问题",IF(COUNTIF(流程步骤记录!G336:G345,"暂时测不了")&gt;0,"暂时测不了",IF(COUNTBLANK(流程步骤记录!G336:G345)&gt;0,"未填结果",IF(COUNTIF(流程步骤记录!G336:G345,"通过")=10,IF(COUNTBLANK(流程步骤记录!H336:L345)&gt;0,"待补证据","通过"),IF(COUNTIF(流程步骤记录!G336:G345,"还没测")=10,"还没测","进行中")))))</f>
        <v>暂时测不了</v>
      </c>
      <c r="H39" s="20" t="s">
        <v>98</v>
      </c>
      <c r="I39" s="21">
        <v>46293</v>
      </c>
      <c r="J39" s="20" t="s">
        <v>1261</v>
      </c>
    </row>
    <row r="40" ht="180" customHeight="1" spans="1:10">
      <c r="A40" s="29" t="s">
        <v>1305</v>
      </c>
      <c r="B40" s="29" t="s">
        <v>1306</v>
      </c>
      <c r="C40" s="29" t="s">
        <v>1307</v>
      </c>
      <c r="D40" s="29" t="s">
        <v>1308</v>
      </c>
      <c r="E40" s="29" t="s">
        <v>1309</v>
      </c>
      <c r="F40" s="20" t="s">
        <v>1167</v>
      </c>
      <c r="G40" s="20" t="str">
        <f>IF(COUNTIF(流程步骤记录!G346:G355,"有问题")&gt;0,"有问题",IF(COUNTIF(流程步骤记录!G346:G355,"暂时测不了")&gt;0,"暂时测不了",IF(COUNTBLANK(流程步骤记录!G346:G355)&gt;0,"未填结果",IF(COUNTIF(流程步骤记录!G346:G355,"通过")=10,IF(COUNTBLANK(流程步骤记录!H346:L355)&gt;0,"待补证据","通过"),IF(COUNTIF(流程步骤记录!G346:G355,"还没测")=10,"还没测","进行中")))))</f>
        <v>暂时测不了</v>
      </c>
      <c r="H40" s="20" t="s">
        <v>98</v>
      </c>
      <c r="I40" s="21">
        <v>46293</v>
      </c>
      <c r="J40" s="20" t="s">
        <v>1310</v>
      </c>
    </row>
    <row r="41" ht="180" customHeight="1" spans="1:10">
      <c r="A41" s="31" t="s">
        <v>1311</v>
      </c>
      <c r="B41" s="31" t="s">
        <v>1312</v>
      </c>
      <c r="C41" s="31" t="s">
        <v>1313</v>
      </c>
      <c r="D41" s="31" t="s">
        <v>1314</v>
      </c>
      <c r="E41" s="31" t="s">
        <v>1315</v>
      </c>
      <c r="F41" s="20" t="s">
        <v>1167</v>
      </c>
      <c r="G41" s="20" t="str">
        <f>IF(COUNTIF(流程步骤记录!G356:G365,"有问题")&gt;0,"有问题",IF(COUNTIF(流程步骤记录!G356:G365,"暂时测不了")&gt;0,"暂时测不了",IF(COUNTBLANK(流程步骤记录!G356:G365)&gt;0,"未填结果",IF(COUNTIF(流程步骤记录!G356:G365,"通过")=10,IF(COUNTBLANK(流程步骤记录!H356:L365)&gt;0,"待补证据","通过"),IF(COUNTIF(流程步骤记录!G356:G365,"还没测")=10,"还没测","进行中")))))</f>
        <v>有问题</v>
      </c>
      <c r="H41" s="20" t="s">
        <v>98</v>
      </c>
      <c r="I41" s="21">
        <v>46293</v>
      </c>
      <c r="J41" s="20" t="s">
        <v>1316</v>
      </c>
    </row>
  </sheetData>
  <mergeCells count="2">
    <mergeCell ref="A3:J3"/>
    <mergeCell ref="A4:J4"/>
  </mergeCells>
  <conditionalFormatting sqref="G6:G31">
    <cfRule type="cellIs" dxfId="2" priority="1" operator="equal">
      <formula>"还没测"</formula>
    </cfRule>
    <cfRule type="cellIs" dxfId="3" priority="2" operator="equal">
      <formula>"通过"</formula>
    </cfRule>
    <cfRule type="cellIs" dxfId="0" priority="3" operator="equal">
      <formula>"有问题"</formula>
    </cfRule>
    <cfRule type="cellIs" dxfId="4" priority="4" operator="equal">
      <formula>"暂时测不了"</formula>
    </cfRule>
    <cfRule type="cellIs" dxfId="7" priority="5" operator="equal">
      <formula>"进行中"</formula>
    </cfRule>
    <cfRule type="cellIs" dxfId="0" priority="6" operator="equal">
      <formula>"未填结果"</formula>
    </cfRule>
  </conditionalFormatting>
  <conditionalFormatting sqref="G6:G35">
    <cfRule type="cellIs" dxfId="3" priority="7" operator="equal">
      <formula>"通过"</formula>
    </cfRule>
    <cfRule type="cellIs" dxfId="0" priority="8" operator="equal">
      <formula>"有问题"</formula>
    </cfRule>
    <cfRule type="cellIs" dxfId="4" priority="9" operator="equal">
      <formula>"暂时测不了"</formula>
    </cfRule>
    <cfRule type="cellIs" dxfId="2" priority="10" operator="equal">
      <formula>"还没测"</formula>
    </cfRule>
    <cfRule type="cellIs" dxfId="4" priority="11" operator="equal">
      <formula>"待补证据"</formula>
    </cfRule>
    <cfRule type="cellIs" dxfId="7" priority="12" operator="equal">
      <formula>"进行中"</formula>
    </cfRule>
  </conditionalFormatting>
  <conditionalFormatting sqref="G36:G41">
    <cfRule type="cellIs" dxfId="2" priority="13" operator="equal">
      <formula>"还没测"</formula>
    </cfRule>
    <cfRule type="cellIs" dxfId="3" priority="14" operator="equal">
      <formula>"通过"</formula>
    </cfRule>
    <cfRule type="cellIs" dxfId="3" priority="15" operator="equal">
      <formula>"记录齐全"</formula>
    </cfRule>
    <cfRule type="cellIs" dxfId="0" priority="16" operator="equal">
      <formula>"有问题"</formula>
    </cfRule>
    <cfRule type="cellIs" dxfId="4" priority="17" operator="equal">
      <formula>"暂时测不了"</formula>
    </cfRule>
    <cfRule type="cellIs" dxfId="4" priority="18" operator="equal">
      <formula>"待补证据"</formula>
    </cfRule>
    <cfRule type="cellIs" dxfId="7" priority="19" operator="equal">
      <formula>"进行中"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891B2"/>
  </sheetPr>
  <dimension ref="A1:L365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2" customWidth="1"/>
    <col min="2" max="2" width="13" customWidth="1"/>
    <col min="3" max="3" width="23" customWidth="1"/>
    <col min="4" max="4" width="30" customWidth="1"/>
    <col min="5" max="5" width="63" customWidth="1"/>
    <col min="6" max="6" width="70" customWidth="1"/>
    <col min="7" max="7" width="17" customWidth="1"/>
    <col min="8" max="8" width="45" customWidth="1"/>
    <col min="9" max="9" width="13" customWidth="1"/>
    <col min="10" max="10" width="17" customWidth="1"/>
    <col min="11" max="11" width="36" customWidth="1"/>
    <col min="12" max="12" width="22" customWidth="1"/>
  </cols>
  <sheetData>
    <row r="1" ht="16.5" spans="1:12">
      <c r="A1" s="15"/>
    </row>
    <row r="2" ht="32" customHeight="1" spans="1:12">
      <c r="A2" s="35" t="s">
        <v>1317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ht="34" customHeight="1" spans="1:12">
      <c r="A3" s="14" t="s">
        <v>1318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34" customHeight="1" spans="1:12">
      <c r="A4" s="14" t="s">
        <v>1319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ht="32" customHeight="1" spans="1:12">
      <c r="A5" s="37" t="s">
        <v>1154</v>
      </c>
      <c r="B5" s="37" t="s">
        <v>1320</v>
      </c>
      <c r="C5" s="37" t="s">
        <v>1321</v>
      </c>
      <c r="D5" s="37" t="s">
        <v>1322</v>
      </c>
      <c r="E5" s="37" t="s">
        <v>1323</v>
      </c>
      <c r="F5" s="37" t="s">
        <v>1324</v>
      </c>
      <c r="G5" s="37" t="s">
        <v>1325</v>
      </c>
      <c r="H5" s="37" t="s">
        <v>1326</v>
      </c>
      <c r="I5" s="37" t="s">
        <v>90</v>
      </c>
      <c r="J5" s="37" t="s">
        <v>91</v>
      </c>
      <c r="K5" s="37" t="s">
        <v>1327</v>
      </c>
      <c r="L5" s="37" t="s">
        <v>1328</v>
      </c>
    </row>
    <row r="6" ht="160" customHeight="1" spans="1:12">
      <c r="A6" s="38" t="s">
        <v>1163</v>
      </c>
      <c r="B6" s="38">
        <v>1</v>
      </c>
      <c r="C6" s="38" t="s">
        <v>1329</v>
      </c>
      <c r="D6" s="38" t="s">
        <v>1164</v>
      </c>
      <c r="E6" s="39" t="s">
        <v>1330</v>
      </c>
      <c r="F6" s="39" t="s">
        <v>1331</v>
      </c>
      <c r="G6" s="40" t="s">
        <v>5</v>
      </c>
      <c r="H6" s="40" t="s">
        <v>1332</v>
      </c>
      <c r="I6" s="40" t="s">
        <v>98</v>
      </c>
      <c r="J6" s="41">
        <v>46293</v>
      </c>
      <c r="K6" s="40" t="s">
        <v>1333</v>
      </c>
      <c r="L6" s="40" t="s">
        <v>1334</v>
      </c>
    </row>
    <row r="7" ht="160" customHeight="1" spans="1:12">
      <c r="A7" s="42" t="s">
        <v>1163</v>
      </c>
      <c r="B7" s="42">
        <v>2</v>
      </c>
      <c r="C7" s="42" t="s">
        <v>1335</v>
      </c>
      <c r="D7" s="42" t="s">
        <v>1164</v>
      </c>
      <c r="E7" s="43" t="s">
        <v>1336</v>
      </c>
      <c r="F7" s="43" t="s">
        <v>1337</v>
      </c>
      <c r="G7" s="44" t="s">
        <v>5</v>
      </c>
      <c r="H7" s="44" t="s">
        <v>1332</v>
      </c>
      <c r="I7" s="44" t="s">
        <v>98</v>
      </c>
      <c r="J7" s="45">
        <v>46293</v>
      </c>
      <c r="K7" s="44" t="s">
        <v>1333</v>
      </c>
      <c r="L7" s="44" t="s">
        <v>1334</v>
      </c>
    </row>
    <row r="8" ht="160" customHeight="1" spans="1:12">
      <c r="A8" s="42" t="s">
        <v>1163</v>
      </c>
      <c r="B8" s="42">
        <v>3</v>
      </c>
      <c r="C8" s="42" t="s">
        <v>1338</v>
      </c>
      <c r="D8" s="42" t="s">
        <v>1164</v>
      </c>
      <c r="E8" s="43" t="s">
        <v>1339</v>
      </c>
      <c r="F8" s="43" t="s">
        <v>1340</v>
      </c>
      <c r="G8" s="44" t="s">
        <v>5</v>
      </c>
      <c r="H8" s="44" t="s">
        <v>1332</v>
      </c>
      <c r="I8" s="44" t="s">
        <v>98</v>
      </c>
      <c r="J8" s="45">
        <v>46293</v>
      </c>
      <c r="K8" s="44" t="s">
        <v>1333</v>
      </c>
      <c r="L8" s="44" t="s">
        <v>1334</v>
      </c>
    </row>
    <row r="9" ht="160" customHeight="1" spans="1:12">
      <c r="A9" s="42" t="s">
        <v>1163</v>
      </c>
      <c r="B9" s="42">
        <v>4</v>
      </c>
      <c r="C9" s="42" t="s">
        <v>1097</v>
      </c>
      <c r="D9" s="42" t="s">
        <v>1164</v>
      </c>
      <c r="E9" s="43" t="s">
        <v>1341</v>
      </c>
      <c r="F9" s="43" t="s">
        <v>1342</v>
      </c>
      <c r="G9" s="44" t="s">
        <v>5</v>
      </c>
      <c r="H9" s="44" t="s">
        <v>1332</v>
      </c>
      <c r="I9" s="44" t="s">
        <v>98</v>
      </c>
      <c r="J9" s="45">
        <v>46293</v>
      </c>
      <c r="K9" s="44" t="s">
        <v>1333</v>
      </c>
      <c r="L9" s="44" t="s">
        <v>1334</v>
      </c>
    </row>
    <row r="10" ht="160" customHeight="1" spans="1:12">
      <c r="A10" s="42" t="s">
        <v>1163</v>
      </c>
      <c r="B10" s="42">
        <v>5</v>
      </c>
      <c r="C10" s="42" t="s">
        <v>1343</v>
      </c>
      <c r="D10" s="42" t="s">
        <v>1164</v>
      </c>
      <c r="E10" s="43" t="s">
        <v>1344</v>
      </c>
      <c r="F10" s="43" t="s">
        <v>1345</v>
      </c>
      <c r="G10" s="44" t="s">
        <v>5</v>
      </c>
      <c r="H10" s="44" t="s">
        <v>1332</v>
      </c>
      <c r="I10" s="44" t="s">
        <v>98</v>
      </c>
      <c r="J10" s="45">
        <v>46293</v>
      </c>
      <c r="K10" s="44" t="s">
        <v>1333</v>
      </c>
      <c r="L10" s="44" t="s">
        <v>1334</v>
      </c>
    </row>
    <row r="11" ht="160" customHeight="1" spans="1:12">
      <c r="A11" s="42" t="s">
        <v>1163</v>
      </c>
      <c r="B11" s="42">
        <v>6</v>
      </c>
      <c r="C11" s="42" t="s">
        <v>1346</v>
      </c>
      <c r="D11" s="42" t="s">
        <v>1164</v>
      </c>
      <c r="E11" s="43" t="s">
        <v>1347</v>
      </c>
      <c r="F11" s="43" t="s">
        <v>1348</v>
      </c>
      <c r="G11" s="44" t="s">
        <v>5</v>
      </c>
      <c r="H11" s="44" t="s">
        <v>1332</v>
      </c>
      <c r="I11" s="44" t="s">
        <v>98</v>
      </c>
      <c r="J11" s="45">
        <v>46293</v>
      </c>
      <c r="K11" s="44" t="s">
        <v>1333</v>
      </c>
      <c r="L11" s="44" t="s">
        <v>1334</v>
      </c>
    </row>
    <row r="12" ht="160" customHeight="1" spans="1:12">
      <c r="A12" s="42" t="s">
        <v>1163</v>
      </c>
      <c r="B12" s="42">
        <v>7</v>
      </c>
      <c r="C12" s="42" t="s">
        <v>1349</v>
      </c>
      <c r="D12" s="42" t="s">
        <v>1164</v>
      </c>
      <c r="E12" s="43" t="s">
        <v>1350</v>
      </c>
      <c r="F12" s="43" t="s">
        <v>1351</v>
      </c>
      <c r="G12" s="44" t="s">
        <v>5</v>
      </c>
      <c r="H12" s="44" t="s">
        <v>1332</v>
      </c>
      <c r="I12" s="44" t="s">
        <v>98</v>
      </c>
      <c r="J12" s="45">
        <v>46293</v>
      </c>
      <c r="K12" s="44" t="s">
        <v>1333</v>
      </c>
      <c r="L12" s="44" t="s">
        <v>1334</v>
      </c>
    </row>
    <row r="13" ht="160" customHeight="1" spans="1:12">
      <c r="A13" s="42" t="s">
        <v>1163</v>
      </c>
      <c r="B13" s="42">
        <v>8</v>
      </c>
      <c r="C13" s="42" t="s">
        <v>1352</v>
      </c>
      <c r="D13" s="42" t="s">
        <v>1164</v>
      </c>
      <c r="E13" s="43" t="s">
        <v>1353</v>
      </c>
      <c r="F13" s="43" t="s">
        <v>1354</v>
      </c>
      <c r="G13" s="44" t="s">
        <v>5</v>
      </c>
      <c r="H13" s="44" t="s">
        <v>1332</v>
      </c>
      <c r="I13" s="44" t="s">
        <v>98</v>
      </c>
      <c r="J13" s="45">
        <v>46293</v>
      </c>
      <c r="K13" s="44" t="s">
        <v>1333</v>
      </c>
      <c r="L13" s="44" t="s">
        <v>1334</v>
      </c>
    </row>
    <row r="14" ht="160" customHeight="1" spans="1:12">
      <c r="A14" s="42" t="s">
        <v>1163</v>
      </c>
      <c r="B14" s="42">
        <v>9</v>
      </c>
      <c r="C14" s="42" t="s">
        <v>1355</v>
      </c>
      <c r="D14" s="42" t="s">
        <v>1164</v>
      </c>
      <c r="E14" s="43" t="s">
        <v>1356</v>
      </c>
      <c r="F14" s="43" t="s">
        <v>1357</v>
      </c>
      <c r="G14" s="44" t="s">
        <v>5</v>
      </c>
      <c r="H14" s="44" t="s">
        <v>1332</v>
      </c>
      <c r="I14" s="44" t="s">
        <v>98</v>
      </c>
      <c r="J14" s="45">
        <v>46293</v>
      </c>
      <c r="K14" s="44" t="s">
        <v>1333</v>
      </c>
      <c r="L14" s="44" t="s">
        <v>1334</v>
      </c>
    </row>
    <row r="15" ht="160" customHeight="1" spans="1:12">
      <c r="A15" s="42" t="s">
        <v>1163</v>
      </c>
      <c r="B15" s="42">
        <v>10</v>
      </c>
      <c r="C15" s="42" t="s">
        <v>1358</v>
      </c>
      <c r="D15" s="42" t="s">
        <v>1164</v>
      </c>
      <c r="E15" s="43" t="s">
        <v>1359</v>
      </c>
      <c r="F15" s="43" t="s">
        <v>1360</v>
      </c>
      <c r="G15" s="44" t="s">
        <v>5</v>
      </c>
      <c r="H15" s="44" t="s">
        <v>1332</v>
      </c>
      <c r="I15" s="44" t="s">
        <v>98</v>
      </c>
      <c r="J15" s="45">
        <v>46293</v>
      </c>
      <c r="K15" s="44" t="s">
        <v>1333</v>
      </c>
      <c r="L15" s="44" t="s">
        <v>1334</v>
      </c>
    </row>
    <row r="16" ht="160" customHeight="1" spans="1:12">
      <c r="A16" s="46" t="s">
        <v>1169</v>
      </c>
      <c r="B16" s="46">
        <v>1</v>
      </c>
      <c r="C16" s="46" t="s">
        <v>1329</v>
      </c>
      <c r="D16" s="46" t="s">
        <v>1170</v>
      </c>
      <c r="E16" s="47" t="s">
        <v>1330</v>
      </c>
      <c r="F16" s="47" t="s">
        <v>1331</v>
      </c>
      <c r="G16" s="48" t="s">
        <v>5</v>
      </c>
      <c r="H16" s="48" t="s">
        <v>1332</v>
      </c>
      <c r="I16" s="48" t="s">
        <v>98</v>
      </c>
      <c r="J16" s="49">
        <v>46293</v>
      </c>
      <c r="K16" s="48" t="s">
        <v>1333</v>
      </c>
      <c r="L16" s="48" t="s">
        <v>1334</v>
      </c>
    </row>
    <row r="17" ht="160" customHeight="1" spans="1:12">
      <c r="A17" s="50" t="s">
        <v>1169</v>
      </c>
      <c r="B17" s="50">
        <v>2</v>
      </c>
      <c r="C17" s="50" t="s">
        <v>1335</v>
      </c>
      <c r="D17" s="50" t="s">
        <v>1170</v>
      </c>
      <c r="E17" s="51" t="s">
        <v>1336</v>
      </c>
      <c r="F17" s="51" t="s">
        <v>1337</v>
      </c>
      <c r="G17" s="44" t="s">
        <v>5</v>
      </c>
      <c r="H17" s="44" t="s">
        <v>1332</v>
      </c>
      <c r="I17" s="44" t="s">
        <v>98</v>
      </c>
      <c r="J17" s="45">
        <v>46293</v>
      </c>
      <c r="K17" s="44" t="s">
        <v>1333</v>
      </c>
      <c r="L17" s="44" t="s">
        <v>1334</v>
      </c>
    </row>
    <row r="18" ht="160" customHeight="1" spans="1:12">
      <c r="A18" s="50" t="s">
        <v>1169</v>
      </c>
      <c r="B18" s="50">
        <v>3</v>
      </c>
      <c r="C18" s="50" t="s">
        <v>1338</v>
      </c>
      <c r="D18" s="50" t="s">
        <v>1170</v>
      </c>
      <c r="E18" s="51" t="s">
        <v>1339</v>
      </c>
      <c r="F18" s="51" t="s">
        <v>1340</v>
      </c>
      <c r="G18" s="44" t="s">
        <v>5</v>
      </c>
      <c r="H18" s="44" t="s">
        <v>1332</v>
      </c>
      <c r="I18" s="44" t="s">
        <v>98</v>
      </c>
      <c r="J18" s="45">
        <v>46293</v>
      </c>
      <c r="K18" s="44" t="s">
        <v>1333</v>
      </c>
      <c r="L18" s="44" t="s">
        <v>1334</v>
      </c>
    </row>
    <row r="19" ht="160" customHeight="1" spans="1:12">
      <c r="A19" s="50" t="s">
        <v>1169</v>
      </c>
      <c r="B19" s="50">
        <v>4</v>
      </c>
      <c r="C19" s="50" t="s">
        <v>1097</v>
      </c>
      <c r="D19" s="50" t="s">
        <v>1170</v>
      </c>
      <c r="E19" s="51" t="s">
        <v>1341</v>
      </c>
      <c r="F19" s="51" t="s">
        <v>1342</v>
      </c>
      <c r="G19" s="44" t="s">
        <v>5</v>
      </c>
      <c r="H19" s="44" t="s">
        <v>1332</v>
      </c>
      <c r="I19" s="44" t="s">
        <v>98</v>
      </c>
      <c r="J19" s="45">
        <v>46293</v>
      </c>
      <c r="K19" s="44" t="s">
        <v>1333</v>
      </c>
      <c r="L19" s="44" t="s">
        <v>1334</v>
      </c>
    </row>
    <row r="20" ht="160" customHeight="1" spans="1:12">
      <c r="A20" s="50" t="s">
        <v>1169</v>
      </c>
      <c r="B20" s="50">
        <v>5</v>
      </c>
      <c r="C20" s="50" t="s">
        <v>1343</v>
      </c>
      <c r="D20" s="50" t="s">
        <v>1170</v>
      </c>
      <c r="E20" s="51" t="s">
        <v>1344</v>
      </c>
      <c r="F20" s="51" t="s">
        <v>1345</v>
      </c>
      <c r="G20" s="44" t="s">
        <v>5</v>
      </c>
      <c r="H20" s="44" t="s">
        <v>1332</v>
      </c>
      <c r="I20" s="44" t="s">
        <v>98</v>
      </c>
      <c r="J20" s="45">
        <v>46293</v>
      </c>
      <c r="K20" s="44" t="s">
        <v>1333</v>
      </c>
      <c r="L20" s="44" t="s">
        <v>1334</v>
      </c>
    </row>
    <row r="21" ht="160" customHeight="1" spans="1:12">
      <c r="A21" s="50" t="s">
        <v>1169</v>
      </c>
      <c r="B21" s="50">
        <v>6</v>
      </c>
      <c r="C21" s="50" t="s">
        <v>1346</v>
      </c>
      <c r="D21" s="50" t="s">
        <v>1170</v>
      </c>
      <c r="E21" s="51" t="s">
        <v>1347</v>
      </c>
      <c r="F21" s="51" t="s">
        <v>1348</v>
      </c>
      <c r="G21" s="44" t="s">
        <v>5</v>
      </c>
      <c r="H21" s="44" t="s">
        <v>1332</v>
      </c>
      <c r="I21" s="44" t="s">
        <v>98</v>
      </c>
      <c r="J21" s="45">
        <v>46293</v>
      </c>
      <c r="K21" s="44" t="s">
        <v>1333</v>
      </c>
      <c r="L21" s="44" t="s">
        <v>1334</v>
      </c>
    </row>
    <row r="22" ht="160" customHeight="1" spans="1:12">
      <c r="A22" s="50" t="s">
        <v>1169</v>
      </c>
      <c r="B22" s="50">
        <v>7</v>
      </c>
      <c r="C22" s="50" t="s">
        <v>1349</v>
      </c>
      <c r="D22" s="50" t="s">
        <v>1170</v>
      </c>
      <c r="E22" s="51" t="s">
        <v>1350</v>
      </c>
      <c r="F22" s="51" t="s">
        <v>1351</v>
      </c>
      <c r="G22" s="44" t="s">
        <v>5</v>
      </c>
      <c r="H22" s="44" t="s">
        <v>1332</v>
      </c>
      <c r="I22" s="44" t="s">
        <v>98</v>
      </c>
      <c r="J22" s="45">
        <v>46293</v>
      </c>
      <c r="K22" s="44" t="s">
        <v>1333</v>
      </c>
      <c r="L22" s="44" t="s">
        <v>1334</v>
      </c>
    </row>
    <row r="23" ht="160" customHeight="1" spans="1:12">
      <c r="A23" s="50" t="s">
        <v>1169</v>
      </c>
      <c r="B23" s="50">
        <v>8</v>
      </c>
      <c r="C23" s="50" t="s">
        <v>1352</v>
      </c>
      <c r="D23" s="50" t="s">
        <v>1170</v>
      </c>
      <c r="E23" s="51" t="s">
        <v>1353</v>
      </c>
      <c r="F23" s="51" t="s">
        <v>1354</v>
      </c>
      <c r="G23" s="44" t="s">
        <v>5</v>
      </c>
      <c r="H23" s="44" t="s">
        <v>1332</v>
      </c>
      <c r="I23" s="44" t="s">
        <v>98</v>
      </c>
      <c r="J23" s="45">
        <v>46293</v>
      </c>
      <c r="K23" s="44" t="s">
        <v>1333</v>
      </c>
      <c r="L23" s="44" t="s">
        <v>1334</v>
      </c>
    </row>
    <row r="24" ht="160" customHeight="1" spans="1:12">
      <c r="A24" s="50" t="s">
        <v>1169</v>
      </c>
      <c r="B24" s="50">
        <v>9</v>
      </c>
      <c r="C24" s="50" t="s">
        <v>1355</v>
      </c>
      <c r="D24" s="50" t="s">
        <v>1170</v>
      </c>
      <c r="E24" s="51" t="s">
        <v>1356</v>
      </c>
      <c r="F24" s="51" t="s">
        <v>1357</v>
      </c>
      <c r="G24" s="44" t="s">
        <v>5</v>
      </c>
      <c r="H24" s="44" t="s">
        <v>1332</v>
      </c>
      <c r="I24" s="44" t="s">
        <v>98</v>
      </c>
      <c r="J24" s="45">
        <v>46293</v>
      </c>
      <c r="K24" s="44" t="s">
        <v>1333</v>
      </c>
      <c r="L24" s="44" t="s">
        <v>1334</v>
      </c>
    </row>
    <row r="25" ht="160" customHeight="1" spans="1:12">
      <c r="A25" s="50" t="s">
        <v>1169</v>
      </c>
      <c r="B25" s="50">
        <v>10</v>
      </c>
      <c r="C25" s="50" t="s">
        <v>1358</v>
      </c>
      <c r="D25" s="50" t="s">
        <v>1170</v>
      </c>
      <c r="E25" s="51" t="s">
        <v>1359</v>
      </c>
      <c r="F25" s="51" t="s">
        <v>1360</v>
      </c>
      <c r="G25" s="44" t="s">
        <v>5</v>
      </c>
      <c r="H25" s="44" t="s">
        <v>1332</v>
      </c>
      <c r="I25" s="44" t="s">
        <v>98</v>
      </c>
      <c r="J25" s="45">
        <v>46293</v>
      </c>
      <c r="K25" s="44" t="s">
        <v>1333</v>
      </c>
      <c r="L25" s="44" t="s">
        <v>1334</v>
      </c>
    </row>
    <row r="26" ht="160" customHeight="1" spans="1:12">
      <c r="A26" s="52" t="s">
        <v>1171</v>
      </c>
      <c r="B26" s="52">
        <v>1</v>
      </c>
      <c r="C26" s="52" t="s">
        <v>1329</v>
      </c>
      <c r="D26" s="52" t="s">
        <v>1172</v>
      </c>
      <c r="E26" s="53" t="s">
        <v>1330</v>
      </c>
      <c r="F26" s="53" t="s">
        <v>1331</v>
      </c>
      <c r="G26" s="54" t="s">
        <v>5</v>
      </c>
      <c r="H26" s="54" t="s">
        <v>1332</v>
      </c>
      <c r="I26" s="54" t="s">
        <v>98</v>
      </c>
      <c r="J26" s="55">
        <v>46293</v>
      </c>
      <c r="K26" s="54" t="s">
        <v>1333</v>
      </c>
      <c r="L26" s="54" t="s">
        <v>1334</v>
      </c>
    </row>
    <row r="27" ht="160" customHeight="1" spans="1:12">
      <c r="A27" s="56" t="s">
        <v>1171</v>
      </c>
      <c r="B27" s="56">
        <v>2</v>
      </c>
      <c r="C27" s="56" t="s">
        <v>1335</v>
      </c>
      <c r="D27" s="56" t="s">
        <v>1172</v>
      </c>
      <c r="E27" s="57" t="s">
        <v>1336</v>
      </c>
      <c r="F27" s="57" t="s">
        <v>1337</v>
      </c>
      <c r="G27" s="44" t="s">
        <v>5</v>
      </c>
      <c r="H27" s="44" t="s">
        <v>1332</v>
      </c>
      <c r="I27" s="44" t="s">
        <v>98</v>
      </c>
      <c r="J27" s="45">
        <v>46293</v>
      </c>
      <c r="K27" s="44" t="s">
        <v>1333</v>
      </c>
      <c r="L27" s="44" t="s">
        <v>1334</v>
      </c>
    </row>
    <row r="28" ht="160" customHeight="1" spans="1:12">
      <c r="A28" s="56" t="s">
        <v>1171</v>
      </c>
      <c r="B28" s="56">
        <v>3</v>
      </c>
      <c r="C28" s="56" t="s">
        <v>1338</v>
      </c>
      <c r="D28" s="56" t="s">
        <v>1172</v>
      </c>
      <c r="E28" s="57" t="s">
        <v>1339</v>
      </c>
      <c r="F28" s="57" t="s">
        <v>1340</v>
      </c>
      <c r="G28" s="44" t="s">
        <v>5</v>
      </c>
      <c r="H28" s="44" t="s">
        <v>1332</v>
      </c>
      <c r="I28" s="44" t="s">
        <v>98</v>
      </c>
      <c r="J28" s="45">
        <v>46293</v>
      </c>
      <c r="K28" s="44" t="s">
        <v>1333</v>
      </c>
      <c r="L28" s="44" t="s">
        <v>1334</v>
      </c>
    </row>
    <row r="29" ht="160" customHeight="1" spans="1:12">
      <c r="A29" s="56" t="s">
        <v>1171</v>
      </c>
      <c r="B29" s="56">
        <v>4</v>
      </c>
      <c r="C29" s="56" t="s">
        <v>1097</v>
      </c>
      <c r="D29" s="56" t="s">
        <v>1172</v>
      </c>
      <c r="E29" s="57" t="s">
        <v>1341</v>
      </c>
      <c r="F29" s="57" t="s">
        <v>1342</v>
      </c>
      <c r="G29" s="44" t="s">
        <v>5</v>
      </c>
      <c r="H29" s="44" t="s">
        <v>1332</v>
      </c>
      <c r="I29" s="44" t="s">
        <v>98</v>
      </c>
      <c r="J29" s="45">
        <v>46293</v>
      </c>
      <c r="K29" s="44" t="s">
        <v>1333</v>
      </c>
      <c r="L29" s="44" t="s">
        <v>1334</v>
      </c>
    </row>
    <row r="30" ht="160" customHeight="1" spans="1:12">
      <c r="A30" s="56" t="s">
        <v>1171</v>
      </c>
      <c r="B30" s="56">
        <v>5</v>
      </c>
      <c r="C30" s="56" t="s">
        <v>1343</v>
      </c>
      <c r="D30" s="56" t="s">
        <v>1172</v>
      </c>
      <c r="E30" s="57" t="s">
        <v>1344</v>
      </c>
      <c r="F30" s="57" t="s">
        <v>1345</v>
      </c>
      <c r="G30" s="44" t="s">
        <v>5</v>
      </c>
      <c r="H30" s="44" t="s">
        <v>1332</v>
      </c>
      <c r="I30" s="44" t="s">
        <v>98</v>
      </c>
      <c r="J30" s="45">
        <v>46293</v>
      </c>
      <c r="K30" s="44" t="s">
        <v>1333</v>
      </c>
      <c r="L30" s="44" t="s">
        <v>1334</v>
      </c>
    </row>
    <row r="31" ht="160" customHeight="1" spans="1:12">
      <c r="A31" s="56" t="s">
        <v>1171</v>
      </c>
      <c r="B31" s="56">
        <v>6</v>
      </c>
      <c r="C31" s="56" t="s">
        <v>1346</v>
      </c>
      <c r="D31" s="56" t="s">
        <v>1172</v>
      </c>
      <c r="E31" s="57" t="s">
        <v>1361</v>
      </c>
      <c r="F31" s="57" t="s">
        <v>1362</v>
      </c>
      <c r="G31" s="44" t="s">
        <v>5</v>
      </c>
      <c r="H31" s="44" t="s">
        <v>1332</v>
      </c>
      <c r="I31" s="44" t="s">
        <v>98</v>
      </c>
      <c r="J31" s="45">
        <v>46293</v>
      </c>
      <c r="K31" s="44" t="s">
        <v>1333</v>
      </c>
      <c r="L31" s="44" t="s">
        <v>1334</v>
      </c>
    </row>
    <row r="32" ht="160" customHeight="1" spans="1:12">
      <c r="A32" s="56" t="s">
        <v>1171</v>
      </c>
      <c r="B32" s="56">
        <v>7</v>
      </c>
      <c r="C32" s="56" t="s">
        <v>1349</v>
      </c>
      <c r="D32" s="56" t="s">
        <v>1172</v>
      </c>
      <c r="E32" s="57" t="s">
        <v>1350</v>
      </c>
      <c r="F32" s="57" t="s">
        <v>1351</v>
      </c>
      <c r="G32" s="44" t="s">
        <v>5</v>
      </c>
      <c r="H32" s="44" t="s">
        <v>1332</v>
      </c>
      <c r="I32" s="44" t="s">
        <v>98</v>
      </c>
      <c r="J32" s="45">
        <v>46293</v>
      </c>
      <c r="K32" s="44" t="s">
        <v>1333</v>
      </c>
      <c r="L32" s="44" t="s">
        <v>1334</v>
      </c>
    </row>
    <row r="33" ht="160" customHeight="1" spans="1:12">
      <c r="A33" s="56" t="s">
        <v>1171</v>
      </c>
      <c r="B33" s="56">
        <v>8</v>
      </c>
      <c r="C33" s="56" t="s">
        <v>1352</v>
      </c>
      <c r="D33" s="56" t="s">
        <v>1172</v>
      </c>
      <c r="E33" s="57" t="s">
        <v>1353</v>
      </c>
      <c r="F33" s="57" t="s">
        <v>1354</v>
      </c>
      <c r="G33" s="44" t="s">
        <v>5</v>
      </c>
      <c r="H33" s="44" t="s">
        <v>1332</v>
      </c>
      <c r="I33" s="44" t="s">
        <v>98</v>
      </c>
      <c r="J33" s="45">
        <v>46293</v>
      </c>
      <c r="K33" s="44" t="s">
        <v>1333</v>
      </c>
      <c r="L33" s="44" t="s">
        <v>1334</v>
      </c>
    </row>
    <row r="34" ht="160" customHeight="1" spans="1:12">
      <c r="A34" s="56" t="s">
        <v>1171</v>
      </c>
      <c r="B34" s="56">
        <v>9</v>
      </c>
      <c r="C34" s="56" t="s">
        <v>1355</v>
      </c>
      <c r="D34" s="56" t="s">
        <v>1172</v>
      </c>
      <c r="E34" s="57" t="s">
        <v>1356</v>
      </c>
      <c r="F34" s="57" t="s">
        <v>1357</v>
      </c>
      <c r="G34" s="44" t="s">
        <v>5</v>
      </c>
      <c r="H34" s="44" t="s">
        <v>1332</v>
      </c>
      <c r="I34" s="44" t="s">
        <v>98</v>
      </c>
      <c r="J34" s="45">
        <v>46293</v>
      </c>
      <c r="K34" s="44" t="s">
        <v>1333</v>
      </c>
      <c r="L34" s="44" t="s">
        <v>1334</v>
      </c>
    </row>
    <row r="35" ht="160" customHeight="1" spans="1:12">
      <c r="A35" s="56" t="s">
        <v>1171</v>
      </c>
      <c r="B35" s="56">
        <v>10</v>
      </c>
      <c r="C35" s="56" t="s">
        <v>1358</v>
      </c>
      <c r="D35" s="56" t="s">
        <v>1172</v>
      </c>
      <c r="E35" s="57" t="s">
        <v>1359</v>
      </c>
      <c r="F35" s="57" t="s">
        <v>1360</v>
      </c>
      <c r="G35" s="44" t="s">
        <v>5</v>
      </c>
      <c r="H35" s="44" t="s">
        <v>1332</v>
      </c>
      <c r="I35" s="44" t="s">
        <v>98</v>
      </c>
      <c r="J35" s="45">
        <v>46293</v>
      </c>
      <c r="K35" s="44" t="s">
        <v>1333</v>
      </c>
      <c r="L35" s="44" t="s">
        <v>1334</v>
      </c>
    </row>
    <row r="36" ht="160" customHeight="1" spans="1:12">
      <c r="A36" s="58" t="s">
        <v>1173</v>
      </c>
      <c r="B36" s="58">
        <v>1</v>
      </c>
      <c r="C36" s="58" t="s">
        <v>1329</v>
      </c>
      <c r="D36" s="58" t="s">
        <v>1174</v>
      </c>
      <c r="E36" s="59" t="s">
        <v>1330</v>
      </c>
      <c r="F36" s="59" t="s">
        <v>1331</v>
      </c>
      <c r="G36" s="60" t="s">
        <v>5</v>
      </c>
      <c r="H36" s="60" t="s">
        <v>1332</v>
      </c>
      <c r="I36" s="60" t="s">
        <v>98</v>
      </c>
      <c r="J36" s="61">
        <v>46293</v>
      </c>
      <c r="K36" s="60" t="s">
        <v>1333</v>
      </c>
      <c r="L36" s="60" t="s">
        <v>1334</v>
      </c>
    </row>
    <row r="37" ht="160" customHeight="1" spans="1:12">
      <c r="A37" s="62" t="s">
        <v>1173</v>
      </c>
      <c r="B37" s="62">
        <v>2</v>
      </c>
      <c r="C37" s="62" t="s">
        <v>1335</v>
      </c>
      <c r="D37" s="62" t="s">
        <v>1174</v>
      </c>
      <c r="E37" s="63" t="s">
        <v>1336</v>
      </c>
      <c r="F37" s="63" t="s">
        <v>1337</v>
      </c>
      <c r="G37" s="44" t="s">
        <v>5</v>
      </c>
      <c r="H37" s="44" t="s">
        <v>1332</v>
      </c>
      <c r="I37" s="44" t="s">
        <v>98</v>
      </c>
      <c r="J37" s="45">
        <v>46293</v>
      </c>
      <c r="K37" s="44" t="s">
        <v>1333</v>
      </c>
      <c r="L37" s="44" t="s">
        <v>1334</v>
      </c>
    </row>
    <row r="38" ht="160" customHeight="1" spans="1:12">
      <c r="A38" s="62" t="s">
        <v>1173</v>
      </c>
      <c r="B38" s="62">
        <v>3</v>
      </c>
      <c r="C38" s="62" t="s">
        <v>1338</v>
      </c>
      <c r="D38" s="62" t="s">
        <v>1174</v>
      </c>
      <c r="E38" s="63" t="s">
        <v>1339</v>
      </c>
      <c r="F38" s="63" t="s">
        <v>1340</v>
      </c>
      <c r="G38" s="44" t="s">
        <v>5</v>
      </c>
      <c r="H38" s="44" t="s">
        <v>1332</v>
      </c>
      <c r="I38" s="44" t="s">
        <v>98</v>
      </c>
      <c r="J38" s="45">
        <v>46293</v>
      </c>
      <c r="K38" s="44" t="s">
        <v>1333</v>
      </c>
      <c r="L38" s="44" t="s">
        <v>1334</v>
      </c>
    </row>
    <row r="39" ht="160" customHeight="1" spans="1:12">
      <c r="A39" s="62" t="s">
        <v>1173</v>
      </c>
      <c r="B39" s="62">
        <v>4</v>
      </c>
      <c r="C39" s="62" t="s">
        <v>1097</v>
      </c>
      <c r="D39" s="62" t="s">
        <v>1174</v>
      </c>
      <c r="E39" s="63" t="s">
        <v>1341</v>
      </c>
      <c r="F39" s="63" t="s">
        <v>1342</v>
      </c>
      <c r="G39" s="44" t="s">
        <v>5</v>
      </c>
      <c r="H39" s="44" t="s">
        <v>1332</v>
      </c>
      <c r="I39" s="44" t="s">
        <v>98</v>
      </c>
      <c r="J39" s="45">
        <v>46293</v>
      </c>
      <c r="K39" s="44" t="s">
        <v>1333</v>
      </c>
      <c r="L39" s="44" t="s">
        <v>1334</v>
      </c>
    </row>
    <row r="40" ht="160" customHeight="1" spans="1:12">
      <c r="A40" s="62" t="s">
        <v>1173</v>
      </c>
      <c r="B40" s="62">
        <v>5</v>
      </c>
      <c r="C40" s="62" t="s">
        <v>1343</v>
      </c>
      <c r="D40" s="62" t="s">
        <v>1174</v>
      </c>
      <c r="E40" s="63" t="s">
        <v>1344</v>
      </c>
      <c r="F40" s="63" t="s">
        <v>1345</v>
      </c>
      <c r="G40" s="44" t="s">
        <v>5</v>
      </c>
      <c r="H40" s="44" t="s">
        <v>1332</v>
      </c>
      <c r="I40" s="44" t="s">
        <v>98</v>
      </c>
      <c r="J40" s="45">
        <v>46293</v>
      </c>
      <c r="K40" s="44" t="s">
        <v>1333</v>
      </c>
      <c r="L40" s="44" t="s">
        <v>1334</v>
      </c>
    </row>
    <row r="41" ht="160" customHeight="1" spans="1:12">
      <c r="A41" s="62" t="s">
        <v>1173</v>
      </c>
      <c r="B41" s="62">
        <v>6</v>
      </c>
      <c r="C41" s="62" t="s">
        <v>1346</v>
      </c>
      <c r="D41" s="62" t="s">
        <v>1174</v>
      </c>
      <c r="E41" s="63" t="s">
        <v>1361</v>
      </c>
      <c r="F41" s="63" t="s">
        <v>1362</v>
      </c>
      <c r="G41" s="44" t="s">
        <v>5</v>
      </c>
      <c r="H41" s="44" t="s">
        <v>1332</v>
      </c>
      <c r="I41" s="44" t="s">
        <v>98</v>
      </c>
      <c r="J41" s="45">
        <v>46293</v>
      </c>
      <c r="K41" s="44" t="s">
        <v>1333</v>
      </c>
      <c r="L41" s="44" t="s">
        <v>1334</v>
      </c>
    </row>
    <row r="42" ht="160" customHeight="1" spans="1:12">
      <c r="A42" s="62" t="s">
        <v>1173</v>
      </c>
      <c r="B42" s="62">
        <v>7</v>
      </c>
      <c r="C42" s="62" t="s">
        <v>1349</v>
      </c>
      <c r="D42" s="62" t="s">
        <v>1174</v>
      </c>
      <c r="E42" s="63" t="s">
        <v>1350</v>
      </c>
      <c r="F42" s="63" t="s">
        <v>1351</v>
      </c>
      <c r="G42" s="44" t="s">
        <v>5</v>
      </c>
      <c r="H42" s="44" t="s">
        <v>1332</v>
      </c>
      <c r="I42" s="44" t="s">
        <v>98</v>
      </c>
      <c r="J42" s="45">
        <v>46293</v>
      </c>
      <c r="K42" s="44" t="s">
        <v>1333</v>
      </c>
      <c r="L42" s="44" t="s">
        <v>1334</v>
      </c>
    </row>
    <row r="43" ht="160" customHeight="1" spans="1:12">
      <c r="A43" s="62" t="s">
        <v>1173</v>
      </c>
      <c r="B43" s="62">
        <v>8</v>
      </c>
      <c r="C43" s="62" t="s">
        <v>1352</v>
      </c>
      <c r="D43" s="62" t="s">
        <v>1174</v>
      </c>
      <c r="E43" s="63" t="s">
        <v>1353</v>
      </c>
      <c r="F43" s="63" t="s">
        <v>1354</v>
      </c>
      <c r="G43" s="44" t="s">
        <v>5</v>
      </c>
      <c r="H43" s="44" t="s">
        <v>1332</v>
      </c>
      <c r="I43" s="44" t="s">
        <v>98</v>
      </c>
      <c r="J43" s="45">
        <v>46293</v>
      </c>
      <c r="K43" s="44" t="s">
        <v>1333</v>
      </c>
      <c r="L43" s="44" t="s">
        <v>1334</v>
      </c>
    </row>
    <row r="44" ht="160" customHeight="1" spans="1:12">
      <c r="A44" s="62" t="s">
        <v>1173</v>
      </c>
      <c r="B44" s="62">
        <v>9</v>
      </c>
      <c r="C44" s="62" t="s">
        <v>1355</v>
      </c>
      <c r="D44" s="62" t="s">
        <v>1174</v>
      </c>
      <c r="E44" s="63" t="s">
        <v>1356</v>
      </c>
      <c r="F44" s="63" t="s">
        <v>1357</v>
      </c>
      <c r="G44" s="44" t="s">
        <v>5</v>
      </c>
      <c r="H44" s="44" t="s">
        <v>1332</v>
      </c>
      <c r="I44" s="44" t="s">
        <v>98</v>
      </c>
      <c r="J44" s="45">
        <v>46293</v>
      </c>
      <c r="K44" s="44" t="s">
        <v>1333</v>
      </c>
      <c r="L44" s="44" t="s">
        <v>1334</v>
      </c>
    </row>
    <row r="45" ht="160" customHeight="1" spans="1:12">
      <c r="A45" s="62" t="s">
        <v>1173</v>
      </c>
      <c r="B45" s="62">
        <v>10</v>
      </c>
      <c r="C45" s="62" t="s">
        <v>1358</v>
      </c>
      <c r="D45" s="62" t="s">
        <v>1174</v>
      </c>
      <c r="E45" s="63" t="s">
        <v>1359</v>
      </c>
      <c r="F45" s="63" t="s">
        <v>1360</v>
      </c>
      <c r="G45" s="44" t="s">
        <v>5</v>
      </c>
      <c r="H45" s="44" t="s">
        <v>1332</v>
      </c>
      <c r="I45" s="44" t="s">
        <v>98</v>
      </c>
      <c r="J45" s="45">
        <v>46293</v>
      </c>
      <c r="K45" s="44" t="s">
        <v>1333</v>
      </c>
      <c r="L45" s="44" t="s">
        <v>1334</v>
      </c>
    </row>
    <row r="46" ht="160" customHeight="1" spans="1:12">
      <c r="A46" s="64" t="s">
        <v>1175</v>
      </c>
      <c r="B46" s="64">
        <v>1</v>
      </c>
      <c r="C46" s="64" t="s">
        <v>1329</v>
      </c>
      <c r="D46" s="64" t="s">
        <v>1176</v>
      </c>
      <c r="E46" s="65" t="s">
        <v>1330</v>
      </c>
      <c r="F46" s="65" t="s">
        <v>1331</v>
      </c>
      <c r="G46" s="66" t="s">
        <v>5</v>
      </c>
      <c r="H46" s="66" t="s">
        <v>1332</v>
      </c>
      <c r="I46" s="66" t="s">
        <v>98</v>
      </c>
      <c r="J46" s="67">
        <v>46293</v>
      </c>
      <c r="K46" s="66" t="s">
        <v>1333</v>
      </c>
      <c r="L46" s="66" t="s">
        <v>1334</v>
      </c>
    </row>
    <row r="47" ht="160" customHeight="1" spans="1:12">
      <c r="A47" s="68" t="s">
        <v>1175</v>
      </c>
      <c r="B47" s="68">
        <v>2</v>
      </c>
      <c r="C47" s="68" t="s">
        <v>1335</v>
      </c>
      <c r="D47" s="68" t="s">
        <v>1176</v>
      </c>
      <c r="E47" s="69" t="s">
        <v>1336</v>
      </c>
      <c r="F47" s="69" t="s">
        <v>1337</v>
      </c>
      <c r="G47" s="44" t="s">
        <v>5</v>
      </c>
      <c r="H47" s="44" t="s">
        <v>1332</v>
      </c>
      <c r="I47" s="44" t="s">
        <v>98</v>
      </c>
      <c r="J47" s="45">
        <v>46293</v>
      </c>
      <c r="K47" s="44" t="s">
        <v>1333</v>
      </c>
      <c r="L47" s="44" t="s">
        <v>1334</v>
      </c>
    </row>
    <row r="48" ht="160" customHeight="1" spans="1:12">
      <c r="A48" s="68" t="s">
        <v>1175</v>
      </c>
      <c r="B48" s="68">
        <v>3</v>
      </c>
      <c r="C48" s="68" t="s">
        <v>1338</v>
      </c>
      <c r="D48" s="68" t="s">
        <v>1176</v>
      </c>
      <c r="E48" s="69" t="s">
        <v>1339</v>
      </c>
      <c r="F48" s="69" t="s">
        <v>1340</v>
      </c>
      <c r="G48" s="44" t="s">
        <v>5</v>
      </c>
      <c r="H48" s="44" t="s">
        <v>1332</v>
      </c>
      <c r="I48" s="44" t="s">
        <v>98</v>
      </c>
      <c r="J48" s="45">
        <v>46293</v>
      </c>
      <c r="K48" s="44" t="s">
        <v>1333</v>
      </c>
      <c r="L48" s="44" t="s">
        <v>1334</v>
      </c>
    </row>
    <row r="49" ht="160" customHeight="1" spans="1:12">
      <c r="A49" s="68" t="s">
        <v>1175</v>
      </c>
      <c r="B49" s="68">
        <v>4</v>
      </c>
      <c r="C49" s="68" t="s">
        <v>1097</v>
      </c>
      <c r="D49" s="68" t="s">
        <v>1176</v>
      </c>
      <c r="E49" s="69" t="s">
        <v>1363</v>
      </c>
      <c r="F49" s="69" t="s">
        <v>1364</v>
      </c>
      <c r="G49" s="44" t="s">
        <v>5</v>
      </c>
      <c r="H49" s="44" t="s">
        <v>1332</v>
      </c>
      <c r="I49" s="44" t="s">
        <v>98</v>
      </c>
      <c r="J49" s="45">
        <v>46293</v>
      </c>
      <c r="K49" s="44" t="s">
        <v>1333</v>
      </c>
      <c r="L49" s="44" t="s">
        <v>1334</v>
      </c>
    </row>
    <row r="50" ht="160" customHeight="1" spans="1:12">
      <c r="A50" s="68" t="s">
        <v>1175</v>
      </c>
      <c r="B50" s="68">
        <v>5</v>
      </c>
      <c r="C50" s="68" t="s">
        <v>1343</v>
      </c>
      <c r="D50" s="68" t="s">
        <v>1176</v>
      </c>
      <c r="E50" s="69" t="s">
        <v>1344</v>
      </c>
      <c r="F50" s="69" t="s">
        <v>1345</v>
      </c>
      <c r="G50" s="44" t="s">
        <v>5</v>
      </c>
      <c r="H50" s="44" t="s">
        <v>1332</v>
      </c>
      <c r="I50" s="44" t="s">
        <v>98</v>
      </c>
      <c r="J50" s="45">
        <v>46293</v>
      </c>
      <c r="K50" s="44" t="s">
        <v>1333</v>
      </c>
      <c r="L50" s="44" t="s">
        <v>1334</v>
      </c>
    </row>
    <row r="51" ht="160" customHeight="1" spans="1:12">
      <c r="A51" s="68" t="s">
        <v>1175</v>
      </c>
      <c r="B51" s="68">
        <v>6</v>
      </c>
      <c r="C51" s="68" t="s">
        <v>1346</v>
      </c>
      <c r="D51" s="68" t="s">
        <v>1176</v>
      </c>
      <c r="E51" s="69" t="s">
        <v>1347</v>
      </c>
      <c r="F51" s="69" t="s">
        <v>1348</v>
      </c>
      <c r="G51" s="44" t="s">
        <v>5</v>
      </c>
      <c r="H51" s="44" t="s">
        <v>1332</v>
      </c>
      <c r="I51" s="44" t="s">
        <v>98</v>
      </c>
      <c r="J51" s="45">
        <v>46293</v>
      </c>
      <c r="K51" s="44" t="s">
        <v>1333</v>
      </c>
      <c r="L51" s="44" t="s">
        <v>1334</v>
      </c>
    </row>
    <row r="52" ht="160" customHeight="1" spans="1:12">
      <c r="A52" s="68" t="s">
        <v>1175</v>
      </c>
      <c r="B52" s="68">
        <v>7</v>
      </c>
      <c r="C52" s="68" t="s">
        <v>1349</v>
      </c>
      <c r="D52" s="68" t="s">
        <v>1176</v>
      </c>
      <c r="E52" s="69" t="s">
        <v>1350</v>
      </c>
      <c r="F52" s="69" t="s">
        <v>1351</v>
      </c>
      <c r="G52" s="44" t="s">
        <v>5</v>
      </c>
      <c r="H52" s="44" t="s">
        <v>1332</v>
      </c>
      <c r="I52" s="44" t="s">
        <v>98</v>
      </c>
      <c r="J52" s="45">
        <v>46293</v>
      </c>
      <c r="K52" s="44" t="s">
        <v>1333</v>
      </c>
      <c r="L52" s="44" t="s">
        <v>1334</v>
      </c>
    </row>
    <row r="53" ht="160" customHeight="1" spans="1:12">
      <c r="A53" s="68" t="s">
        <v>1175</v>
      </c>
      <c r="B53" s="68">
        <v>8</v>
      </c>
      <c r="C53" s="68" t="s">
        <v>1352</v>
      </c>
      <c r="D53" s="68" t="s">
        <v>1176</v>
      </c>
      <c r="E53" s="69" t="s">
        <v>1353</v>
      </c>
      <c r="F53" s="69" t="s">
        <v>1354</v>
      </c>
      <c r="G53" s="44" t="s">
        <v>5</v>
      </c>
      <c r="H53" s="44" t="s">
        <v>1332</v>
      </c>
      <c r="I53" s="44" t="s">
        <v>98</v>
      </c>
      <c r="J53" s="45">
        <v>46293</v>
      </c>
      <c r="K53" s="44" t="s">
        <v>1333</v>
      </c>
      <c r="L53" s="44" t="s">
        <v>1334</v>
      </c>
    </row>
    <row r="54" ht="160" customHeight="1" spans="1:12">
      <c r="A54" s="68" t="s">
        <v>1175</v>
      </c>
      <c r="B54" s="68">
        <v>9</v>
      </c>
      <c r="C54" s="68" t="s">
        <v>1355</v>
      </c>
      <c r="D54" s="68" t="s">
        <v>1176</v>
      </c>
      <c r="E54" s="69" t="s">
        <v>1356</v>
      </c>
      <c r="F54" s="69" t="s">
        <v>1357</v>
      </c>
      <c r="G54" s="44" t="s">
        <v>5</v>
      </c>
      <c r="H54" s="44" t="s">
        <v>1332</v>
      </c>
      <c r="I54" s="44" t="s">
        <v>98</v>
      </c>
      <c r="J54" s="45">
        <v>46293</v>
      </c>
      <c r="K54" s="44" t="s">
        <v>1333</v>
      </c>
      <c r="L54" s="44" t="s">
        <v>1334</v>
      </c>
    </row>
    <row r="55" ht="160" customHeight="1" spans="1:12">
      <c r="A55" s="68" t="s">
        <v>1175</v>
      </c>
      <c r="B55" s="68">
        <v>10</v>
      </c>
      <c r="C55" s="68" t="s">
        <v>1358</v>
      </c>
      <c r="D55" s="68" t="s">
        <v>1176</v>
      </c>
      <c r="E55" s="69" t="s">
        <v>1359</v>
      </c>
      <c r="F55" s="69" t="s">
        <v>1360</v>
      </c>
      <c r="G55" s="44" t="s">
        <v>5</v>
      </c>
      <c r="H55" s="44" t="s">
        <v>1332</v>
      </c>
      <c r="I55" s="44" t="s">
        <v>98</v>
      </c>
      <c r="J55" s="45">
        <v>46293</v>
      </c>
      <c r="K55" s="44" t="s">
        <v>1333</v>
      </c>
      <c r="L55" s="44" t="s">
        <v>1334</v>
      </c>
    </row>
    <row r="56" ht="160" customHeight="1" spans="1:12">
      <c r="A56" s="70" t="s">
        <v>1177</v>
      </c>
      <c r="B56" s="70">
        <v>1</v>
      </c>
      <c r="C56" s="70" t="s">
        <v>1329</v>
      </c>
      <c r="D56" s="70" t="s">
        <v>1178</v>
      </c>
      <c r="E56" s="71" t="s">
        <v>1330</v>
      </c>
      <c r="F56" s="71" t="s">
        <v>1331</v>
      </c>
      <c r="G56" s="72" t="s">
        <v>5</v>
      </c>
      <c r="H56" s="72" t="s">
        <v>1332</v>
      </c>
      <c r="I56" s="72" t="s">
        <v>98</v>
      </c>
      <c r="J56" s="73">
        <v>46293</v>
      </c>
      <c r="K56" s="72" t="s">
        <v>1333</v>
      </c>
      <c r="L56" s="72" t="s">
        <v>1334</v>
      </c>
    </row>
    <row r="57" ht="160" customHeight="1" spans="1:12">
      <c r="A57" s="74" t="s">
        <v>1177</v>
      </c>
      <c r="B57" s="74">
        <v>2</v>
      </c>
      <c r="C57" s="74" t="s">
        <v>1335</v>
      </c>
      <c r="D57" s="74" t="s">
        <v>1178</v>
      </c>
      <c r="E57" s="75" t="s">
        <v>1336</v>
      </c>
      <c r="F57" s="75" t="s">
        <v>1337</v>
      </c>
      <c r="G57" s="44" t="s">
        <v>5</v>
      </c>
      <c r="H57" s="44" t="s">
        <v>1332</v>
      </c>
      <c r="I57" s="44" t="s">
        <v>98</v>
      </c>
      <c r="J57" s="45">
        <v>46293</v>
      </c>
      <c r="K57" s="44" t="s">
        <v>1333</v>
      </c>
      <c r="L57" s="44" t="s">
        <v>1334</v>
      </c>
    </row>
    <row r="58" ht="160" customHeight="1" spans="1:12">
      <c r="A58" s="74" t="s">
        <v>1177</v>
      </c>
      <c r="B58" s="74">
        <v>3</v>
      </c>
      <c r="C58" s="74" t="s">
        <v>1338</v>
      </c>
      <c r="D58" s="74" t="s">
        <v>1178</v>
      </c>
      <c r="E58" s="75" t="s">
        <v>1339</v>
      </c>
      <c r="F58" s="75" t="s">
        <v>1340</v>
      </c>
      <c r="G58" s="44" t="s">
        <v>5</v>
      </c>
      <c r="H58" s="44" t="s">
        <v>1332</v>
      </c>
      <c r="I58" s="44" t="s">
        <v>98</v>
      </c>
      <c r="J58" s="45">
        <v>46293</v>
      </c>
      <c r="K58" s="44" t="s">
        <v>1333</v>
      </c>
      <c r="L58" s="44" t="s">
        <v>1334</v>
      </c>
    </row>
    <row r="59" ht="160" customHeight="1" spans="1:12">
      <c r="A59" s="74" t="s">
        <v>1177</v>
      </c>
      <c r="B59" s="74">
        <v>4</v>
      </c>
      <c r="C59" s="74" t="s">
        <v>1097</v>
      </c>
      <c r="D59" s="74" t="s">
        <v>1178</v>
      </c>
      <c r="E59" s="75" t="s">
        <v>1363</v>
      </c>
      <c r="F59" s="75" t="s">
        <v>1364</v>
      </c>
      <c r="G59" s="44" t="s">
        <v>5</v>
      </c>
      <c r="H59" s="44" t="s">
        <v>1332</v>
      </c>
      <c r="I59" s="44" t="s">
        <v>98</v>
      </c>
      <c r="J59" s="45">
        <v>46293</v>
      </c>
      <c r="K59" s="44" t="s">
        <v>1333</v>
      </c>
      <c r="L59" s="44" t="s">
        <v>1334</v>
      </c>
    </row>
    <row r="60" ht="160" customHeight="1" spans="1:12">
      <c r="A60" s="74" t="s">
        <v>1177</v>
      </c>
      <c r="B60" s="74">
        <v>5</v>
      </c>
      <c r="C60" s="74" t="s">
        <v>1343</v>
      </c>
      <c r="D60" s="74" t="s">
        <v>1178</v>
      </c>
      <c r="E60" s="75" t="s">
        <v>1344</v>
      </c>
      <c r="F60" s="75" t="s">
        <v>1345</v>
      </c>
      <c r="G60" s="44" t="s">
        <v>5</v>
      </c>
      <c r="H60" s="44" t="s">
        <v>1332</v>
      </c>
      <c r="I60" s="44" t="s">
        <v>98</v>
      </c>
      <c r="J60" s="45">
        <v>46293</v>
      </c>
      <c r="K60" s="44" t="s">
        <v>1333</v>
      </c>
      <c r="L60" s="44" t="s">
        <v>1334</v>
      </c>
    </row>
    <row r="61" ht="160" customHeight="1" spans="1:12">
      <c r="A61" s="74" t="s">
        <v>1177</v>
      </c>
      <c r="B61" s="74">
        <v>6</v>
      </c>
      <c r="C61" s="74" t="s">
        <v>1346</v>
      </c>
      <c r="D61" s="74" t="s">
        <v>1178</v>
      </c>
      <c r="E61" s="75" t="s">
        <v>1347</v>
      </c>
      <c r="F61" s="75" t="s">
        <v>1348</v>
      </c>
      <c r="G61" s="44" t="s">
        <v>5</v>
      </c>
      <c r="H61" s="44" t="s">
        <v>1332</v>
      </c>
      <c r="I61" s="44" t="s">
        <v>98</v>
      </c>
      <c r="J61" s="45">
        <v>46293</v>
      </c>
      <c r="K61" s="44" t="s">
        <v>1333</v>
      </c>
      <c r="L61" s="44" t="s">
        <v>1334</v>
      </c>
    </row>
    <row r="62" ht="160" customHeight="1" spans="1:12">
      <c r="A62" s="74" t="s">
        <v>1177</v>
      </c>
      <c r="B62" s="74">
        <v>7</v>
      </c>
      <c r="C62" s="74" t="s">
        <v>1349</v>
      </c>
      <c r="D62" s="74" t="s">
        <v>1178</v>
      </c>
      <c r="E62" s="75" t="s">
        <v>1350</v>
      </c>
      <c r="F62" s="75" t="s">
        <v>1351</v>
      </c>
      <c r="G62" s="44" t="s">
        <v>5</v>
      </c>
      <c r="H62" s="44" t="s">
        <v>1332</v>
      </c>
      <c r="I62" s="44" t="s">
        <v>98</v>
      </c>
      <c r="J62" s="45">
        <v>46293</v>
      </c>
      <c r="K62" s="44" t="s">
        <v>1333</v>
      </c>
      <c r="L62" s="44" t="s">
        <v>1334</v>
      </c>
    </row>
    <row r="63" ht="160" customHeight="1" spans="1:12">
      <c r="A63" s="74" t="s">
        <v>1177</v>
      </c>
      <c r="B63" s="74">
        <v>8</v>
      </c>
      <c r="C63" s="74" t="s">
        <v>1352</v>
      </c>
      <c r="D63" s="74" t="s">
        <v>1178</v>
      </c>
      <c r="E63" s="75" t="s">
        <v>1353</v>
      </c>
      <c r="F63" s="75" t="s">
        <v>1354</v>
      </c>
      <c r="G63" s="44" t="s">
        <v>5</v>
      </c>
      <c r="H63" s="44" t="s">
        <v>1332</v>
      </c>
      <c r="I63" s="44" t="s">
        <v>98</v>
      </c>
      <c r="J63" s="45">
        <v>46293</v>
      </c>
      <c r="K63" s="44" t="s">
        <v>1333</v>
      </c>
      <c r="L63" s="44" t="s">
        <v>1334</v>
      </c>
    </row>
    <row r="64" ht="160" customHeight="1" spans="1:12">
      <c r="A64" s="74" t="s">
        <v>1177</v>
      </c>
      <c r="B64" s="74">
        <v>9</v>
      </c>
      <c r="C64" s="74" t="s">
        <v>1355</v>
      </c>
      <c r="D64" s="74" t="s">
        <v>1178</v>
      </c>
      <c r="E64" s="75" t="s">
        <v>1356</v>
      </c>
      <c r="F64" s="75" t="s">
        <v>1357</v>
      </c>
      <c r="G64" s="44" t="s">
        <v>5</v>
      </c>
      <c r="H64" s="44" t="s">
        <v>1332</v>
      </c>
      <c r="I64" s="44" t="s">
        <v>98</v>
      </c>
      <c r="J64" s="45">
        <v>46293</v>
      </c>
      <c r="K64" s="44" t="s">
        <v>1333</v>
      </c>
      <c r="L64" s="44" t="s">
        <v>1334</v>
      </c>
    </row>
    <row r="65" ht="160" customHeight="1" spans="1:12">
      <c r="A65" s="74" t="s">
        <v>1177</v>
      </c>
      <c r="B65" s="74">
        <v>10</v>
      </c>
      <c r="C65" s="74" t="s">
        <v>1358</v>
      </c>
      <c r="D65" s="74" t="s">
        <v>1178</v>
      </c>
      <c r="E65" s="75" t="s">
        <v>1359</v>
      </c>
      <c r="F65" s="75" t="s">
        <v>1360</v>
      </c>
      <c r="G65" s="44" t="s">
        <v>5</v>
      </c>
      <c r="H65" s="44" t="s">
        <v>1332</v>
      </c>
      <c r="I65" s="44" t="s">
        <v>98</v>
      </c>
      <c r="J65" s="45">
        <v>46293</v>
      </c>
      <c r="K65" s="44" t="s">
        <v>1333</v>
      </c>
      <c r="L65" s="44" t="s">
        <v>1334</v>
      </c>
    </row>
    <row r="66" ht="160" customHeight="1" spans="1:12">
      <c r="A66" s="76" t="s">
        <v>1179</v>
      </c>
      <c r="B66" s="76">
        <v>1</v>
      </c>
      <c r="C66" s="76" t="s">
        <v>1329</v>
      </c>
      <c r="D66" s="76" t="s">
        <v>1180</v>
      </c>
      <c r="E66" s="77" t="s">
        <v>1330</v>
      </c>
      <c r="F66" s="77" t="s">
        <v>1331</v>
      </c>
      <c r="G66" s="78" t="s">
        <v>5</v>
      </c>
      <c r="H66" s="78" t="s">
        <v>1332</v>
      </c>
      <c r="I66" s="78" t="s">
        <v>98</v>
      </c>
      <c r="J66" s="79">
        <v>46293</v>
      </c>
      <c r="K66" s="78" t="s">
        <v>1333</v>
      </c>
      <c r="L66" s="78" t="s">
        <v>1334</v>
      </c>
    </row>
    <row r="67" ht="160" customHeight="1" spans="1:12">
      <c r="A67" s="80" t="s">
        <v>1179</v>
      </c>
      <c r="B67" s="80">
        <v>2</v>
      </c>
      <c r="C67" s="80" t="s">
        <v>1335</v>
      </c>
      <c r="D67" s="80" t="s">
        <v>1180</v>
      </c>
      <c r="E67" s="81" t="s">
        <v>1336</v>
      </c>
      <c r="F67" s="81" t="s">
        <v>1337</v>
      </c>
      <c r="G67" s="44" t="s">
        <v>5</v>
      </c>
      <c r="H67" s="44" t="s">
        <v>1332</v>
      </c>
      <c r="I67" s="44" t="s">
        <v>98</v>
      </c>
      <c r="J67" s="45">
        <v>46293</v>
      </c>
      <c r="K67" s="44" t="s">
        <v>1333</v>
      </c>
      <c r="L67" s="44" t="s">
        <v>1334</v>
      </c>
    </row>
    <row r="68" ht="160" customHeight="1" spans="1:12">
      <c r="A68" s="80" t="s">
        <v>1179</v>
      </c>
      <c r="B68" s="80">
        <v>3</v>
      </c>
      <c r="C68" s="80" t="s">
        <v>1338</v>
      </c>
      <c r="D68" s="80" t="s">
        <v>1180</v>
      </c>
      <c r="E68" s="81" t="s">
        <v>1339</v>
      </c>
      <c r="F68" s="81" t="s">
        <v>1340</v>
      </c>
      <c r="G68" s="44" t="s">
        <v>5</v>
      </c>
      <c r="H68" s="44" t="s">
        <v>1332</v>
      </c>
      <c r="I68" s="44" t="s">
        <v>98</v>
      </c>
      <c r="J68" s="45">
        <v>46293</v>
      </c>
      <c r="K68" s="44" t="s">
        <v>1333</v>
      </c>
      <c r="L68" s="44" t="s">
        <v>1334</v>
      </c>
    </row>
    <row r="69" ht="160" customHeight="1" spans="1:12">
      <c r="A69" s="80" t="s">
        <v>1179</v>
      </c>
      <c r="B69" s="80">
        <v>4</v>
      </c>
      <c r="C69" s="80" t="s">
        <v>1097</v>
      </c>
      <c r="D69" s="80" t="s">
        <v>1180</v>
      </c>
      <c r="E69" s="81" t="s">
        <v>1363</v>
      </c>
      <c r="F69" s="81" t="s">
        <v>1364</v>
      </c>
      <c r="G69" s="44" t="s">
        <v>5</v>
      </c>
      <c r="H69" s="44" t="s">
        <v>1332</v>
      </c>
      <c r="I69" s="44" t="s">
        <v>98</v>
      </c>
      <c r="J69" s="45">
        <v>46293</v>
      </c>
      <c r="K69" s="44" t="s">
        <v>1333</v>
      </c>
      <c r="L69" s="44" t="s">
        <v>1334</v>
      </c>
    </row>
    <row r="70" ht="160" customHeight="1" spans="1:12">
      <c r="A70" s="80" t="s">
        <v>1179</v>
      </c>
      <c r="B70" s="80">
        <v>5</v>
      </c>
      <c r="C70" s="80" t="s">
        <v>1343</v>
      </c>
      <c r="D70" s="80" t="s">
        <v>1180</v>
      </c>
      <c r="E70" s="81" t="s">
        <v>1344</v>
      </c>
      <c r="F70" s="81" t="s">
        <v>1345</v>
      </c>
      <c r="G70" s="44" t="s">
        <v>5</v>
      </c>
      <c r="H70" s="44" t="s">
        <v>1332</v>
      </c>
      <c r="I70" s="44" t="s">
        <v>98</v>
      </c>
      <c r="J70" s="45">
        <v>46293</v>
      </c>
      <c r="K70" s="44" t="s">
        <v>1333</v>
      </c>
      <c r="L70" s="44" t="s">
        <v>1334</v>
      </c>
    </row>
    <row r="71" ht="160" customHeight="1" spans="1:12">
      <c r="A71" s="80" t="s">
        <v>1179</v>
      </c>
      <c r="B71" s="80">
        <v>6</v>
      </c>
      <c r="C71" s="80" t="s">
        <v>1346</v>
      </c>
      <c r="D71" s="80" t="s">
        <v>1180</v>
      </c>
      <c r="E71" s="81" t="s">
        <v>1361</v>
      </c>
      <c r="F71" s="81" t="s">
        <v>1362</v>
      </c>
      <c r="G71" s="44" t="s">
        <v>5</v>
      </c>
      <c r="H71" s="44" t="s">
        <v>1332</v>
      </c>
      <c r="I71" s="44" t="s">
        <v>98</v>
      </c>
      <c r="J71" s="45">
        <v>46293</v>
      </c>
      <c r="K71" s="44" t="s">
        <v>1333</v>
      </c>
      <c r="L71" s="44" t="s">
        <v>1334</v>
      </c>
    </row>
    <row r="72" ht="160" customHeight="1" spans="1:12">
      <c r="A72" s="80" t="s">
        <v>1179</v>
      </c>
      <c r="B72" s="80">
        <v>7</v>
      </c>
      <c r="C72" s="80" t="s">
        <v>1349</v>
      </c>
      <c r="D72" s="80" t="s">
        <v>1180</v>
      </c>
      <c r="E72" s="81" t="s">
        <v>1350</v>
      </c>
      <c r="F72" s="81" t="s">
        <v>1351</v>
      </c>
      <c r="G72" s="44" t="s">
        <v>5</v>
      </c>
      <c r="H72" s="44" t="s">
        <v>1332</v>
      </c>
      <c r="I72" s="44" t="s">
        <v>98</v>
      </c>
      <c r="J72" s="45">
        <v>46293</v>
      </c>
      <c r="K72" s="44" t="s">
        <v>1333</v>
      </c>
      <c r="L72" s="44" t="s">
        <v>1334</v>
      </c>
    </row>
    <row r="73" ht="160" customHeight="1" spans="1:12">
      <c r="A73" s="80" t="s">
        <v>1179</v>
      </c>
      <c r="B73" s="80">
        <v>8</v>
      </c>
      <c r="C73" s="80" t="s">
        <v>1352</v>
      </c>
      <c r="D73" s="80" t="s">
        <v>1180</v>
      </c>
      <c r="E73" s="81" t="s">
        <v>1353</v>
      </c>
      <c r="F73" s="81" t="s">
        <v>1354</v>
      </c>
      <c r="G73" s="44" t="s">
        <v>5</v>
      </c>
      <c r="H73" s="44" t="s">
        <v>1332</v>
      </c>
      <c r="I73" s="44" t="s">
        <v>98</v>
      </c>
      <c r="J73" s="45">
        <v>46293</v>
      </c>
      <c r="K73" s="44" t="s">
        <v>1333</v>
      </c>
      <c r="L73" s="44" t="s">
        <v>1334</v>
      </c>
    </row>
    <row r="74" ht="160" customHeight="1" spans="1:12">
      <c r="A74" s="80" t="s">
        <v>1179</v>
      </c>
      <c r="B74" s="80">
        <v>9</v>
      </c>
      <c r="C74" s="80" t="s">
        <v>1355</v>
      </c>
      <c r="D74" s="80" t="s">
        <v>1180</v>
      </c>
      <c r="E74" s="81" t="s">
        <v>1356</v>
      </c>
      <c r="F74" s="81" t="s">
        <v>1357</v>
      </c>
      <c r="G74" s="44" t="s">
        <v>5</v>
      </c>
      <c r="H74" s="44" t="s">
        <v>1332</v>
      </c>
      <c r="I74" s="44" t="s">
        <v>98</v>
      </c>
      <c r="J74" s="45">
        <v>46293</v>
      </c>
      <c r="K74" s="44" t="s">
        <v>1333</v>
      </c>
      <c r="L74" s="44" t="s">
        <v>1334</v>
      </c>
    </row>
    <row r="75" ht="160" customHeight="1" spans="1:12">
      <c r="A75" s="80" t="s">
        <v>1179</v>
      </c>
      <c r="B75" s="80">
        <v>10</v>
      </c>
      <c r="C75" s="80" t="s">
        <v>1358</v>
      </c>
      <c r="D75" s="80" t="s">
        <v>1180</v>
      </c>
      <c r="E75" s="81" t="s">
        <v>1359</v>
      </c>
      <c r="F75" s="81" t="s">
        <v>1360</v>
      </c>
      <c r="G75" s="44" t="s">
        <v>5</v>
      </c>
      <c r="H75" s="44" t="s">
        <v>1332</v>
      </c>
      <c r="I75" s="44" t="s">
        <v>98</v>
      </c>
      <c r="J75" s="45">
        <v>46293</v>
      </c>
      <c r="K75" s="44" t="s">
        <v>1333</v>
      </c>
      <c r="L75" s="44" t="s">
        <v>1334</v>
      </c>
    </row>
    <row r="76" ht="160" customHeight="1" spans="1:12">
      <c r="A76" s="82" t="s">
        <v>1181</v>
      </c>
      <c r="B76" s="82">
        <v>1</v>
      </c>
      <c r="C76" s="82" t="s">
        <v>1329</v>
      </c>
      <c r="D76" s="82" t="s">
        <v>1182</v>
      </c>
      <c r="E76" s="83" t="s">
        <v>1330</v>
      </c>
      <c r="F76" s="83" t="s">
        <v>1331</v>
      </c>
      <c r="G76" s="84" t="s">
        <v>5</v>
      </c>
      <c r="H76" s="84" t="s">
        <v>1332</v>
      </c>
      <c r="I76" s="84" t="s">
        <v>98</v>
      </c>
      <c r="J76" s="85">
        <v>46293</v>
      </c>
      <c r="K76" s="84" t="s">
        <v>1333</v>
      </c>
      <c r="L76" s="84" t="s">
        <v>1334</v>
      </c>
    </row>
    <row r="77" ht="160" customHeight="1" spans="1:12">
      <c r="A77" s="86" t="s">
        <v>1181</v>
      </c>
      <c r="B77" s="86">
        <v>2</v>
      </c>
      <c r="C77" s="86" t="s">
        <v>1335</v>
      </c>
      <c r="D77" s="86" t="s">
        <v>1182</v>
      </c>
      <c r="E77" s="87" t="s">
        <v>1336</v>
      </c>
      <c r="F77" s="87" t="s">
        <v>1337</v>
      </c>
      <c r="G77" s="44" t="s">
        <v>5</v>
      </c>
      <c r="H77" s="44" t="s">
        <v>1332</v>
      </c>
      <c r="I77" s="44" t="s">
        <v>98</v>
      </c>
      <c r="J77" s="45">
        <v>46293</v>
      </c>
      <c r="K77" s="44" t="s">
        <v>1333</v>
      </c>
      <c r="L77" s="44" t="s">
        <v>1334</v>
      </c>
    </row>
    <row r="78" ht="160" customHeight="1" spans="1:12">
      <c r="A78" s="86" t="s">
        <v>1181</v>
      </c>
      <c r="B78" s="86">
        <v>3</v>
      </c>
      <c r="C78" s="86" t="s">
        <v>1338</v>
      </c>
      <c r="D78" s="86" t="s">
        <v>1182</v>
      </c>
      <c r="E78" s="87" t="s">
        <v>1339</v>
      </c>
      <c r="F78" s="87" t="s">
        <v>1340</v>
      </c>
      <c r="G78" s="44" t="s">
        <v>5</v>
      </c>
      <c r="H78" s="44" t="s">
        <v>1332</v>
      </c>
      <c r="I78" s="44" t="s">
        <v>98</v>
      </c>
      <c r="J78" s="45">
        <v>46293</v>
      </c>
      <c r="K78" s="44" t="s">
        <v>1333</v>
      </c>
      <c r="L78" s="44" t="s">
        <v>1334</v>
      </c>
    </row>
    <row r="79" ht="160" customHeight="1" spans="1:12">
      <c r="A79" s="86" t="s">
        <v>1181</v>
      </c>
      <c r="B79" s="86">
        <v>4</v>
      </c>
      <c r="C79" s="86" t="s">
        <v>1097</v>
      </c>
      <c r="D79" s="86" t="s">
        <v>1182</v>
      </c>
      <c r="E79" s="87" t="s">
        <v>1363</v>
      </c>
      <c r="F79" s="87" t="s">
        <v>1364</v>
      </c>
      <c r="G79" s="44" t="s">
        <v>5</v>
      </c>
      <c r="H79" s="44" t="s">
        <v>1332</v>
      </c>
      <c r="I79" s="44" t="s">
        <v>98</v>
      </c>
      <c r="J79" s="45">
        <v>46293</v>
      </c>
      <c r="K79" s="44" t="s">
        <v>1333</v>
      </c>
      <c r="L79" s="44" t="s">
        <v>1334</v>
      </c>
    </row>
    <row r="80" ht="160" customHeight="1" spans="1:12">
      <c r="A80" s="86" t="s">
        <v>1181</v>
      </c>
      <c r="B80" s="86">
        <v>5</v>
      </c>
      <c r="C80" s="86" t="s">
        <v>1343</v>
      </c>
      <c r="D80" s="86" t="s">
        <v>1182</v>
      </c>
      <c r="E80" s="87" t="s">
        <v>1344</v>
      </c>
      <c r="F80" s="87" t="s">
        <v>1345</v>
      </c>
      <c r="G80" s="44" t="s">
        <v>5</v>
      </c>
      <c r="H80" s="44" t="s">
        <v>1332</v>
      </c>
      <c r="I80" s="44" t="s">
        <v>98</v>
      </c>
      <c r="J80" s="45">
        <v>46293</v>
      </c>
      <c r="K80" s="44" t="s">
        <v>1333</v>
      </c>
      <c r="L80" s="44" t="s">
        <v>1334</v>
      </c>
    </row>
    <row r="81" ht="160" customHeight="1" spans="1:12">
      <c r="A81" s="86" t="s">
        <v>1181</v>
      </c>
      <c r="B81" s="86">
        <v>6</v>
      </c>
      <c r="C81" s="86" t="s">
        <v>1346</v>
      </c>
      <c r="D81" s="86" t="s">
        <v>1182</v>
      </c>
      <c r="E81" s="87" t="s">
        <v>1361</v>
      </c>
      <c r="F81" s="87" t="s">
        <v>1362</v>
      </c>
      <c r="G81" s="44" t="s">
        <v>5</v>
      </c>
      <c r="H81" s="44" t="s">
        <v>1332</v>
      </c>
      <c r="I81" s="44" t="s">
        <v>98</v>
      </c>
      <c r="J81" s="45">
        <v>46293</v>
      </c>
      <c r="K81" s="44" t="s">
        <v>1333</v>
      </c>
      <c r="L81" s="44" t="s">
        <v>1334</v>
      </c>
    </row>
    <row r="82" ht="160" customHeight="1" spans="1:12">
      <c r="A82" s="86" t="s">
        <v>1181</v>
      </c>
      <c r="B82" s="86">
        <v>7</v>
      </c>
      <c r="C82" s="86" t="s">
        <v>1349</v>
      </c>
      <c r="D82" s="86" t="s">
        <v>1182</v>
      </c>
      <c r="E82" s="87" t="s">
        <v>1350</v>
      </c>
      <c r="F82" s="87" t="s">
        <v>1351</v>
      </c>
      <c r="G82" s="44" t="s">
        <v>5</v>
      </c>
      <c r="H82" s="44" t="s">
        <v>1332</v>
      </c>
      <c r="I82" s="44" t="s">
        <v>98</v>
      </c>
      <c r="J82" s="45">
        <v>46293</v>
      </c>
      <c r="K82" s="44" t="s">
        <v>1333</v>
      </c>
      <c r="L82" s="44" t="s">
        <v>1334</v>
      </c>
    </row>
    <row r="83" ht="160" customHeight="1" spans="1:12">
      <c r="A83" s="86" t="s">
        <v>1181</v>
      </c>
      <c r="B83" s="86">
        <v>8</v>
      </c>
      <c r="C83" s="86" t="s">
        <v>1352</v>
      </c>
      <c r="D83" s="86" t="s">
        <v>1182</v>
      </c>
      <c r="E83" s="87" t="s">
        <v>1353</v>
      </c>
      <c r="F83" s="87" t="s">
        <v>1354</v>
      </c>
      <c r="G83" s="44" t="s">
        <v>5</v>
      </c>
      <c r="H83" s="44" t="s">
        <v>1332</v>
      </c>
      <c r="I83" s="44" t="s">
        <v>98</v>
      </c>
      <c r="J83" s="45">
        <v>46293</v>
      </c>
      <c r="K83" s="44" t="s">
        <v>1333</v>
      </c>
      <c r="L83" s="44" t="s">
        <v>1334</v>
      </c>
    </row>
    <row r="84" ht="160" customHeight="1" spans="1:12">
      <c r="A84" s="86" t="s">
        <v>1181</v>
      </c>
      <c r="B84" s="86">
        <v>9</v>
      </c>
      <c r="C84" s="86" t="s">
        <v>1355</v>
      </c>
      <c r="D84" s="86" t="s">
        <v>1182</v>
      </c>
      <c r="E84" s="87" t="s">
        <v>1356</v>
      </c>
      <c r="F84" s="87" t="s">
        <v>1357</v>
      </c>
      <c r="G84" s="44" t="s">
        <v>5</v>
      </c>
      <c r="H84" s="44" t="s">
        <v>1332</v>
      </c>
      <c r="I84" s="44" t="s">
        <v>98</v>
      </c>
      <c r="J84" s="45">
        <v>46293</v>
      </c>
      <c r="K84" s="44" t="s">
        <v>1333</v>
      </c>
      <c r="L84" s="44" t="s">
        <v>1334</v>
      </c>
    </row>
    <row r="85" ht="160" customHeight="1" spans="1:12">
      <c r="A85" s="86" t="s">
        <v>1181</v>
      </c>
      <c r="B85" s="86">
        <v>10</v>
      </c>
      <c r="C85" s="86" t="s">
        <v>1358</v>
      </c>
      <c r="D85" s="86" t="s">
        <v>1182</v>
      </c>
      <c r="E85" s="87" t="s">
        <v>1359</v>
      </c>
      <c r="F85" s="87" t="s">
        <v>1360</v>
      </c>
      <c r="G85" s="44" t="s">
        <v>5</v>
      </c>
      <c r="H85" s="44" t="s">
        <v>1332</v>
      </c>
      <c r="I85" s="44" t="s">
        <v>98</v>
      </c>
      <c r="J85" s="45">
        <v>46293</v>
      </c>
      <c r="K85" s="44" t="s">
        <v>1333</v>
      </c>
      <c r="L85" s="44" t="s">
        <v>1334</v>
      </c>
    </row>
    <row r="86" ht="160" customHeight="1" spans="1:12">
      <c r="A86" s="38" t="s">
        <v>1183</v>
      </c>
      <c r="B86" s="38">
        <v>1</v>
      </c>
      <c r="C86" s="38" t="s">
        <v>1329</v>
      </c>
      <c r="D86" s="38" t="s">
        <v>1184</v>
      </c>
      <c r="E86" s="39" t="s">
        <v>1365</v>
      </c>
      <c r="F86" s="39" t="s">
        <v>1366</v>
      </c>
      <c r="G86" s="40" t="s">
        <v>5</v>
      </c>
      <c r="H86" s="40" t="s">
        <v>1332</v>
      </c>
      <c r="I86" s="40" t="s">
        <v>98</v>
      </c>
      <c r="J86" s="41">
        <v>46293</v>
      </c>
      <c r="K86" s="40" t="s">
        <v>1333</v>
      </c>
      <c r="L86" s="40" t="s">
        <v>1334</v>
      </c>
    </row>
    <row r="87" ht="160" customHeight="1" spans="1:12">
      <c r="A87" s="42" t="s">
        <v>1183</v>
      </c>
      <c r="B87" s="42">
        <v>2</v>
      </c>
      <c r="C87" s="42" t="s">
        <v>1335</v>
      </c>
      <c r="D87" s="42" t="s">
        <v>1184</v>
      </c>
      <c r="E87" s="43" t="s">
        <v>1336</v>
      </c>
      <c r="F87" s="43" t="s">
        <v>1337</v>
      </c>
      <c r="G87" s="44" t="s">
        <v>5</v>
      </c>
      <c r="H87" s="44" t="s">
        <v>1332</v>
      </c>
      <c r="I87" s="44" t="s">
        <v>98</v>
      </c>
      <c r="J87" s="45">
        <v>46293</v>
      </c>
      <c r="K87" s="44" t="s">
        <v>1333</v>
      </c>
      <c r="L87" s="44" t="s">
        <v>1334</v>
      </c>
    </row>
    <row r="88" ht="160" customHeight="1" spans="1:12">
      <c r="A88" s="42" t="s">
        <v>1183</v>
      </c>
      <c r="B88" s="42">
        <v>3</v>
      </c>
      <c r="C88" s="42" t="s">
        <v>1338</v>
      </c>
      <c r="D88" s="42" t="s">
        <v>1184</v>
      </c>
      <c r="E88" s="43" t="s">
        <v>1339</v>
      </c>
      <c r="F88" s="43" t="s">
        <v>1367</v>
      </c>
      <c r="G88" s="44" t="s">
        <v>5</v>
      </c>
      <c r="H88" s="44" t="s">
        <v>1332</v>
      </c>
      <c r="I88" s="44" t="s">
        <v>98</v>
      </c>
      <c r="J88" s="45">
        <v>46293</v>
      </c>
      <c r="K88" s="44" t="s">
        <v>1333</v>
      </c>
      <c r="L88" s="44" t="s">
        <v>1334</v>
      </c>
    </row>
    <row r="89" ht="160" customHeight="1" spans="1:12">
      <c r="A89" s="42" t="s">
        <v>1183</v>
      </c>
      <c r="B89" s="42">
        <v>4</v>
      </c>
      <c r="C89" s="42" t="s">
        <v>1368</v>
      </c>
      <c r="D89" s="42" t="s">
        <v>1184</v>
      </c>
      <c r="E89" s="43" t="s">
        <v>1369</v>
      </c>
      <c r="F89" s="43" t="s">
        <v>1370</v>
      </c>
      <c r="G89" s="44" t="s">
        <v>5</v>
      </c>
      <c r="H89" s="44" t="s">
        <v>1332</v>
      </c>
      <c r="I89" s="44" t="s">
        <v>98</v>
      </c>
      <c r="J89" s="45">
        <v>46293</v>
      </c>
      <c r="K89" s="44" t="s">
        <v>1333</v>
      </c>
      <c r="L89" s="44" t="s">
        <v>1334</v>
      </c>
    </row>
    <row r="90" ht="160" customHeight="1" spans="1:12">
      <c r="A90" s="42" t="s">
        <v>1183</v>
      </c>
      <c r="B90" s="42">
        <v>5</v>
      </c>
      <c r="C90" s="42" t="s">
        <v>1371</v>
      </c>
      <c r="D90" s="42" t="s">
        <v>1184</v>
      </c>
      <c r="E90" s="43" t="s">
        <v>1372</v>
      </c>
      <c r="F90" s="43" t="s">
        <v>1373</v>
      </c>
      <c r="G90" s="44" t="s">
        <v>5</v>
      </c>
      <c r="H90" s="44" t="s">
        <v>1332</v>
      </c>
      <c r="I90" s="44" t="s">
        <v>98</v>
      </c>
      <c r="J90" s="45">
        <v>46293</v>
      </c>
      <c r="K90" s="44" t="s">
        <v>1333</v>
      </c>
      <c r="L90" s="44" t="s">
        <v>1334</v>
      </c>
    </row>
    <row r="91" ht="160" customHeight="1" spans="1:12">
      <c r="A91" s="42" t="s">
        <v>1183</v>
      </c>
      <c r="B91" s="42">
        <v>6</v>
      </c>
      <c r="C91" s="42" t="s">
        <v>1374</v>
      </c>
      <c r="D91" s="42" t="s">
        <v>1184</v>
      </c>
      <c r="E91" s="43" t="s">
        <v>1375</v>
      </c>
      <c r="F91" s="43" t="s">
        <v>1376</v>
      </c>
      <c r="G91" s="44" t="s">
        <v>5</v>
      </c>
      <c r="H91" s="44" t="s">
        <v>1332</v>
      </c>
      <c r="I91" s="44" t="s">
        <v>98</v>
      </c>
      <c r="J91" s="45">
        <v>46293</v>
      </c>
      <c r="K91" s="44" t="s">
        <v>1333</v>
      </c>
      <c r="L91" s="44" t="s">
        <v>1334</v>
      </c>
    </row>
    <row r="92" ht="160" customHeight="1" spans="1:12">
      <c r="A92" s="42" t="s">
        <v>1183</v>
      </c>
      <c r="B92" s="42">
        <v>7</v>
      </c>
      <c r="C92" s="42" t="s">
        <v>1377</v>
      </c>
      <c r="D92" s="42" t="s">
        <v>1184</v>
      </c>
      <c r="E92" s="43" t="s">
        <v>1378</v>
      </c>
      <c r="F92" s="43" t="s">
        <v>1379</v>
      </c>
      <c r="G92" s="44" t="s">
        <v>5</v>
      </c>
      <c r="H92" s="44" t="s">
        <v>1332</v>
      </c>
      <c r="I92" s="44" t="s">
        <v>98</v>
      </c>
      <c r="J92" s="45">
        <v>46293</v>
      </c>
      <c r="K92" s="44" t="s">
        <v>1333</v>
      </c>
      <c r="L92" s="44" t="s">
        <v>1334</v>
      </c>
    </row>
    <row r="93" ht="160" customHeight="1" spans="1:12">
      <c r="A93" s="42" t="s">
        <v>1183</v>
      </c>
      <c r="B93" s="42">
        <v>8</v>
      </c>
      <c r="C93" s="42" t="s">
        <v>1380</v>
      </c>
      <c r="D93" s="42" t="s">
        <v>1184</v>
      </c>
      <c r="E93" s="43" t="s">
        <v>1381</v>
      </c>
      <c r="F93" s="43" t="s">
        <v>1382</v>
      </c>
      <c r="G93" s="44" t="s">
        <v>5</v>
      </c>
      <c r="H93" s="44" t="s">
        <v>1332</v>
      </c>
      <c r="I93" s="44" t="s">
        <v>98</v>
      </c>
      <c r="J93" s="45">
        <v>46293</v>
      </c>
      <c r="K93" s="44" t="s">
        <v>1333</v>
      </c>
      <c r="L93" s="44" t="s">
        <v>1334</v>
      </c>
    </row>
    <row r="94" ht="160" customHeight="1" spans="1:12">
      <c r="A94" s="42" t="s">
        <v>1183</v>
      </c>
      <c r="B94" s="42">
        <v>9</v>
      </c>
      <c r="C94" s="42" t="s">
        <v>1355</v>
      </c>
      <c r="D94" s="42" t="s">
        <v>1184</v>
      </c>
      <c r="E94" s="43" t="s">
        <v>1356</v>
      </c>
      <c r="F94" s="43" t="s">
        <v>1357</v>
      </c>
      <c r="G94" s="44" t="s">
        <v>5</v>
      </c>
      <c r="H94" s="44" t="s">
        <v>1332</v>
      </c>
      <c r="I94" s="44" t="s">
        <v>98</v>
      </c>
      <c r="J94" s="45">
        <v>46293</v>
      </c>
      <c r="K94" s="44" t="s">
        <v>1333</v>
      </c>
      <c r="L94" s="44" t="s">
        <v>1334</v>
      </c>
    </row>
    <row r="95" ht="160" customHeight="1" spans="1:12">
      <c r="A95" s="42" t="s">
        <v>1183</v>
      </c>
      <c r="B95" s="42">
        <v>10</v>
      </c>
      <c r="C95" s="42" t="s">
        <v>1358</v>
      </c>
      <c r="D95" s="42" t="s">
        <v>1184</v>
      </c>
      <c r="E95" s="43" t="s">
        <v>1359</v>
      </c>
      <c r="F95" s="43" t="s">
        <v>1360</v>
      </c>
      <c r="G95" s="44" t="s">
        <v>5</v>
      </c>
      <c r="H95" s="44" t="s">
        <v>1332</v>
      </c>
      <c r="I95" s="44" t="s">
        <v>98</v>
      </c>
      <c r="J95" s="45">
        <v>46293</v>
      </c>
      <c r="K95" s="44" t="s">
        <v>1333</v>
      </c>
      <c r="L95" s="44" t="s">
        <v>1334</v>
      </c>
    </row>
    <row r="96" ht="160" customHeight="1" spans="1:12">
      <c r="A96" s="46" t="s">
        <v>1187</v>
      </c>
      <c r="B96" s="46">
        <v>1</v>
      </c>
      <c r="C96" s="46" t="s">
        <v>1329</v>
      </c>
      <c r="D96" s="46" t="s">
        <v>1188</v>
      </c>
      <c r="E96" s="47" t="s">
        <v>1383</v>
      </c>
      <c r="F96" s="47" t="s">
        <v>1384</v>
      </c>
      <c r="G96" s="48" t="s">
        <v>5</v>
      </c>
      <c r="H96" s="48" t="s">
        <v>1385</v>
      </c>
      <c r="I96" s="48" t="s">
        <v>98</v>
      </c>
      <c r="J96" s="49">
        <v>46293</v>
      </c>
      <c r="K96" s="48" t="s">
        <v>1386</v>
      </c>
      <c r="L96" s="48" t="s">
        <v>1334</v>
      </c>
    </row>
    <row r="97" ht="160" customHeight="1" spans="1:12">
      <c r="A97" s="50" t="s">
        <v>1187</v>
      </c>
      <c r="B97" s="50">
        <v>2</v>
      </c>
      <c r="C97" s="50" t="s">
        <v>1335</v>
      </c>
      <c r="D97" s="50" t="s">
        <v>1188</v>
      </c>
      <c r="E97" s="51" t="s">
        <v>1336</v>
      </c>
      <c r="F97" s="51" t="s">
        <v>1337</v>
      </c>
      <c r="G97" s="44" t="s">
        <v>5</v>
      </c>
      <c r="H97" s="44" t="s">
        <v>1385</v>
      </c>
      <c r="I97" s="44" t="s">
        <v>98</v>
      </c>
      <c r="J97" s="45">
        <v>46293</v>
      </c>
      <c r="K97" s="44" t="s">
        <v>1386</v>
      </c>
      <c r="L97" s="44" t="s">
        <v>1334</v>
      </c>
    </row>
    <row r="98" ht="160" customHeight="1" spans="1:12">
      <c r="A98" s="50" t="s">
        <v>1187</v>
      </c>
      <c r="B98" s="50">
        <v>3</v>
      </c>
      <c r="C98" s="50" t="s">
        <v>1338</v>
      </c>
      <c r="D98" s="50" t="s">
        <v>1188</v>
      </c>
      <c r="E98" s="51" t="s">
        <v>1339</v>
      </c>
      <c r="F98" s="51" t="s">
        <v>1340</v>
      </c>
      <c r="G98" s="44" t="s">
        <v>5</v>
      </c>
      <c r="H98" s="44" t="s">
        <v>1385</v>
      </c>
      <c r="I98" s="44" t="s">
        <v>98</v>
      </c>
      <c r="J98" s="45">
        <v>46293</v>
      </c>
      <c r="K98" s="44" t="s">
        <v>1386</v>
      </c>
      <c r="L98" s="44" t="s">
        <v>1334</v>
      </c>
    </row>
    <row r="99" ht="160" customHeight="1" spans="1:12">
      <c r="A99" s="50" t="s">
        <v>1187</v>
      </c>
      <c r="B99" s="50">
        <v>4</v>
      </c>
      <c r="C99" s="50" t="s">
        <v>1387</v>
      </c>
      <c r="D99" s="50" t="s">
        <v>1188</v>
      </c>
      <c r="E99" s="51" t="s">
        <v>1388</v>
      </c>
      <c r="F99" s="51" t="s">
        <v>1389</v>
      </c>
      <c r="G99" s="44" t="s">
        <v>5</v>
      </c>
      <c r="H99" s="44" t="s">
        <v>1385</v>
      </c>
      <c r="I99" s="44" t="s">
        <v>98</v>
      </c>
      <c r="J99" s="45">
        <v>46293</v>
      </c>
      <c r="K99" s="44" t="s">
        <v>1386</v>
      </c>
      <c r="L99" s="44" t="s">
        <v>1334</v>
      </c>
    </row>
    <row r="100" ht="160" customHeight="1" spans="1:12">
      <c r="A100" s="50" t="s">
        <v>1187</v>
      </c>
      <c r="B100" s="50">
        <v>5</v>
      </c>
      <c r="C100" s="50" t="s">
        <v>1390</v>
      </c>
      <c r="D100" s="50" t="s">
        <v>1188</v>
      </c>
      <c r="E100" s="51" t="s">
        <v>1391</v>
      </c>
      <c r="F100" s="51" t="s">
        <v>1392</v>
      </c>
      <c r="G100" s="44" t="s">
        <v>5</v>
      </c>
      <c r="H100" s="44" t="s">
        <v>1385</v>
      </c>
      <c r="I100" s="44" t="s">
        <v>98</v>
      </c>
      <c r="J100" s="45">
        <v>46293</v>
      </c>
      <c r="K100" s="44" t="s">
        <v>1386</v>
      </c>
      <c r="L100" s="44" t="s">
        <v>1334</v>
      </c>
    </row>
    <row r="101" ht="160" customHeight="1" spans="1:12">
      <c r="A101" s="50" t="s">
        <v>1187</v>
      </c>
      <c r="B101" s="50">
        <v>6</v>
      </c>
      <c r="C101" s="50" t="s">
        <v>1374</v>
      </c>
      <c r="D101" s="50" t="s">
        <v>1188</v>
      </c>
      <c r="E101" s="51" t="s">
        <v>1375</v>
      </c>
      <c r="F101" s="51" t="s">
        <v>1393</v>
      </c>
      <c r="G101" s="44" t="s">
        <v>5</v>
      </c>
      <c r="H101" s="44" t="s">
        <v>1385</v>
      </c>
      <c r="I101" s="44" t="s">
        <v>98</v>
      </c>
      <c r="J101" s="45">
        <v>46293</v>
      </c>
      <c r="K101" s="44" t="s">
        <v>1386</v>
      </c>
      <c r="L101" s="44" t="s">
        <v>1334</v>
      </c>
    </row>
    <row r="102" ht="160" customHeight="1" spans="1:12">
      <c r="A102" s="50" t="s">
        <v>1187</v>
      </c>
      <c r="B102" s="50">
        <v>7</v>
      </c>
      <c r="C102" s="50" t="s">
        <v>1377</v>
      </c>
      <c r="D102" s="50" t="s">
        <v>1188</v>
      </c>
      <c r="E102" s="51" t="s">
        <v>1378</v>
      </c>
      <c r="F102" s="51" t="s">
        <v>1379</v>
      </c>
      <c r="G102" s="44" t="s">
        <v>5</v>
      </c>
      <c r="H102" s="44" t="s">
        <v>1385</v>
      </c>
      <c r="I102" s="44" t="s">
        <v>98</v>
      </c>
      <c r="J102" s="45">
        <v>46293</v>
      </c>
      <c r="K102" s="44" t="s">
        <v>1386</v>
      </c>
      <c r="L102" s="44" t="s">
        <v>1334</v>
      </c>
    </row>
    <row r="103" ht="160" customHeight="1" spans="1:12">
      <c r="A103" s="50" t="s">
        <v>1187</v>
      </c>
      <c r="B103" s="50">
        <v>8</v>
      </c>
      <c r="C103" s="50" t="s">
        <v>1380</v>
      </c>
      <c r="D103" s="50" t="s">
        <v>1188</v>
      </c>
      <c r="E103" s="51" t="s">
        <v>1381</v>
      </c>
      <c r="F103" s="51" t="s">
        <v>1382</v>
      </c>
      <c r="G103" s="44" t="s">
        <v>5</v>
      </c>
      <c r="H103" s="44" t="s">
        <v>1385</v>
      </c>
      <c r="I103" s="44" t="s">
        <v>98</v>
      </c>
      <c r="J103" s="45">
        <v>46293</v>
      </c>
      <c r="K103" s="44" t="s">
        <v>1386</v>
      </c>
      <c r="L103" s="44" t="s">
        <v>1334</v>
      </c>
    </row>
    <row r="104" ht="160" customHeight="1" spans="1:12">
      <c r="A104" s="50" t="s">
        <v>1187</v>
      </c>
      <c r="B104" s="50">
        <v>9</v>
      </c>
      <c r="C104" s="50" t="s">
        <v>1355</v>
      </c>
      <c r="D104" s="50" t="s">
        <v>1188</v>
      </c>
      <c r="E104" s="51" t="s">
        <v>1356</v>
      </c>
      <c r="F104" s="51" t="s">
        <v>1357</v>
      </c>
      <c r="G104" s="44" t="s">
        <v>5</v>
      </c>
      <c r="H104" s="44" t="s">
        <v>1385</v>
      </c>
      <c r="I104" s="44" t="s">
        <v>98</v>
      </c>
      <c r="J104" s="45">
        <v>46293</v>
      </c>
      <c r="K104" s="44" t="s">
        <v>1386</v>
      </c>
      <c r="L104" s="44" t="s">
        <v>1334</v>
      </c>
    </row>
    <row r="105" ht="160" customHeight="1" spans="1:12">
      <c r="A105" s="50" t="s">
        <v>1187</v>
      </c>
      <c r="B105" s="50">
        <v>10</v>
      </c>
      <c r="C105" s="50" t="s">
        <v>1358</v>
      </c>
      <c r="D105" s="50" t="s">
        <v>1188</v>
      </c>
      <c r="E105" s="51" t="s">
        <v>1359</v>
      </c>
      <c r="F105" s="51" t="s">
        <v>1360</v>
      </c>
      <c r="G105" s="44" t="s">
        <v>5</v>
      </c>
      <c r="H105" s="44" t="s">
        <v>1385</v>
      </c>
      <c r="I105" s="44" t="s">
        <v>98</v>
      </c>
      <c r="J105" s="45">
        <v>46293</v>
      </c>
      <c r="K105" s="44" t="s">
        <v>1386</v>
      </c>
      <c r="L105" s="44" t="s">
        <v>1334</v>
      </c>
    </row>
    <row r="106" ht="160" customHeight="1" spans="1:12">
      <c r="A106" s="52" t="s">
        <v>1192</v>
      </c>
      <c r="B106" s="52">
        <v>1</v>
      </c>
      <c r="C106" s="52" t="s">
        <v>1329</v>
      </c>
      <c r="D106" s="52" t="s">
        <v>1193</v>
      </c>
      <c r="E106" s="53" t="s">
        <v>1365</v>
      </c>
      <c r="F106" s="53" t="s">
        <v>1394</v>
      </c>
      <c r="G106" s="54" t="s">
        <v>5</v>
      </c>
      <c r="H106" s="54" t="s">
        <v>1332</v>
      </c>
      <c r="I106" s="54" t="s">
        <v>98</v>
      </c>
      <c r="J106" s="55">
        <v>46293</v>
      </c>
      <c r="K106" s="54" t="s">
        <v>1333</v>
      </c>
      <c r="L106" s="54" t="s">
        <v>1334</v>
      </c>
    </row>
    <row r="107" ht="160" customHeight="1" spans="1:12">
      <c r="A107" s="56" t="s">
        <v>1192</v>
      </c>
      <c r="B107" s="56">
        <v>2</v>
      </c>
      <c r="C107" s="56" t="s">
        <v>1335</v>
      </c>
      <c r="D107" s="56" t="s">
        <v>1193</v>
      </c>
      <c r="E107" s="57" t="s">
        <v>1336</v>
      </c>
      <c r="F107" s="57" t="s">
        <v>1337</v>
      </c>
      <c r="G107" s="44" t="s">
        <v>5</v>
      </c>
      <c r="H107" s="44" t="s">
        <v>1332</v>
      </c>
      <c r="I107" s="44" t="s">
        <v>98</v>
      </c>
      <c r="J107" s="45">
        <v>46293</v>
      </c>
      <c r="K107" s="44" t="s">
        <v>1333</v>
      </c>
      <c r="L107" s="44" t="s">
        <v>1334</v>
      </c>
    </row>
    <row r="108" ht="160" customHeight="1" spans="1:12">
      <c r="A108" s="56" t="s">
        <v>1192</v>
      </c>
      <c r="B108" s="56">
        <v>3</v>
      </c>
      <c r="C108" s="56" t="s">
        <v>1338</v>
      </c>
      <c r="D108" s="56" t="s">
        <v>1193</v>
      </c>
      <c r="E108" s="57" t="s">
        <v>1339</v>
      </c>
      <c r="F108" s="57" t="s">
        <v>1340</v>
      </c>
      <c r="G108" s="44" t="s">
        <v>5</v>
      </c>
      <c r="H108" s="44" t="s">
        <v>1332</v>
      </c>
      <c r="I108" s="44" t="s">
        <v>98</v>
      </c>
      <c r="J108" s="45">
        <v>46293</v>
      </c>
      <c r="K108" s="44" t="s">
        <v>1333</v>
      </c>
      <c r="L108" s="44" t="s">
        <v>1334</v>
      </c>
    </row>
    <row r="109" ht="160" customHeight="1" spans="1:12">
      <c r="A109" s="56" t="s">
        <v>1192</v>
      </c>
      <c r="B109" s="56">
        <v>4</v>
      </c>
      <c r="C109" s="56" t="s">
        <v>1097</v>
      </c>
      <c r="D109" s="56" t="s">
        <v>1193</v>
      </c>
      <c r="E109" s="57" t="s">
        <v>1363</v>
      </c>
      <c r="F109" s="57" t="s">
        <v>1364</v>
      </c>
      <c r="G109" s="44" t="s">
        <v>5</v>
      </c>
      <c r="H109" s="44" t="s">
        <v>1332</v>
      </c>
      <c r="I109" s="44" t="s">
        <v>98</v>
      </c>
      <c r="J109" s="45">
        <v>46293</v>
      </c>
      <c r="K109" s="44" t="s">
        <v>1333</v>
      </c>
      <c r="L109" s="44" t="s">
        <v>1334</v>
      </c>
    </row>
    <row r="110" ht="160" customHeight="1" spans="1:12">
      <c r="A110" s="56" t="s">
        <v>1192</v>
      </c>
      <c r="B110" s="56">
        <v>5</v>
      </c>
      <c r="C110" s="56" t="s">
        <v>1343</v>
      </c>
      <c r="D110" s="56" t="s">
        <v>1193</v>
      </c>
      <c r="E110" s="57" t="s">
        <v>1395</v>
      </c>
      <c r="F110" s="57" t="s">
        <v>1195</v>
      </c>
      <c r="G110" s="44" t="s">
        <v>5</v>
      </c>
      <c r="H110" s="44" t="s">
        <v>1332</v>
      </c>
      <c r="I110" s="44" t="s">
        <v>98</v>
      </c>
      <c r="J110" s="45">
        <v>46293</v>
      </c>
      <c r="K110" s="44" t="s">
        <v>1333</v>
      </c>
      <c r="L110" s="44" t="s">
        <v>1334</v>
      </c>
    </row>
    <row r="111" ht="160" customHeight="1" spans="1:12">
      <c r="A111" s="56" t="s">
        <v>1192</v>
      </c>
      <c r="B111" s="56">
        <v>6</v>
      </c>
      <c r="C111" s="56" t="s">
        <v>1374</v>
      </c>
      <c r="D111" s="56" t="s">
        <v>1193</v>
      </c>
      <c r="E111" s="57" t="s">
        <v>1375</v>
      </c>
      <c r="F111" s="57" t="s">
        <v>1396</v>
      </c>
      <c r="G111" s="44" t="s">
        <v>5</v>
      </c>
      <c r="H111" s="44" t="s">
        <v>1332</v>
      </c>
      <c r="I111" s="44" t="s">
        <v>98</v>
      </c>
      <c r="J111" s="45">
        <v>46293</v>
      </c>
      <c r="K111" s="44" t="s">
        <v>1333</v>
      </c>
      <c r="L111" s="44" t="s">
        <v>1334</v>
      </c>
    </row>
    <row r="112" ht="160" customHeight="1" spans="1:12">
      <c r="A112" s="56" t="s">
        <v>1192</v>
      </c>
      <c r="B112" s="56">
        <v>7</v>
      </c>
      <c r="C112" s="56" t="s">
        <v>1377</v>
      </c>
      <c r="D112" s="56" t="s">
        <v>1193</v>
      </c>
      <c r="E112" s="57" t="s">
        <v>1378</v>
      </c>
      <c r="F112" s="57" t="s">
        <v>1379</v>
      </c>
      <c r="G112" s="44" t="s">
        <v>5</v>
      </c>
      <c r="H112" s="44" t="s">
        <v>1332</v>
      </c>
      <c r="I112" s="44" t="s">
        <v>98</v>
      </c>
      <c r="J112" s="45">
        <v>46293</v>
      </c>
      <c r="K112" s="44" t="s">
        <v>1333</v>
      </c>
      <c r="L112" s="44" t="s">
        <v>1334</v>
      </c>
    </row>
    <row r="113" ht="160" customHeight="1" spans="1:12">
      <c r="A113" s="56" t="s">
        <v>1192</v>
      </c>
      <c r="B113" s="56">
        <v>8</v>
      </c>
      <c r="C113" s="56" t="s">
        <v>1380</v>
      </c>
      <c r="D113" s="56" t="s">
        <v>1193</v>
      </c>
      <c r="E113" s="57" t="s">
        <v>1381</v>
      </c>
      <c r="F113" s="57" t="s">
        <v>1397</v>
      </c>
      <c r="G113" s="44" t="s">
        <v>5</v>
      </c>
      <c r="H113" s="44" t="s">
        <v>1332</v>
      </c>
      <c r="I113" s="44" t="s">
        <v>98</v>
      </c>
      <c r="J113" s="45">
        <v>46293</v>
      </c>
      <c r="K113" s="44" t="s">
        <v>1333</v>
      </c>
      <c r="L113" s="44" t="s">
        <v>1334</v>
      </c>
    </row>
    <row r="114" ht="160" customHeight="1" spans="1:12">
      <c r="A114" s="56" t="s">
        <v>1192</v>
      </c>
      <c r="B114" s="56">
        <v>9</v>
      </c>
      <c r="C114" s="56" t="s">
        <v>1355</v>
      </c>
      <c r="D114" s="56" t="s">
        <v>1193</v>
      </c>
      <c r="E114" s="57" t="s">
        <v>1356</v>
      </c>
      <c r="F114" s="57" t="s">
        <v>1357</v>
      </c>
      <c r="G114" s="44" t="s">
        <v>5</v>
      </c>
      <c r="H114" s="44" t="s">
        <v>1332</v>
      </c>
      <c r="I114" s="44" t="s">
        <v>98</v>
      </c>
      <c r="J114" s="45">
        <v>46293</v>
      </c>
      <c r="K114" s="44" t="s">
        <v>1333</v>
      </c>
      <c r="L114" s="44" t="s">
        <v>1334</v>
      </c>
    </row>
    <row r="115" ht="160" customHeight="1" spans="1:12">
      <c r="A115" s="56" t="s">
        <v>1192</v>
      </c>
      <c r="B115" s="56">
        <v>10</v>
      </c>
      <c r="C115" s="56" t="s">
        <v>1358</v>
      </c>
      <c r="D115" s="56" t="s">
        <v>1193</v>
      </c>
      <c r="E115" s="57" t="s">
        <v>1359</v>
      </c>
      <c r="F115" s="57" t="s">
        <v>1360</v>
      </c>
      <c r="G115" s="44" t="s">
        <v>5</v>
      </c>
      <c r="H115" s="44" t="s">
        <v>1332</v>
      </c>
      <c r="I115" s="44" t="s">
        <v>98</v>
      </c>
      <c r="J115" s="45">
        <v>46293</v>
      </c>
      <c r="K115" s="44" t="s">
        <v>1333</v>
      </c>
      <c r="L115" s="44" t="s">
        <v>1334</v>
      </c>
    </row>
    <row r="116" ht="160" customHeight="1" spans="1:12">
      <c r="A116" s="58" t="s">
        <v>1196</v>
      </c>
      <c r="B116" s="58">
        <v>1</v>
      </c>
      <c r="C116" s="58" t="s">
        <v>1329</v>
      </c>
      <c r="D116" s="58" t="s">
        <v>1197</v>
      </c>
      <c r="E116" s="59" t="s">
        <v>1365</v>
      </c>
      <c r="F116" s="59" t="s">
        <v>1398</v>
      </c>
      <c r="G116" s="60" t="s">
        <v>5</v>
      </c>
      <c r="H116" s="60" t="s">
        <v>1332</v>
      </c>
      <c r="I116" s="60" t="s">
        <v>98</v>
      </c>
      <c r="J116" s="61">
        <v>46293</v>
      </c>
      <c r="K116" s="60" t="s">
        <v>1333</v>
      </c>
      <c r="L116" s="60" t="s">
        <v>1334</v>
      </c>
    </row>
    <row r="117" ht="160" customHeight="1" spans="1:12">
      <c r="A117" s="62" t="s">
        <v>1196</v>
      </c>
      <c r="B117" s="62">
        <v>2</v>
      </c>
      <c r="C117" s="62" t="s">
        <v>1335</v>
      </c>
      <c r="D117" s="62" t="s">
        <v>1197</v>
      </c>
      <c r="E117" s="63" t="s">
        <v>1336</v>
      </c>
      <c r="F117" s="63" t="s">
        <v>1337</v>
      </c>
      <c r="G117" s="44" t="s">
        <v>5</v>
      </c>
      <c r="H117" s="44" t="s">
        <v>1332</v>
      </c>
      <c r="I117" s="44" t="s">
        <v>98</v>
      </c>
      <c r="J117" s="45">
        <v>46293</v>
      </c>
      <c r="K117" s="44" t="s">
        <v>1333</v>
      </c>
      <c r="L117" s="44" t="s">
        <v>1334</v>
      </c>
    </row>
    <row r="118" ht="160" customHeight="1" spans="1:12">
      <c r="A118" s="62" t="s">
        <v>1196</v>
      </c>
      <c r="B118" s="62">
        <v>3</v>
      </c>
      <c r="C118" s="62" t="s">
        <v>1338</v>
      </c>
      <c r="D118" s="62" t="s">
        <v>1197</v>
      </c>
      <c r="E118" s="63" t="s">
        <v>1339</v>
      </c>
      <c r="F118" s="63" t="s">
        <v>1340</v>
      </c>
      <c r="G118" s="44" t="s">
        <v>5</v>
      </c>
      <c r="H118" s="44" t="s">
        <v>1332</v>
      </c>
      <c r="I118" s="44" t="s">
        <v>98</v>
      </c>
      <c r="J118" s="45">
        <v>46293</v>
      </c>
      <c r="K118" s="44" t="s">
        <v>1333</v>
      </c>
      <c r="L118" s="44" t="s">
        <v>1334</v>
      </c>
    </row>
    <row r="119" ht="160" customHeight="1" spans="1:12">
      <c r="A119" s="62" t="s">
        <v>1196</v>
      </c>
      <c r="B119" s="62">
        <v>4</v>
      </c>
      <c r="C119" s="62" t="s">
        <v>1097</v>
      </c>
      <c r="D119" s="62" t="s">
        <v>1197</v>
      </c>
      <c r="E119" s="63" t="s">
        <v>1363</v>
      </c>
      <c r="F119" s="63" t="s">
        <v>1364</v>
      </c>
      <c r="G119" s="44" t="s">
        <v>5</v>
      </c>
      <c r="H119" s="44" t="s">
        <v>1332</v>
      </c>
      <c r="I119" s="44" t="s">
        <v>98</v>
      </c>
      <c r="J119" s="45">
        <v>46293</v>
      </c>
      <c r="K119" s="44" t="s">
        <v>1333</v>
      </c>
      <c r="L119" s="44" t="s">
        <v>1334</v>
      </c>
    </row>
    <row r="120" ht="160" customHeight="1" spans="1:12">
      <c r="A120" s="62" t="s">
        <v>1196</v>
      </c>
      <c r="B120" s="62">
        <v>5</v>
      </c>
      <c r="C120" s="62" t="s">
        <v>1343</v>
      </c>
      <c r="D120" s="62" t="s">
        <v>1197</v>
      </c>
      <c r="E120" s="63" t="s">
        <v>1399</v>
      </c>
      <c r="F120" s="63" t="s">
        <v>1199</v>
      </c>
      <c r="G120" s="44" t="s">
        <v>5</v>
      </c>
      <c r="H120" s="44" t="s">
        <v>1332</v>
      </c>
      <c r="I120" s="44" t="s">
        <v>98</v>
      </c>
      <c r="J120" s="45">
        <v>46293</v>
      </c>
      <c r="K120" s="44" t="s">
        <v>1333</v>
      </c>
      <c r="L120" s="44" t="s">
        <v>1334</v>
      </c>
    </row>
    <row r="121" ht="160" customHeight="1" spans="1:12">
      <c r="A121" s="62" t="s">
        <v>1196</v>
      </c>
      <c r="B121" s="62">
        <v>6</v>
      </c>
      <c r="C121" s="62" t="s">
        <v>1374</v>
      </c>
      <c r="D121" s="62" t="s">
        <v>1197</v>
      </c>
      <c r="E121" s="63" t="s">
        <v>1375</v>
      </c>
      <c r="F121" s="63" t="s">
        <v>1400</v>
      </c>
      <c r="G121" s="44" t="s">
        <v>5</v>
      </c>
      <c r="H121" s="44" t="s">
        <v>1332</v>
      </c>
      <c r="I121" s="44" t="s">
        <v>98</v>
      </c>
      <c r="J121" s="45">
        <v>46293</v>
      </c>
      <c r="K121" s="44" t="s">
        <v>1333</v>
      </c>
      <c r="L121" s="44" t="s">
        <v>1334</v>
      </c>
    </row>
    <row r="122" ht="160" customHeight="1" spans="1:12">
      <c r="A122" s="62" t="s">
        <v>1196</v>
      </c>
      <c r="B122" s="62">
        <v>7</v>
      </c>
      <c r="C122" s="62" t="s">
        <v>1377</v>
      </c>
      <c r="D122" s="62" t="s">
        <v>1197</v>
      </c>
      <c r="E122" s="63" t="s">
        <v>1378</v>
      </c>
      <c r="F122" s="63" t="s">
        <v>1379</v>
      </c>
      <c r="G122" s="44" t="s">
        <v>5</v>
      </c>
      <c r="H122" s="44" t="s">
        <v>1332</v>
      </c>
      <c r="I122" s="44" t="s">
        <v>98</v>
      </c>
      <c r="J122" s="45">
        <v>46293</v>
      </c>
      <c r="K122" s="44" t="s">
        <v>1333</v>
      </c>
      <c r="L122" s="44" t="s">
        <v>1334</v>
      </c>
    </row>
    <row r="123" ht="160" customHeight="1" spans="1:12">
      <c r="A123" s="62" t="s">
        <v>1196</v>
      </c>
      <c r="B123" s="62">
        <v>8</v>
      </c>
      <c r="C123" s="62" t="s">
        <v>1380</v>
      </c>
      <c r="D123" s="62" t="s">
        <v>1197</v>
      </c>
      <c r="E123" s="63" t="s">
        <v>1381</v>
      </c>
      <c r="F123" s="63" t="s">
        <v>1397</v>
      </c>
      <c r="G123" s="44" t="s">
        <v>5</v>
      </c>
      <c r="H123" s="44" t="s">
        <v>1332</v>
      </c>
      <c r="I123" s="44" t="s">
        <v>98</v>
      </c>
      <c r="J123" s="45">
        <v>46293</v>
      </c>
      <c r="K123" s="44" t="s">
        <v>1333</v>
      </c>
      <c r="L123" s="44" t="s">
        <v>1334</v>
      </c>
    </row>
    <row r="124" ht="160" customHeight="1" spans="1:12">
      <c r="A124" s="62" t="s">
        <v>1196</v>
      </c>
      <c r="B124" s="62">
        <v>9</v>
      </c>
      <c r="C124" s="62" t="s">
        <v>1355</v>
      </c>
      <c r="D124" s="62" t="s">
        <v>1197</v>
      </c>
      <c r="E124" s="63" t="s">
        <v>1356</v>
      </c>
      <c r="F124" s="63" t="s">
        <v>1357</v>
      </c>
      <c r="G124" s="44" t="s">
        <v>5</v>
      </c>
      <c r="H124" s="44" t="s">
        <v>1332</v>
      </c>
      <c r="I124" s="44" t="s">
        <v>98</v>
      </c>
      <c r="J124" s="45">
        <v>46293</v>
      </c>
      <c r="K124" s="44" t="s">
        <v>1333</v>
      </c>
      <c r="L124" s="44" t="s">
        <v>1334</v>
      </c>
    </row>
    <row r="125" ht="160" customHeight="1" spans="1:12">
      <c r="A125" s="62" t="s">
        <v>1196</v>
      </c>
      <c r="B125" s="62">
        <v>10</v>
      </c>
      <c r="C125" s="62" t="s">
        <v>1358</v>
      </c>
      <c r="D125" s="62" t="s">
        <v>1197</v>
      </c>
      <c r="E125" s="63" t="s">
        <v>1359</v>
      </c>
      <c r="F125" s="63" t="s">
        <v>1360</v>
      </c>
      <c r="G125" s="44" t="s">
        <v>5</v>
      </c>
      <c r="H125" s="44" t="s">
        <v>1332</v>
      </c>
      <c r="I125" s="44" t="s">
        <v>98</v>
      </c>
      <c r="J125" s="45">
        <v>46293</v>
      </c>
      <c r="K125" s="44" t="s">
        <v>1333</v>
      </c>
      <c r="L125" s="44" t="s">
        <v>1334</v>
      </c>
    </row>
    <row r="126" ht="160" customHeight="1" spans="1:12">
      <c r="A126" s="64" t="s">
        <v>1200</v>
      </c>
      <c r="B126" s="64">
        <v>1</v>
      </c>
      <c r="C126" s="64" t="s">
        <v>1329</v>
      </c>
      <c r="D126" s="64" t="s">
        <v>1201</v>
      </c>
      <c r="E126" s="65" t="s">
        <v>1365</v>
      </c>
      <c r="F126" s="65" t="s">
        <v>1401</v>
      </c>
      <c r="G126" s="66" t="s">
        <v>5</v>
      </c>
      <c r="H126" s="66" t="s">
        <v>1332</v>
      </c>
      <c r="I126" s="66" t="s">
        <v>98</v>
      </c>
      <c r="J126" s="67">
        <v>46293</v>
      </c>
      <c r="K126" s="66" t="s">
        <v>1333</v>
      </c>
      <c r="L126" s="66" t="s">
        <v>1334</v>
      </c>
    </row>
    <row r="127" ht="160" customHeight="1" spans="1:12">
      <c r="A127" s="68" t="s">
        <v>1200</v>
      </c>
      <c r="B127" s="68">
        <v>2</v>
      </c>
      <c r="C127" s="68" t="s">
        <v>1335</v>
      </c>
      <c r="D127" s="68" t="s">
        <v>1201</v>
      </c>
      <c r="E127" s="69" t="s">
        <v>1336</v>
      </c>
      <c r="F127" s="69" t="s">
        <v>1337</v>
      </c>
      <c r="G127" s="44" t="s">
        <v>5</v>
      </c>
      <c r="H127" s="44" t="s">
        <v>1332</v>
      </c>
      <c r="I127" s="44" t="s">
        <v>98</v>
      </c>
      <c r="J127" s="45">
        <v>46293</v>
      </c>
      <c r="K127" s="44" t="s">
        <v>1333</v>
      </c>
      <c r="L127" s="44" t="s">
        <v>1334</v>
      </c>
    </row>
    <row r="128" ht="160" customHeight="1" spans="1:12">
      <c r="A128" s="68" t="s">
        <v>1200</v>
      </c>
      <c r="B128" s="68">
        <v>3</v>
      </c>
      <c r="C128" s="68" t="s">
        <v>1338</v>
      </c>
      <c r="D128" s="68" t="s">
        <v>1201</v>
      </c>
      <c r="E128" s="69" t="s">
        <v>1339</v>
      </c>
      <c r="F128" s="69" t="s">
        <v>1340</v>
      </c>
      <c r="G128" s="44" t="s">
        <v>5</v>
      </c>
      <c r="H128" s="44" t="s">
        <v>1332</v>
      </c>
      <c r="I128" s="44" t="s">
        <v>98</v>
      </c>
      <c r="J128" s="45">
        <v>46293</v>
      </c>
      <c r="K128" s="44" t="s">
        <v>1333</v>
      </c>
      <c r="L128" s="44" t="s">
        <v>1334</v>
      </c>
    </row>
    <row r="129" ht="160" customHeight="1" spans="1:12">
      <c r="A129" s="68" t="s">
        <v>1200</v>
      </c>
      <c r="B129" s="68">
        <v>4</v>
      </c>
      <c r="C129" s="68" t="s">
        <v>1097</v>
      </c>
      <c r="D129" s="68" t="s">
        <v>1201</v>
      </c>
      <c r="E129" s="69" t="s">
        <v>1363</v>
      </c>
      <c r="F129" s="69" t="s">
        <v>1364</v>
      </c>
      <c r="G129" s="44" t="s">
        <v>5</v>
      </c>
      <c r="H129" s="44" t="s">
        <v>1332</v>
      </c>
      <c r="I129" s="44" t="s">
        <v>98</v>
      </c>
      <c r="J129" s="45">
        <v>46293</v>
      </c>
      <c r="K129" s="44" t="s">
        <v>1333</v>
      </c>
      <c r="L129" s="44" t="s">
        <v>1334</v>
      </c>
    </row>
    <row r="130" ht="160" customHeight="1" spans="1:12">
      <c r="A130" s="68" t="s">
        <v>1200</v>
      </c>
      <c r="B130" s="68">
        <v>5</v>
      </c>
      <c r="C130" s="68" t="s">
        <v>1343</v>
      </c>
      <c r="D130" s="68" t="s">
        <v>1201</v>
      </c>
      <c r="E130" s="69" t="s">
        <v>1402</v>
      </c>
      <c r="F130" s="69" t="s">
        <v>1203</v>
      </c>
      <c r="G130" s="44" t="s">
        <v>5</v>
      </c>
      <c r="H130" s="44" t="s">
        <v>1332</v>
      </c>
      <c r="I130" s="44" t="s">
        <v>98</v>
      </c>
      <c r="J130" s="45">
        <v>46293</v>
      </c>
      <c r="K130" s="44" t="s">
        <v>1333</v>
      </c>
      <c r="L130" s="44" t="s">
        <v>1334</v>
      </c>
    </row>
    <row r="131" ht="160" customHeight="1" spans="1:12">
      <c r="A131" s="68" t="s">
        <v>1200</v>
      </c>
      <c r="B131" s="68">
        <v>6</v>
      </c>
      <c r="C131" s="68" t="s">
        <v>1374</v>
      </c>
      <c r="D131" s="68" t="s">
        <v>1201</v>
      </c>
      <c r="E131" s="69" t="s">
        <v>1375</v>
      </c>
      <c r="F131" s="69" t="s">
        <v>1403</v>
      </c>
      <c r="G131" s="44" t="s">
        <v>5</v>
      </c>
      <c r="H131" s="44" t="s">
        <v>1332</v>
      </c>
      <c r="I131" s="44" t="s">
        <v>98</v>
      </c>
      <c r="J131" s="45">
        <v>46293</v>
      </c>
      <c r="K131" s="44" t="s">
        <v>1333</v>
      </c>
      <c r="L131" s="44" t="s">
        <v>1334</v>
      </c>
    </row>
    <row r="132" ht="160" customHeight="1" spans="1:12">
      <c r="A132" s="68" t="s">
        <v>1200</v>
      </c>
      <c r="B132" s="68">
        <v>7</v>
      </c>
      <c r="C132" s="68" t="s">
        <v>1377</v>
      </c>
      <c r="D132" s="68" t="s">
        <v>1201</v>
      </c>
      <c r="E132" s="69" t="s">
        <v>1378</v>
      </c>
      <c r="F132" s="69" t="s">
        <v>1379</v>
      </c>
      <c r="G132" s="44" t="s">
        <v>5</v>
      </c>
      <c r="H132" s="44" t="s">
        <v>1332</v>
      </c>
      <c r="I132" s="44" t="s">
        <v>98</v>
      </c>
      <c r="J132" s="45">
        <v>46293</v>
      </c>
      <c r="K132" s="44" t="s">
        <v>1333</v>
      </c>
      <c r="L132" s="44" t="s">
        <v>1334</v>
      </c>
    </row>
    <row r="133" ht="160" customHeight="1" spans="1:12">
      <c r="A133" s="68" t="s">
        <v>1200</v>
      </c>
      <c r="B133" s="68">
        <v>8</v>
      </c>
      <c r="C133" s="68" t="s">
        <v>1380</v>
      </c>
      <c r="D133" s="68" t="s">
        <v>1201</v>
      </c>
      <c r="E133" s="69" t="s">
        <v>1381</v>
      </c>
      <c r="F133" s="69" t="s">
        <v>1397</v>
      </c>
      <c r="G133" s="44" t="s">
        <v>5</v>
      </c>
      <c r="H133" s="44" t="s">
        <v>1332</v>
      </c>
      <c r="I133" s="44" t="s">
        <v>98</v>
      </c>
      <c r="J133" s="45">
        <v>46293</v>
      </c>
      <c r="K133" s="44" t="s">
        <v>1333</v>
      </c>
      <c r="L133" s="44" t="s">
        <v>1334</v>
      </c>
    </row>
    <row r="134" ht="160" customHeight="1" spans="1:12">
      <c r="A134" s="68" t="s">
        <v>1200</v>
      </c>
      <c r="B134" s="68">
        <v>9</v>
      </c>
      <c r="C134" s="68" t="s">
        <v>1355</v>
      </c>
      <c r="D134" s="68" t="s">
        <v>1201</v>
      </c>
      <c r="E134" s="69" t="s">
        <v>1356</v>
      </c>
      <c r="F134" s="69" t="s">
        <v>1357</v>
      </c>
      <c r="G134" s="44" t="s">
        <v>5</v>
      </c>
      <c r="H134" s="44" t="s">
        <v>1332</v>
      </c>
      <c r="I134" s="44" t="s">
        <v>98</v>
      </c>
      <c r="J134" s="45">
        <v>46293</v>
      </c>
      <c r="K134" s="44" t="s">
        <v>1333</v>
      </c>
      <c r="L134" s="44" t="s">
        <v>1334</v>
      </c>
    </row>
    <row r="135" ht="160" customHeight="1" spans="1:12">
      <c r="A135" s="68" t="s">
        <v>1200</v>
      </c>
      <c r="B135" s="68">
        <v>10</v>
      </c>
      <c r="C135" s="68" t="s">
        <v>1358</v>
      </c>
      <c r="D135" s="68" t="s">
        <v>1201</v>
      </c>
      <c r="E135" s="69" t="s">
        <v>1359</v>
      </c>
      <c r="F135" s="69" t="s">
        <v>1360</v>
      </c>
      <c r="G135" s="44" t="s">
        <v>5</v>
      </c>
      <c r="H135" s="44" t="s">
        <v>1332</v>
      </c>
      <c r="I135" s="44" t="s">
        <v>98</v>
      </c>
      <c r="J135" s="45">
        <v>46293</v>
      </c>
      <c r="K135" s="44" t="s">
        <v>1333</v>
      </c>
      <c r="L135" s="44" t="s">
        <v>1334</v>
      </c>
    </row>
    <row r="136" ht="160" customHeight="1" spans="1:12">
      <c r="A136" s="70" t="s">
        <v>1204</v>
      </c>
      <c r="B136" s="70">
        <v>1</v>
      </c>
      <c r="C136" s="70" t="s">
        <v>1329</v>
      </c>
      <c r="D136" s="70" t="s">
        <v>1205</v>
      </c>
      <c r="E136" s="71" t="s">
        <v>1365</v>
      </c>
      <c r="F136" s="71" t="s">
        <v>1404</v>
      </c>
      <c r="G136" s="72" t="s">
        <v>5</v>
      </c>
      <c r="H136" s="72" t="s">
        <v>1332</v>
      </c>
      <c r="I136" s="72" t="s">
        <v>98</v>
      </c>
      <c r="J136" s="73">
        <v>46293</v>
      </c>
      <c r="K136" s="72" t="s">
        <v>1333</v>
      </c>
      <c r="L136" s="72" t="s">
        <v>1334</v>
      </c>
    </row>
    <row r="137" ht="160" customHeight="1" spans="1:12">
      <c r="A137" s="74" t="s">
        <v>1204</v>
      </c>
      <c r="B137" s="74">
        <v>2</v>
      </c>
      <c r="C137" s="74" t="s">
        <v>1335</v>
      </c>
      <c r="D137" s="74" t="s">
        <v>1205</v>
      </c>
      <c r="E137" s="75" t="s">
        <v>1336</v>
      </c>
      <c r="F137" s="75" t="s">
        <v>1337</v>
      </c>
      <c r="G137" s="44" t="s">
        <v>5</v>
      </c>
      <c r="H137" s="44" t="s">
        <v>1332</v>
      </c>
      <c r="I137" s="44" t="s">
        <v>98</v>
      </c>
      <c r="J137" s="45">
        <v>46293</v>
      </c>
      <c r="K137" s="44" t="s">
        <v>1333</v>
      </c>
      <c r="L137" s="44" t="s">
        <v>1334</v>
      </c>
    </row>
    <row r="138" ht="160" customHeight="1" spans="1:12">
      <c r="A138" s="74" t="s">
        <v>1204</v>
      </c>
      <c r="B138" s="74">
        <v>3</v>
      </c>
      <c r="C138" s="74" t="s">
        <v>1338</v>
      </c>
      <c r="D138" s="74" t="s">
        <v>1205</v>
      </c>
      <c r="E138" s="75" t="s">
        <v>1339</v>
      </c>
      <c r="F138" s="75" t="s">
        <v>1340</v>
      </c>
      <c r="G138" s="44" t="s">
        <v>5</v>
      </c>
      <c r="H138" s="44" t="s">
        <v>1332</v>
      </c>
      <c r="I138" s="44" t="s">
        <v>98</v>
      </c>
      <c r="J138" s="45">
        <v>46293</v>
      </c>
      <c r="K138" s="44" t="s">
        <v>1333</v>
      </c>
      <c r="L138" s="44" t="s">
        <v>1334</v>
      </c>
    </row>
    <row r="139" ht="160" customHeight="1" spans="1:12">
      <c r="A139" s="74" t="s">
        <v>1204</v>
      </c>
      <c r="B139" s="74">
        <v>4</v>
      </c>
      <c r="C139" s="74" t="s">
        <v>1097</v>
      </c>
      <c r="D139" s="74" t="s">
        <v>1205</v>
      </c>
      <c r="E139" s="75" t="s">
        <v>1363</v>
      </c>
      <c r="F139" s="75" t="s">
        <v>1364</v>
      </c>
      <c r="G139" s="44" t="s">
        <v>5</v>
      </c>
      <c r="H139" s="44" t="s">
        <v>1332</v>
      </c>
      <c r="I139" s="44" t="s">
        <v>98</v>
      </c>
      <c r="J139" s="45">
        <v>46293</v>
      </c>
      <c r="K139" s="44" t="s">
        <v>1333</v>
      </c>
      <c r="L139" s="44" t="s">
        <v>1334</v>
      </c>
    </row>
    <row r="140" ht="160" customHeight="1" spans="1:12">
      <c r="A140" s="74" t="s">
        <v>1204</v>
      </c>
      <c r="B140" s="74">
        <v>5</v>
      </c>
      <c r="C140" s="74" t="s">
        <v>1343</v>
      </c>
      <c r="D140" s="74" t="s">
        <v>1205</v>
      </c>
      <c r="E140" s="75" t="s">
        <v>1405</v>
      </c>
      <c r="F140" s="75" t="s">
        <v>1406</v>
      </c>
      <c r="G140" s="44" t="s">
        <v>5</v>
      </c>
      <c r="H140" s="44" t="s">
        <v>1332</v>
      </c>
      <c r="I140" s="44" t="s">
        <v>98</v>
      </c>
      <c r="J140" s="45">
        <v>46293</v>
      </c>
      <c r="K140" s="44" t="s">
        <v>1333</v>
      </c>
      <c r="L140" s="44" t="s">
        <v>1334</v>
      </c>
    </row>
    <row r="141" ht="160" customHeight="1" spans="1:12">
      <c r="A141" s="74" t="s">
        <v>1204</v>
      </c>
      <c r="B141" s="74">
        <v>6</v>
      </c>
      <c r="C141" s="74" t="s">
        <v>1346</v>
      </c>
      <c r="D141" s="74" t="s">
        <v>1205</v>
      </c>
      <c r="E141" s="75" t="s">
        <v>1361</v>
      </c>
      <c r="F141" s="75" t="s">
        <v>1362</v>
      </c>
      <c r="G141" s="44" t="s">
        <v>5</v>
      </c>
      <c r="H141" s="44" t="s">
        <v>1332</v>
      </c>
      <c r="I141" s="44" t="s">
        <v>98</v>
      </c>
      <c r="J141" s="45">
        <v>46293</v>
      </c>
      <c r="K141" s="44" t="s">
        <v>1333</v>
      </c>
      <c r="L141" s="44" t="s">
        <v>1334</v>
      </c>
    </row>
    <row r="142" ht="160" customHeight="1" spans="1:12">
      <c r="A142" s="74" t="s">
        <v>1204</v>
      </c>
      <c r="B142" s="74">
        <v>7</v>
      </c>
      <c r="C142" s="74" t="s">
        <v>1407</v>
      </c>
      <c r="D142" s="74" t="s">
        <v>1205</v>
      </c>
      <c r="E142" s="75" t="s">
        <v>1408</v>
      </c>
      <c r="F142" s="75" t="s">
        <v>1409</v>
      </c>
      <c r="G142" s="44" t="s">
        <v>5</v>
      </c>
      <c r="H142" s="44" t="s">
        <v>1332</v>
      </c>
      <c r="I142" s="44" t="s">
        <v>98</v>
      </c>
      <c r="J142" s="45">
        <v>46293</v>
      </c>
      <c r="K142" s="44" t="s">
        <v>1333</v>
      </c>
      <c r="L142" s="44" t="s">
        <v>1334</v>
      </c>
    </row>
    <row r="143" ht="160" customHeight="1" spans="1:12">
      <c r="A143" s="74" t="s">
        <v>1204</v>
      </c>
      <c r="B143" s="74">
        <v>8</v>
      </c>
      <c r="C143" s="74" t="s">
        <v>1352</v>
      </c>
      <c r="D143" s="74" t="s">
        <v>1205</v>
      </c>
      <c r="E143" s="75" t="s">
        <v>1410</v>
      </c>
      <c r="F143" s="75" t="s">
        <v>1354</v>
      </c>
      <c r="G143" s="44" t="s">
        <v>5</v>
      </c>
      <c r="H143" s="44" t="s">
        <v>1332</v>
      </c>
      <c r="I143" s="44" t="s">
        <v>98</v>
      </c>
      <c r="J143" s="45">
        <v>46293</v>
      </c>
      <c r="K143" s="44" t="s">
        <v>1333</v>
      </c>
      <c r="L143" s="44" t="s">
        <v>1334</v>
      </c>
    </row>
    <row r="144" ht="160" customHeight="1" spans="1:12">
      <c r="A144" s="74" t="s">
        <v>1204</v>
      </c>
      <c r="B144" s="74">
        <v>9</v>
      </c>
      <c r="C144" s="74" t="s">
        <v>1355</v>
      </c>
      <c r="D144" s="74" t="s">
        <v>1205</v>
      </c>
      <c r="E144" s="75" t="s">
        <v>1356</v>
      </c>
      <c r="F144" s="75" t="s">
        <v>1357</v>
      </c>
      <c r="G144" s="44" t="s">
        <v>5</v>
      </c>
      <c r="H144" s="44" t="s">
        <v>1332</v>
      </c>
      <c r="I144" s="44" t="s">
        <v>98</v>
      </c>
      <c r="J144" s="45">
        <v>46293</v>
      </c>
      <c r="K144" s="44" t="s">
        <v>1333</v>
      </c>
      <c r="L144" s="44" t="s">
        <v>1334</v>
      </c>
    </row>
    <row r="145" ht="160" customHeight="1" spans="1:12">
      <c r="A145" s="74" t="s">
        <v>1204</v>
      </c>
      <c r="B145" s="74">
        <v>10</v>
      </c>
      <c r="C145" s="74" t="s">
        <v>1358</v>
      </c>
      <c r="D145" s="74" t="s">
        <v>1205</v>
      </c>
      <c r="E145" s="75" t="s">
        <v>1359</v>
      </c>
      <c r="F145" s="75" t="s">
        <v>1360</v>
      </c>
      <c r="G145" s="44" t="s">
        <v>5</v>
      </c>
      <c r="H145" s="44" t="s">
        <v>1332</v>
      </c>
      <c r="I145" s="44" t="s">
        <v>98</v>
      </c>
      <c r="J145" s="45">
        <v>46293</v>
      </c>
      <c r="K145" s="44" t="s">
        <v>1333</v>
      </c>
      <c r="L145" s="44" t="s">
        <v>1334</v>
      </c>
    </row>
    <row r="146" ht="160" customHeight="1" spans="1:12">
      <c r="A146" s="76" t="s">
        <v>1208</v>
      </c>
      <c r="B146" s="76">
        <v>1</v>
      </c>
      <c r="C146" s="76" t="s">
        <v>1329</v>
      </c>
      <c r="D146" s="76" t="s">
        <v>1209</v>
      </c>
      <c r="E146" s="77" t="s">
        <v>1411</v>
      </c>
      <c r="F146" s="77" t="s">
        <v>1412</v>
      </c>
      <c r="G146" s="78" t="s">
        <v>5</v>
      </c>
      <c r="H146" s="78" t="s">
        <v>1332</v>
      </c>
      <c r="I146" s="78" t="s">
        <v>98</v>
      </c>
      <c r="J146" s="79">
        <v>46293</v>
      </c>
      <c r="K146" s="78" t="s">
        <v>1333</v>
      </c>
      <c r="L146" s="78" t="s">
        <v>1334</v>
      </c>
    </row>
    <row r="147" ht="160" customHeight="1" spans="1:12">
      <c r="A147" s="80" t="s">
        <v>1208</v>
      </c>
      <c r="B147" s="80">
        <v>2</v>
      </c>
      <c r="C147" s="80" t="s">
        <v>1335</v>
      </c>
      <c r="D147" s="80" t="s">
        <v>1209</v>
      </c>
      <c r="E147" s="81" t="s">
        <v>1336</v>
      </c>
      <c r="F147" s="81" t="s">
        <v>1337</v>
      </c>
      <c r="G147" s="44" t="s">
        <v>5</v>
      </c>
      <c r="H147" s="44" t="s">
        <v>1332</v>
      </c>
      <c r="I147" s="44" t="s">
        <v>98</v>
      </c>
      <c r="J147" s="45">
        <v>46293</v>
      </c>
      <c r="K147" s="44" t="s">
        <v>1333</v>
      </c>
      <c r="L147" s="44" t="s">
        <v>1334</v>
      </c>
    </row>
    <row r="148" ht="160" customHeight="1" spans="1:12">
      <c r="A148" s="80" t="s">
        <v>1208</v>
      </c>
      <c r="B148" s="80">
        <v>3</v>
      </c>
      <c r="C148" s="80" t="s">
        <v>1338</v>
      </c>
      <c r="D148" s="80" t="s">
        <v>1209</v>
      </c>
      <c r="E148" s="81" t="s">
        <v>1339</v>
      </c>
      <c r="F148" s="81" t="s">
        <v>1340</v>
      </c>
      <c r="G148" s="44" t="s">
        <v>5</v>
      </c>
      <c r="H148" s="44" t="s">
        <v>1332</v>
      </c>
      <c r="I148" s="44" t="s">
        <v>98</v>
      </c>
      <c r="J148" s="45">
        <v>46293</v>
      </c>
      <c r="K148" s="44" t="s">
        <v>1333</v>
      </c>
      <c r="L148" s="44" t="s">
        <v>1334</v>
      </c>
    </row>
    <row r="149" ht="160" customHeight="1" spans="1:12">
      <c r="A149" s="80" t="s">
        <v>1208</v>
      </c>
      <c r="B149" s="80">
        <v>4</v>
      </c>
      <c r="C149" s="80" t="s">
        <v>1097</v>
      </c>
      <c r="D149" s="80" t="s">
        <v>1209</v>
      </c>
      <c r="E149" s="81" t="s">
        <v>1413</v>
      </c>
      <c r="F149" s="81" t="s">
        <v>1414</v>
      </c>
      <c r="G149" s="44" t="s">
        <v>5</v>
      </c>
      <c r="H149" s="44" t="s">
        <v>1332</v>
      </c>
      <c r="I149" s="44" t="s">
        <v>98</v>
      </c>
      <c r="J149" s="45">
        <v>46293</v>
      </c>
      <c r="K149" s="44" t="s">
        <v>1333</v>
      </c>
      <c r="L149" s="44" t="s">
        <v>1334</v>
      </c>
    </row>
    <row r="150" ht="160" customHeight="1" spans="1:12">
      <c r="A150" s="80" t="s">
        <v>1208</v>
      </c>
      <c r="B150" s="80">
        <v>5</v>
      </c>
      <c r="C150" s="80" t="s">
        <v>1343</v>
      </c>
      <c r="D150" s="80" t="s">
        <v>1209</v>
      </c>
      <c r="E150" s="81" t="s">
        <v>1344</v>
      </c>
      <c r="F150" s="81" t="s">
        <v>1345</v>
      </c>
      <c r="G150" s="44" t="s">
        <v>5</v>
      </c>
      <c r="H150" s="44" t="s">
        <v>1332</v>
      </c>
      <c r="I150" s="44" t="s">
        <v>98</v>
      </c>
      <c r="J150" s="45">
        <v>46293</v>
      </c>
      <c r="K150" s="44" t="s">
        <v>1333</v>
      </c>
      <c r="L150" s="44" t="s">
        <v>1334</v>
      </c>
    </row>
    <row r="151" ht="160" customHeight="1" spans="1:12">
      <c r="A151" s="80" t="s">
        <v>1208</v>
      </c>
      <c r="B151" s="80">
        <v>6</v>
      </c>
      <c r="C151" s="80" t="s">
        <v>1346</v>
      </c>
      <c r="D151" s="80" t="s">
        <v>1209</v>
      </c>
      <c r="E151" s="81" t="s">
        <v>1415</v>
      </c>
      <c r="F151" s="81" t="s">
        <v>1416</v>
      </c>
      <c r="G151" s="44" t="s">
        <v>5</v>
      </c>
      <c r="H151" s="44" t="s">
        <v>1332</v>
      </c>
      <c r="I151" s="44" t="s">
        <v>98</v>
      </c>
      <c r="J151" s="45">
        <v>46293</v>
      </c>
      <c r="K151" s="44" t="s">
        <v>1333</v>
      </c>
      <c r="L151" s="44" t="s">
        <v>1334</v>
      </c>
    </row>
    <row r="152" ht="160" customHeight="1" spans="1:12">
      <c r="A152" s="80" t="s">
        <v>1208</v>
      </c>
      <c r="B152" s="80">
        <v>7</v>
      </c>
      <c r="C152" s="80" t="s">
        <v>1407</v>
      </c>
      <c r="D152" s="80" t="s">
        <v>1209</v>
      </c>
      <c r="E152" s="81" t="s">
        <v>1408</v>
      </c>
      <c r="F152" s="81" t="s">
        <v>1409</v>
      </c>
      <c r="G152" s="44" t="s">
        <v>5</v>
      </c>
      <c r="H152" s="44" t="s">
        <v>1332</v>
      </c>
      <c r="I152" s="44" t="s">
        <v>98</v>
      </c>
      <c r="J152" s="45">
        <v>46293</v>
      </c>
      <c r="K152" s="44" t="s">
        <v>1333</v>
      </c>
      <c r="L152" s="44" t="s">
        <v>1334</v>
      </c>
    </row>
    <row r="153" ht="160" customHeight="1" spans="1:12">
      <c r="A153" s="80" t="s">
        <v>1208</v>
      </c>
      <c r="B153" s="80">
        <v>8</v>
      </c>
      <c r="C153" s="80" t="s">
        <v>1352</v>
      </c>
      <c r="D153" s="80" t="s">
        <v>1209</v>
      </c>
      <c r="E153" s="81" t="s">
        <v>1417</v>
      </c>
      <c r="F153" s="81" t="s">
        <v>1418</v>
      </c>
      <c r="G153" s="44" t="s">
        <v>5</v>
      </c>
      <c r="H153" s="44" t="s">
        <v>1332</v>
      </c>
      <c r="I153" s="44" t="s">
        <v>98</v>
      </c>
      <c r="J153" s="45">
        <v>46293</v>
      </c>
      <c r="K153" s="44" t="s">
        <v>1333</v>
      </c>
      <c r="L153" s="44" t="s">
        <v>1334</v>
      </c>
    </row>
    <row r="154" ht="160" customHeight="1" spans="1:12">
      <c r="A154" s="80" t="s">
        <v>1208</v>
      </c>
      <c r="B154" s="80">
        <v>9</v>
      </c>
      <c r="C154" s="80" t="s">
        <v>1355</v>
      </c>
      <c r="D154" s="80" t="s">
        <v>1209</v>
      </c>
      <c r="E154" s="81" t="s">
        <v>1356</v>
      </c>
      <c r="F154" s="81" t="s">
        <v>1357</v>
      </c>
      <c r="G154" s="44" t="s">
        <v>5</v>
      </c>
      <c r="H154" s="44" t="s">
        <v>1332</v>
      </c>
      <c r="I154" s="44" t="s">
        <v>98</v>
      </c>
      <c r="J154" s="45">
        <v>46293</v>
      </c>
      <c r="K154" s="44" t="s">
        <v>1333</v>
      </c>
      <c r="L154" s="44" t="s">
        <v>1334</v>
      </c>
    </row>
    <row r="155" ht="160" customHeight="1" spans="1:12">
      <c r="A155" s="80" t="s">
        <v>1208</v>
      </c>
      <c r="B155" s="80">
        <v>10</v>
      </c>
      <c r="C155" s="80" t="s">
        <v>1358</v>
      </c>
      <c r="D155" s="80" t="s">
        <v>1209</v>
      </c>
      <c r="E155" s="81" t="s">
        <v>1359</v>
      </c>
      <c r="F155" s="81" t="s">
        <v>1360</v>
      </c>
      <c r="G155" s="44" t="s">
        <v>5</v>
      </c>
      <c r="H155" s="44" t="s">
        <v>1332</v>
      </c>
      <c r="I155" s="44" t="s">
        <v>98</v>
      </c>
      <c r="J155" s="45">
        <v>46293</v>
      </c>
      <c r="K155" s="44" t="s">
        <v>1333</v>
      </c>
      <c r="L155" s="44" t="s">
        <v>1334</v>
      </c>
    </row>
    <row r="156" ht="160" customHeight="1" spans="1:12">
      <c r="A156" s="82" t="s">
        <v>1213</v>
      </c>
      <c r="B156" s="82">
        <v>1</v>
      </c>
      <c r="C156" s="82" t="s">
        <v>1329</v>
      </c>
      <c r="D156" s="82" t="s">
        <v>1214</v>
      </c>
      <c r="E156" s="83" t="s">
        <v>1419</v>
      </c>
      <c r="F156" s="83" t="s">
        <v>1420</v>
      </c>
      <c r="G156" s="84" t="s">
        <v>5</v>
      </c>
      <c r="H156" s="84" t="s">
        <v>1332</v>
      </c>
      <c r="I156" s="84" t="s">
        <v>98</v>
      </c>
      <c r="J156" s="85">
        <v>46293</v>
      </c>
      <c r="K156" s="84" t="s">
        <v>1333</v>
      </c>
      <c r="L156" s="84" t="s">
        <v>1334</v>
      </c>
    </row>
    <row r="157" ht="160" customHeight="1" spans="1:12">
      <c r="A157" s="86" t="s">
        <v>1213</v>
      </c>
      <c r="B157" s="86">
        <v>2</v>
      </c>
      <c r="C157" s="86" t="s">
        <v>1335</v>
      </c>
      <c r="D157" s="86" t="s">
        <v>1214</v>
      </c>
      <c r="E157" s="87" t="s">
        <v>1336</v>
      </c>
      <c r="F157" s="87" t="s">
        <v>1337</v>
      </c>
      <c r="G157" s="44" t="s">
        <v>5</v>
      </c>
      <c r="H157" s="44" t="s">
        <v>1332</v>
      </c>
      <c r="I157" s="44" t="s">
        <v>98</v>
      </c>
      <c r="J157" s="45">
        <v>46293</v>
      </c>
      <c r="K157" s="44" t="s">
        <v>1333</v>
      </c>
      <c r="L157" s="44" t="s">
        <v>1334</v>
      </c>
    </row>
    <row r="158" ht="160" customHeight="1" spans="1:12">
      <c r="A158" s="86" t="s">
        <v>1213</v>
      </c>
      <c r="B158" s="86">
        <v>3</v>
      </c>
      <c r="C158" s="86" t="s">
        <v>1338</v>
      </c>
      <c r="D158" s="86" t="s">
        <v>1214</v>
      </c>
      <c r="E158" s="87" t="s">
        <v>1339</v>
      </c>
      <c r="F158" s="87" t="s">
        <v>1340</v>
      </c>
      <c r="G158" s="44" t="s">
        <v>5</v>
      </c>
      <c r="H158" s="44" t="s">
        <v>1332</v>
      </c>
      <c r="I158" s="44" t="s">
        <v>98</v>
      </c>
      <c r="J158" s="45">
        <v>46293</v>
      </c>
      <c r="K158" s="44" t="s">
        <v>1333</v>
      </c>
      <c r="L158" s="44" t="s">
        <v>1334</v>
      </c>
    </row>
    <row r="159" ht="160" customHeight="1" spans="1:12">
      <c r="A159" s="86" t="s">
        <v>1213</v>
      </c>
      <c r="B159" s="86">
        <v>4</v>
      </c>
      <c r="C159" s="86" t="s">
        <v>1097</v>
      </c>
      <c r="D159" s="86" t="s">
        <v>1214</v>
      </c>
      <c r="E159" s="87" t="s">
        <v>1421</v>
      </c>
      <c r="F159" s="87" t="s">
        <v>1422</v>
      </c>
      <c r="G159" s="44" t="s">
        <v>5</v>
      </c>
      <c r="H159" s="44" t="s">
        <v>1332</v>
      </c>
      <c r="I159" s="44" t="s">
        <v>98</v>
      </c>
      <c r="J159" s="45">
        <v>46293</v>
      </c>
      <c r="K159" s="44" t="s">
        <v>1333</v>
      </c>
      <c r="L159" s="44" t="s">
        <v>1334</v>
      </c>
    </row>
    <row r="160" ht="160" customHeight="1" spans="1:12">
      <c r="A160" s="86" t="s">
        <v>1213</v>
      </c>
      <c r="B160" s="86">
        <v>5</v>
      </c>
      <c r="C160" s="86" t="s">
        <v>1343</v>
      </c>
      <c r="D160" s="86" t="s">
        <v>1214</v>
      </c>
      <c r="E160" s="87" t="s">
        <v>1344</v>
      </c>
      <c r="F160" s="87" t="s">
        <v>1345</v>
      </c>
      <c r="G160" s="44" t="s">
        <v>5</v>
      </c>
      <c r="H160" s="44" t="s">
        <v>1332</v>
      </c>
      <c r="I160" s="44" t="s">
        <v>98</v>
      </c>
      <c r="J160" s="45">
        <v>46293</v>
      </c>
      <c r="K160" s="44" t="s">
        <v>1333</v>
      </c>
      <c r="L160" s="44" t="s">
        <v>1334</v>
      </c>
    </row>
    <row r="161" ht="160" customHeight="1" spans="1:12">
      <c r="A161" s="86" t="s">
        <v>1213</v>
      </c>
      <c r="B161" s="86">
        <v>6</v>
      </c>
      <c r="C161" s="86" t="s">
        <v>1346</v>
      </c>
      <c r="D161" s="86" t="s">
        <v>1214</v>
      </c>
      <c r="E161" s="87" t="s">
        <v>1423</v>
      </c>
      <c r="F161" s="87" t="s">
        <v>1424</v>
      </c>
      <c r="G161" s="44" t="s">
        <v>5</v>
      </c>
      <c r="H161" s="44" t="s">
        <v>1332</v>
      </c>
      <c r="I161" s="44" t="s">
        <v>98</v>
      </c>
      <c r="J161" s="45">
        <v>46293</v>
      </c>
      <c r="K161" s="44" t="s">
        <v>1333</v>
      </c>
      <c r="L161" s="44" t="s">
        <v>1334</v>
      </c>
    </row>
    <row r="162" ht="160" customHeight="1" spans="1:12">
      <c r="A162" s="86" t="s">
        <v>1213</v>
      </c>
      <c r="B162" s="86">
        <v>7</v>
      </c>
      <c r="C162" s="86" t="s">
        <v>1407</v>
      </c>
      <c r="D162" s="86" t="s">
        <v>1214</v>
      </c>
      <c r="E162" s="87" t="s">
        <v>1408</v>
      </c>
      <c r="F162" s="87" t="s">
        <v>1409</v>
      </c>
      <c r="G162" s="44" t="s">
        <v>5</v>
      </c>
      <c r="H162" s="44" t="s">
        <v>1332</v>
      </c>
      <c r="I162" s="44" t="s">
        <v>98</v>
      </c>
      <c r="J162" s="45">
        <v>46293</v>
      </c>
      <c r="K162" s="44" t="s">
        <v>1333</v>
      </c>
      <c r="L162" s="44" t="s">
        <v>1334</v>
      </c>
    </row>
    <row r="163" ht="160" customHeight="1" spans="1:12">
      <c r="A163" s="86" t="s">
        <v>1213</v>
      </c>
      <c r="B163" s="86">
        <v>8</v>
      </c>
      <c r="C163" s="86" t="s">
        <v>1352</v>
      </c>
      <c r="D163" s="86" t="s">
        <v>1214</v>
      </c>
      <c r="E163" s="87" t="s">
        <v>1425</v>
      </c>
      <c r="F163" s="87" t="s">
        <v>1426</v>
      </c>
      <c r="G163" s="44" t="s">
        <v>5</v>
      </c>
      <c r="H163" s="44" t="s">
        <v>1332</v>
      </c>
      <c r="I163" s="44" t="s">
        <v>98</v>
      </c>
      <c r="J163" s="45">
        <v>46293</v>
      </c>
      <c r="K163" s="44" t="s">
        <v>1333</v>
      </c>
      <c r="L163" s="44" t="s">
        <v>1334</v>
      </c>
    </row>
    <row r="164" ht="160" customHeight="1" spans="1:12">
      <c r="A164" s="86" t="s">
        <v>1213</v>
      </c>
      <c r="B164" s="86">
        <v>9</v>
      </c>
      <c r="C164" s="86" t="s">
        <v>1355</v>
      </c>
      <c r="D164" s="86" t="s">
        <v>1214</v>
      </c>
      <c r="E164" s="87" t="s">
        <v>1356</v>
      </c>
      <c r="F164" s="87" t="s">
        <v>1357</v>
      </c>
      <c r="G164" s="44" t="s">
        <v>5</v>
      </c>
      <c r="H164" s="44" t="s">
        <v>1332</v>
      </c>
      <c r="I164" s="44" t="s">
        <v>98</v>
      </c>
      <c r="J164" s="45">
        <v>46293</v>
      </c>
      <c r="K164" s="44" t="s">
        <v>1333</v>
      </c>
      <c r="L164" s="44" t="s">
        <v>1334</v>
      </c>
    </row>
    <row r="165" ht="160" customHeight="1" spans="1:12">
      <c r="A165" s="86" t="s">
        <v>1213</v>
      </c>
      <c r="B165" s="86">
        <v>10</v>
      </c>
      <c r="C165" s="86" t="s">
        <v>1358</v>
      </c>
      <c r="D165" s="86" t="s">
        <v>1214</v>
      </c>
      <c r="E165" s="87" t="s">
        <v>1359</v>
      </c>
      <c r="F165" s="87" t="s">
        <v>1360</v>
      </c>
      <c r="G165" s="44" t="s">
        <v>5</v>
      </c>
      <c r="H165" s="44" t="s">
        <v>1332</v>
      </c>
      <c r="I165" s="44" t="s">
        <v>98</v>
      </c>
      <c r="J165" s="45">
        <v>46293</v>
      </c>
      <c r="K165" s="44" t="s">
        <v>1333</v>
      </c>
      <c r="L165" s="44" t="s">
        <v>1334</v>
      </c>
    </row>
    <row r="166" ht="160" customHeight="1" spans="1:12">
      <c r="A166" s="38" t="s">
        <v>1218</v>
      </c>
      <c r="B166" s="38">
        <v>1</v>
      </c>
      <c r="C166" s="38" t="s">
        <v>1329</v>
      </c>
      <c r="D166" s="38" t="s">
        <v>1219</v>
      </c>
      <c r="E166" s="39" t="s">
        <v>1365</v>
      </c>
      <c r="F166" s="39" t="s">
        <v>1427</v>
      </c>
      <c r="G166" s="40" t="s">
        <v>5</v>
      </c>
      <c r="H166" s="40" t="s">
        <v>1332</v>
      </c>
      <c r="I166" s="40" t="s">
        <v>98</v>
      </c>
      <c r="J166" s="41">
        <v>46293</v>
      </c>
      <c r="K166" s="40" t="s">
        <v>1333</v>
      </c>
      <c r="L166" s="40" t="s">
        <v>1334</v>
      </c>
    </row>
    <row r="167" ht="160" customHeight="1" spans="1:12">
      <c r="A167" s="42" t="s">
        <v>1218</v>
      </c>
      <c r="B167" s="42">
        <v>2</v>
      </c>
      <c r="C167" s="42" t="s">
        <v>1335</v>
      </c>
      <c r="D167" s="42" t="s">
        <v>1219</v>
      </c>
      <c r="E167" s="43" t="s">
        <v>1336</v>
      </c>
      <c r="F167" s="43" t="s">
        <v>1337</v>
      </c>
      <c r="G167" s="44" t="s">
        <v>5</v>
      </c>
      <c r="H167" s="44" t="s">
        <v>1332</v>
      </c>
      <c r="I167" s="44" t="s">
        <v>98</v>
      </c>
      <c r="J167" s="45">
        <v>46293</v>
      </c>
      <c r="K167" s="44" t="s">
        <v>1333</v>
      </c>
      <c r="L167" s="44" t="s">
        <v>1334</v>
      </c>
    </row>
    <row r="168" ht="160" customHeight="1" spans="1:12">
      <c r="A168" s="42" t="s">
        <v>1218</v>
      </c>
      <c r="B168" s="42">
        <v>3</v>
      </c>
      <c r="C168" s="42" t="s">
        <v>1338</v>
      </c>
      <c r="D168" s="42" t="s">
        <v>1219</v>
      </c>
      <c r="E168" s="43" t="s">
        <v>1339</v>
      </c>
      <c r="F168" s="43" t="s">
        <v>1340</v>
      </c>
      <c r="G168" s="44" t="s">
        <v>5</v>
      </c>
      <c r="H168" s="44" t="s">
        <v>1332</v>
      </c>
      <c r="I168" s="44" t="s">
        <v>98</v>
      </c>
      <c r="J168" s="45">
        <v>46293</v>
      </c>
      <c r="K168" s="44" t="s">
        <v>1333</v>
      </c>
      <c r="L168" s="44" t="s">
        <v>1334</v>
      </c>
    </row>
    <row r="169" ht="160" customHeight="1" spans="1:12">
      <c r="A169" s="42" t="s">
        <v>1218</v>
      </c>
      <c r="B169" s="42">
        <v>4</v>
      </c>
      <c r="C169" s="42" t="s">
        <v>1097</v>
      </c>
      <c r="D169" s="42" t="s">
        <v>1219</v>
      </c>
      <c r="E169" s="43" t="s">
        <v>1428</v>
      </c>
      <c r="F169" s="43" t="s">
        <v>1429</v>
      </c>
      <c r="G169" s="44" t="s">
        <v>5</v>
      </c>
      <c r="H169" s="44" t="s">
        <v>1332</v>
      </c>
      <c r="I169" s="44" t="s">
        <v>98</v>
      </c>
      <c r="J169" s="45">
        <v>46293</v>
      </c>
      <c r="K169" s="44" t="s">
        <v>1333</v>
      </c>
      <c r="L169" s="44" t="s">
        <v>1334</v>
      </c>
    </row>
    <row r="170" ht="160" customHeight="1" spans="1:12">
      <c r="A170" s="42" t="s">
        <v>1218</v>
      </c>
      <c r="B170" s="42">
        <v>5</v>
      </c>
      <c r="C170" s="42" t="s">
        <v>1343</v>
      </c>
      <c r="D170" s="42" t="s">
        <v>1219</v>
      </c>
      <c r="E170" s="43" t="s">
        <v>1344</v>
      </c>
      <c r="F170" s="43" t="s">
        <v>1345</v>
      </c>
      <c r="G170" s="44" t="s">
        <v>5</v>
      </c>
      <c r="H170" s="44" t="s">
        <v>1332</v>
      </c>
      <c r="I170" s="44" t="s">
        <v>98</v>
      </c>
      <c r="J170" s="45">
        <v>46293</v>
      </c>
      <c r="K170" s="44" t="s">
        <v>1333</v>
      </c>
      <c r="L170" s="44" t="s">
        <v>1334</v>
      </c>
    </row>
    <row r="171" ht="160" customHeight="1" spans="1:12">
      <c r="A171" s="42" t="s">
        <v>1218</v>
      </c>
      <c r="B171" s="42">
        <v>6</v>
      </c>
      <c r="C171" s="42" t="s">
        <v>1346</v>
      </c>
      <c r="D171" s="42" t="s">
        <v>1219</v>
      </c>
      <c r="E171" s="43" t="s">
        <v>1430</v>
      </c>
      <c r="F171" s="43" t="s">
        <v>1431</v>
      </c>
      <c r="G171" s="44" t="s">
        <v>5</v>
      </c>
      <c r="H171" s="44" t="s">
        <v>1332</v>
      </c>
      <c r="I171" s="44" t="s">
        <v>98</v>
      </c>
      <c r="J171" s="45">
        <v>46293</v>
      </c>
      <c r="K171" s="44" t="s">
        <v>1333</v>
      </c>
      <c r="L171" s="44" t="s">
        <v>1334</v>
      </c>
    </row>
    <row r="172" ht="160" customHeight="1" spans="1:12">
      <c r="A172" s="42" t="s">
        <v>1218</v>
      </c>
      <c r="B172" s="42">
        <v>7</v>
      </c>
      <c r="C172" s="42" t="s">
        <v>1407</v>
      </c>
      <c r="D172" s="42" t="s">
        <v>1219</v>
      </c>
      <c r="E172" s="43" t="s">
        <v>1408</v>
      </c>
      <c r="F172" s="43" t="s">
        <v>1409</v>
      </c>
      <c r="G172" s="44" t="s">
        <v>5</v>
      </c>
      <c r="H172" s="44" t="s">
        <v>1332</v>
      </c>
      <c r="I172" s="44" t="s">
        <v>98</v>
      </c>
      <c r="J172" s="45">
        <v>46293</v>
      </c>
      <c r="K172" s="44" t="s">
        <v>1333</v>
      </c>
      <c r="L172" s="44" t="s">
        <v>1334</v>
      </c>
    </row>
    <row r="173" ht="160" customHeight="1" spans="1:12">
      <c r="A173" s="42" t="s">
        <v>1218</v>
      </c>
      <c r="B173" s="42">
        <v>8</v>
      </c>
      <c r="C173" s="42" t="s">
        <v>1352</v>
      </c>
      <c r="D173" s="42" t="s">
        <v>1219</v>
      </c>
      <c r="E173" s="43" t="s">
        <v>1432</v>
      </c>
      <c r="F173" s="43" t="s">
        <v>1433</v>
      </c>
      <c r="G173" s="44" t="s">
        <v>5</v>
      </c>
      <c r="H173" s="44" t="s">
        <v>1332</v>
      </c>
      <c r="I173" s="44" t="s">
        <v>98</v>
      </c>
      <c r="J173" s="45">
        <v>46293</v>
      </c>
      <c r="K173" s="44" t="s">
        <v>1333</v>
      </c>
      <c r="L173" s="44" t="s">
        <v>1334</v>
      </c>
    </row>
    <row r="174" ht="160" customHeight="1" spans="1:12">
      <c r="A174" s="42" t="s">
        <v>1218</v>
      </c>
      <c r="B174" s="42">
        <v>9</v>
      </c>
      <c r="C174" s="42" t="s">
        <v>1355</v>
      </c>
      <c r="D174" s="42" t="s">
        <v>1219</v>
      </c>
      <c r="E174" s="43" t="s">
        <v>1356</v>
      </c>
      <c r="F174" s="43" t="s">
        <v>1357</v>
      </c>
      <c r="G174" s="44" t="s">
        <v>5</v>
      </c>
      <c r="H174" s="44" t="s">
        <v>1332</v>
      </c>
      <c r="I174" s="44" t="s">
        <v>98</v>
      </c>
      <c r="J174" s="45">
        <v>46293</v>
      </c>
      <c r="K174" s="44" t="s">
        <v>1333</v>
      </c>
      <c r="L174" s="44" t="s">
        <v>1334</v>
      </c>
    </row>
    <row r="175" ht="160" customHeight="1" spans="1:12">
      <c r="A175" s="42" t="s">
        <v>1218</v>
      </c>
      <c r="B175" s="42">
        <v>10</v>
      </c>
      <c r="C175" s="42" t="s">
        <v>1358</v>
      </c>
      <c r="D175" s="42" t="s">
        <v>1219</v>
      </c>
      <c r="E175" s="43" t="s">
        <v>1359</v>
      </c>
      <c r="F175" s="43" t="s">
        <v>1360</v>
      </c>
      <c r="G175" s="44" t="s">
        <v>5</v>
      </c>
      <c r="H175" s="44" t="s">
        <v>1332</v>
      </c>
      <c r="I175" s="44" t="s">
        <v>98</v>
      </c>
      <c r="J175" s="45">
        <v>46293</v>
      </c>
      <c r="K175" s="44" t="s">
        <v>1333</v>
      </c>
      <c r="L175" s="44" t="s">
        <v>1334</v>
      </c>
    </row>
    <row r="176" ht="160" customHeight="1" spans="1:12">
      <c r="A176" s="46" t="s">
        <v>1222</v>
      </c>
      <c r="B176" s="46">
        <v>1</v>
      </c>
      <c r="C176" s="46" t="s">
        <v>1329</v>
      </c>
      <c r="D176" s="46" t="s">
        <v>1223</v>
      </c>
      <c r="E176" s="47" t="s">
        <v>1434</v>
      </c>
      <c r="F176" s="47" t="s">
        <v>1435</v>
      </c>
      <c r="G176" s="48" t="s">
        <v>5</v>
      </c>
      <c r="H176" s="48" t="s">
        <v>1332</v>
      </c>
      <c r="I176" s="48" t="s">
        <v>98</v>
      </c>
      <c r="J176" s="49">
        <v>46293</v>
      </c>
      <c r="K176" s="48" t="s">
        <v>1333</v>
      </c>
      <c r="L176" s="48" t="s">
        <v>1334</v>
      </c>
    </row>
    <row r="177" ht="160" customHeight="1" spans="1:12">
      <c r="A177" s="50" t="s">
        <v>1222</v>
      </c>
      <c r="B177" s="50">
        <v>2</v>
      </c>
      <c r="C177" s="50" t="s">
        <v>1335</v>
      </c>
      <c r="D177" s="50" t="s">
        <v>1223</v>
      </c>
      <c r="E177" s="51" t="s">
        <v>1336</v>
      </c>
      <c r="F177" s="51" t="s">
        <v>1337</v>
      </c>
      <c r="G177" s="44" t="s">
        <v>5</v>
      </c>
      <c r="H177" s="44" t="s">
        <v>1332</v>
      </c>
      <c r="I177" s="44" t="s">
        <v>98</v>
      </c>
      <c r="J177" s="45">
        <v>46293</v>
      </c>
      <c r="K177" s="44" t="s">
        <v>1333</v>
      </c>
      <c r="L177" s="44" t="s">
        <v>1334</v>
      </c>
    </row>
    <row r="178" ht="160" customHeight="1" spans="1:12">
      <c r="A178" s="50" t="s">
        <v>1222</v>
      </c>
      <c r="B178" s="50">
        <v>3</v>
      </c>
      <c r="C178" s="50" t="s">
        <v>1338</v>
      </c>
      <c r="D178" s="50" t="s">
        <v>1223</v>
      </c>
      <c r="E178" s="51" t="s">
        <v>1339</v>
      </c>
      <c r="F178" s="51" t="s">
        <v>1340</v>
      </c>
      <c r="G178" s="44" t="s">
        <v>5</v>
      </c>
      <c r="H178" s="44" t="s">
        <v>1332</v>
      </c>
      <c r="I178" s="44" t="s">
        <v>98</v>
      </c>
      <c r="J178" s="45">
        <v>46293</v>
      </c>
      <c r="K178" s="44" t="s">
        <v>1333</v>
      </c>
      <c r="L178" s="44" t="s">
        <v>1334</v>
      </c>
    </row>
    <row r="179" ht="160" customHeight="1" spans="1:12">
      <c r="A179" s="50" t="s">
        <v>1222</v>
      </c>
      <c r="B179" s="50">
        <v>4</v>
      </c>
      <c r="C179" s="50" t="s">
        <v>1097</v>
      </c>
      <c r="D179" s="50" t="s">
        <v>1223</v>
      </c>
      <c r="E179" s="51" t="s">
        <v>1436</v>
      </c>
      <c r="F179" s="51" t="s">
        <v>1437</v>
      </c>
      <c r="G179" s="44" t="s">
        <v>5</v>
      </c>
      <c r="H179" s="44" t="s">
        <v>1332</v>
      </c>
      <c r="I179" s="44" t="s">
        <v>98</v>
      </c>
      <c r="J179" s="45">
        <v>46293</v>
      </c>
      <c r="K179" s="44" t="s">
        <v>1333</v>
      </c>
      <c r="L179" s="44" t="s">
        <v>1334</v>
      </c>
    </row>
    <row r="180" ht="160" customHeight="1" spans="1:12">
      <c r="A180" s="50" t="s">
        <v>1222</v>
      </c>
      <c r="B180" s="50">
        <v>5</v>
      </c>
      <c r="C180" s="50" t="s">
        <v>1343</v>
      </c>
      <c r="D180" s="50" t="s">
        <v>1223</v>
      </c>
      <c r="E180" s="51" t="s">
        <v>1344</v>
      </c>
      <c r="F180" s="51" t="s">
        <v>1345</v>
      </c>
      <c r="G180" s="44" t="s">
        <v>5</v>
      </c>
      <c r="H180" s="44" t="s">
        <v>1332</v>
      </c>
      <c r="I180" s="44" t="s">
        <v>98</v>
      </c>
      <c r="J180" s="45">
        <v>46293</v>
      </c>
      <c r="K180" s="44" t="s">
        <v>1333</v>
      </c>
      <c r="L180" s="44" t="s">
        <v>1334</v>
      </c>
    </row>
    <row r="181" ht="160" customHeight="1" spans="1:12">
      <c r="A181" s="50" t="s">
        <v>1222</v>
      </c>
      <c r="B181" s="50">
        <v>6</v>
      </c>
      <c r="C181" s="50" t="s">
        <v>1346</v>
      </c>
      <c r="D181" s="50" t="s">
        <v>1223</v>
      </c>
      <c r="E181" s="51" t="s">
        <v>1438</v>
      </c>
      <c r="F181" s="51" t="s">
        <v>1439</v>
      </c>
      <c r="G181" s="44" t="s">
        <v>5</v>
      </c>
      <c r="H181" s="44" t="s">
        <v>1332</v>
      </c>
      <c r="I181" s="44" t="s">
        <v>98</v>
      </c>
      <c r="J181" s="45">
        <v>46293</v>
      </c>
      <c r="K181" s="44" t="s">
        <v>1333</v>
      </c>
      <c r="L181" s="44" t="s">
        <v>1334</v>
      </c>
    </row>
    <row r="182" ht="160" customHeight="1" spans="1:12">
      <c r="A182" s="50" t="s">
        <v>1222</v>
      </c>
      <c r="B182" s="50">
        <v>7</v>
      </c>
      <c r="C182" s="50" t="s">
        <v>1407</v>
      </c>
      <c r="D182" s="50" t="s">
        <v>1223</v>
      </c>
      <c r="E182" s="51" t="s">
        <v>1408</v>
      </c>
      <c r="F182" s="51" t="s">
        <v>1409</v>
      </c>
      <c r="G182" s="44" t="s">
        <v>5</v>
      </c>
      <c r="H182" s="44" t="s">
        <v>1332</v>
      </c>
      <c r="I182" s="44" t="s">
        <v>98</v>
      </c>
      <c r="J182" s="45">
        <v>46293</v>
      </c>
      <c r="K182" s="44" t="s">
        <v>1333</v>
      </c>
      <c r="L182" s="44" t="s">
        <v>1334</v>
      </c>
    </row>
    <row r="183" ht="160" customHeight="1" spans="1:12">
      <c r="A183" s="50" t="s">
        <v>1222</v>
      </c>
      <c r="B183" s="50">
        <v>8</v>
      </c>
      <c r="C183" s="50" t="s">
        <v>1352</v>
      </c>
      <c r="D183" s="50" t="s">
        <v>1223</v>
      </c>
      <c r="E183" s="51" t="s">
        <v>1440</v>
      </c>
      <c r="F183" s="51" t="s">
        <v>1441</v>
      </c>
      <c r="G183" s="44" t="s">
        <v>5</v>
      </c>
      <c r="H183" s="44" t="s">
        <v>1332</v>
      </c>
      <c r="I183" s="44" t="s">
        <v>98</v>
      </c>
      <c r="J183" s="45">
        <v>46293</v>
      </c>
      <c r="K183" s="44" t="s">
        <v>1333</v>
      </c>
      <c r="L183" s="44" t="s">
        <v>1334</v>
      </c>
    </row>
    <row r="184" ht="160" customHeight="1" spans="1:12">
      <c r="A184" s="50" t="s">
        <v>1222</v>
      </c>
      <c r="B184" s="50">
        <v>9</v>
      </c>
      <c r="C184" s="50" t="s">
        <v>1355</v>
      </c>
      <c r="D184" s="50" t="s">
        <v>1223</v>
      </c>
      <c r="E184" s="51" t="s">
        <v>1356</v>
      </c>
      <c r="F184" s="51" t="s">
        <v>1357</v>
      </c>
      <c r="G184" s="44" t="s">
        <v>5</v>
      </c>
      <c r="H184" s="44" t="s">
        <v>1332</v>
      </c>
      <c r="I184" s="44" t="s">
        <v>98</v>
      </c>
      <c r="J184" s="45">
        <v>46293</v>
      </c>
      <c r="K184" s="44" t="s">
        <v>1333</v>
      </c>
      <c r="L184" s="44" t="s">
        <v>1334</v>
      </c>
    </row>
    <row r="185" ht="160" customHeight="1" spans="1:12">
      <c r="A185" s="50" t="s">
        <v>1222</v>
      </c>
      <c r="B185" s="50">
        <v>10</v>
      </c>
      <c r="C185" s="50" t="s">
        <v>1358</v>
      </c>
      <c r="D185" s="50" t="s">
        <v>1223</v>
      </c>
      <c r="E185" s="51" t="s">
        <v>1359</v>
      </c>
      <c r="F185" s="51" t="s">
        <v>1360</v>
      </c>
      <c r="G185" s="44" t="s">
        <v>5</v>
      </c>
      <c r="H185" s="44" t="s">
        <v>1332</v>
      </c>
      <c r="I185" s="44" t="s">
        <v>98</v>
      </c>
      <c r="J185" s="45">
        <v>46293</v>
      </c>
      <c r="K185" s="44" t="s">
        <v>1333</v>
      </c>
      <c r="L185" s="44" t="s">
        <v>1334</v>
      </c>
    </row>
    <row r="186" ht="160" customHeight="1" spans="1:12">
      <c r="A186" s="52" t="s">
        <v>1226</v>
      </c>
      <c r="B186" s="52">
        <v>1</v>
      </c>
      <c r="C186" s="52" t="s">
        <v>1329</v>
      </c>
      <c r="D186" s="52" t="s">
        <v>1227</v>
      </c>
      <c r="E186" s="53" t="s">
        <v>1365</v>
      </c>
      <c r="F186" s="53" t="s">
        <v>1442</v>
      </c>
      <c r="G186" s="54" t="s">
        <v>5</v>
      </c>
      <c r="H186" s="54" t="s">
        <v>1332</v>
      </c>
      <c r="I186" s="54" t="s">
        <v>98</v>
      </c>
      <c r="J186" s="55">
        <v>46293</v>
      </c>
      <c r="K186" s="54" t="s">
        <v>1333</v>
      </c>
      <c r="L186" s="54" t="s">
        <v>1334</v>
      </c>
    </row>
    <row r="187" ht="160" customHeight="1" spans="1:12">
      <c r="A187" s="56" t="s">
        <v>1226</v>
      </c>
      <c r="B187" s="56">
        <v>2</v>
      </c>
      <c r="C187" s="56" t="s">
        <v>1335</v>
      </c>
      <c r="D187" s="56" t="s">
        <v>1227</v>
      </c>
      <c r="E187" s="57" t="s">
        <v>1336</v>
      </c>
      <c r="F187" s="57" t="s">
        <v>1337</v>
      </c>
      <c r="G187" s="44" t="s">
        <v>5</v>
      </c>
      <c r="H187" s="44" t="s">
        <v>1332</v>
      </c>
      <c r="I187" s="44" t="s">
        <v>98</v>
      </c>
      <c r="J187" s="45">
        <v>46293</v>
      </c>
      <c r="K187" s="44" t="s">
        <v>1333</v>
      </c>
      <c r="L187" s="44" t="s">
        <v>1334</v>
      </c>
    </row>
    <row r="188" ht="160" customHeight="1" spans="1:12">
      <c r="A188" s="56" t="s">
        <v>1226</v>
      </c>
      <c r="B188" s="56">
        <v>3</v>
      </c>
      <c r="C188" s="56" t="s">
        <v>1338</v>
      </c>
      <c r="D188" s="56" t="s">
        <v>1227</v>
      </c>
      <c r="E188" s="57" t="s">
        <v>1339</v>
      </c>
      <c r="F188" s="57" t="s">
        <v>1340</v>
      </c>
      <c r="G188" s="44" t="s">
        <v>5</v>
      </c>
      <c r="H188" s="44" t="s">
        <v>1332</v>
      </c>
      <c r="I188" s="44" t="s">
        <v>98</v>
      </c>
      <c r="J188" s="45">
        <v>46293</v>
      </c>
      <c r="K188" s="44" t="s">
        <v>1333</v>
      </c>
      <c r="L188" s="44" t="s">
        <v>1334</v>
      </c>
    </row>
    <row r="189" ht="160" customHeight="1" spans="1:12">
      <c r="A189" s="56" t="s">
        <v>1226</v>
      </c>
      <c r="B189" s="56">
        <v>4</v>
      </c>
      <c r="C189" s="56" t="s">
        <v>1097</v>
      </c>
      <c r="D189" s="56" t="s">
        <v>1227</v>
      </c>
      <c r="E189" s="57" t="s">
        <v>1443</v>
      </c>
      <c r="F189" s="57" t="s">
        <v>1444</v>
      </c>
      <c r="G189" s="44" t="s">
        <v>5</v>
      </c>
      <c r="H189" s="44" t="s">
        <v>1332</v>
      </c>
      <c r="I189" s="44" t="s">
        <v>98</v>
      </c>
      <c r="J189" s="45">
        <v>46293</v>
      </c>
      <c r="K189" s="44" t="s">
        <v>1333</v>
      </c>
      <c r="L189" s="44" t="s">
        <v>1334</v>
      </c>
    </row>
    <row r="190" ht="160" customHeight="1" spans="1:12">
      <c r="A190" s="56" t="s">
        <v>1226</v>
      </c>
      <c r="B190" s="56">
        <v>5</v>
      </c>
      <c r="C190" s="56" t="s">
        <v>1343</v>
      </c>
      <c r="D190" s="56" t="s">
        <v>1227</v>
      </c>
      <c r="E190" s="57" t="s">
        <v>1445</v>
      </c>
      <c r="F190" s="57" t="s">
        <v>1446</v>
      </c>
      <c r="G190" s="44" t="s">
        <v>5</v>
      </c>
      <c r="H190" s="44" t="s">
        <v>1332</v>
      </c>
      <c r="I190" s="44" t="s">
        <v>98</v>
      </c>
      <c r="J190" s="45">
        <v>46293</v>
      </c>
      <c r="K190" s="44" t="s">
        <v>1333</v>
      </c>
      <c r="L190" s="44" t="s">
        <v>1334</v>
      </c>
    </row>
    <row r="191" ht="160" customHeight="1" spans="1:12">
      <c r="A191" s="56" t="s">
        <v>1226</v>
      </c>
      <c r="B191" s="56">
        <v>6</v>
      </c>
      <c r="C191" s="56" t="s">
        <v>1346</v>
      </c>
      <c r="D191" s="56" t="s">
        <v>1227</v>
      </c>
      <c r="E191" s="57" t="s">
        <v>1361</v>
      </c>
      <c r="F191" s="57" t="s">
        <v>1362</v>
      </c>
      <c r="G191" s="44" t="s">
        <v>5</v>
      </c>
      <c r="H191" s="44" t="s">
        <v>1332</v>
      </c>
      <c r="I191" s="44" t="s">
        <v>98</v>
      </c>
      <c r="J191" s="45">
        <v>46293</v>
      </c>
      <c r="K191" s="44" t="s">
        <v>1333</v>
      </c>
      <c r="L191" s="44" t="s">
        <v>1334</v>
      </c>
    </row>
    <row r="192" ht="160" customHeight="1" spans="1:12">
      <c r="A192" s="56" t="s">
        <v>1226</v>
      </c>
      <c r="B192" s="56">
        <v>7</v>
      </c>
      <c r="C192" s="56" t="s">
        <v>1407</v>
      </c>
      <c r="D192" s="56" t="s">
        <v>1227</v>
      </c>
      <c r="E192" s="57" t="s">
        <v>1447</v>
      </c>
      <c r="F192" s="57" t="s">
        <v>1448</v>
      </c>
      <c r="G192" s="44" t="s">
        <v>5</v>
      </c>
      <c r="H192" s="44" t="s">
        <v>1332</v>
      </c>
      <c r="I192" s="44" t="s">
        <v>98</v>
      </c>
      <c r="J192" s="45">
        <v>46293</v>
      </c>
      <c r="K192" s="44" t="s">
        <v>1333</v>
      </c>
      <c r="L192" s="44" t="s">
        <v>1334</v>
      </c>
    </row>
    <row r="193" ht="160" customHeight="1" spans="1:12">
      <c r="A193" s="56" t="s">
        <v>1226</v>
      </c>
      <c r="B193" s="56">
        <v>8</v>
      </c>
      <c r="C193" s="56" t="s">
        <v>1352</v>
      </c>
      <c r="D193" s="56" t="s">
        <v>1227</v>
      </c>
      <c r="E193" s="57" t="s">
        <v>1449</v>
      </c>
      <c r="F193" s="57" t="s">
        <v>1450</v>
      </c>
      <c r="G193" s="44" t="s">
        <v>5</v>
      </c>
      <c r="H193" s="44" t="s">
        <v>1332</v>
      </c>
      <c r="I193" s="44" t="s">
        <v>98</v>
      </c>
      <c r="J193" s="45">
        <v>46293</v>
      </c>
      <c r="K193" s="44" t="s">
        <v>1333</v>
      </c>
      <c r="L193" s="44" t="s">
        <v>1334</v>
      </c>
    </row>
    <row r="194" ht="160" customHeight="1" spans="1:12">
      <c r="A194" s="56" t="s">
        <v>1226</v>
      </c>
      <c r="B194" s="56">
        <v>9</v>
      </c>
      <c r="C194" s="56" t="s">
        <v>1355</v>
      </c>
      <c r="D194" s="56" t="s">
        <v>1227</v>
      </c>
      <c r="E194" s="57" t="s">
        <v>1356</v>
      </c>
      <c r="F194" s="57" t="s">
        <v>1357</v>
      </c>
      <c r="G194" s="44" t="s">
        <v>5</v>
      </c>
      <c r="H194" s="44" t="s">
        <v>1332</v>
      </c>
      <c r="I194" s="44" t="s">
        <v>98</v>
      </c>
      <c r="J194" s="45">
        <v>46293</v>
      </c>
      <c r="K194" s="44" t="s">
        <v>1333</v>
      </c>
      <c r="L194" s="44" t="s">
        <v>1334</v>
      </c>
    </row>
    <row r="195" ht="160" customHeight="1" spans="1:12">
      <c r="A195" s="56" t="s">
        <v>1226</v>
      </c>
      <c r="B195" s="56">
        <v>10</v>
      </c>
      <c r="C195" s="56" t="s">
        <v>1358</v>
      </c>
      <c r="D195" s="56" t="s">
        <v>1227</v>
      </c>
      <c r="E195" s="57" t="s">
        <v>1359</v>
      </c>
      <c r="F195" s="57" t="s">
        <v>1360</v>
      </c>
      <c r="G195" s="44" t="s">
        <v>5</v>
      </c>
      <c r="H195" s="44" t="s">
        <v>1332</v>
      </c>
      <c r="I195" s="44" t="s">
        <v>98</v>
      </c>
      <c r="J195" s="45">
        <v>46293</v>
      </c>
      <c r="K195" s="44" t="s">
        <v>1333</v>
      </c>
      <c r="L195" s="44" t="s">
        <v>1334</v>
      </c>
    </row>
    <row r="196" ht="160" customHeight="1" spans="1:12">
      <c r="A196" s="58" t="s">
        <v>1230</v>
      </c>
      <c r="B196" s="58">
        <v>1</v>
      </c>
      <c r="C196" s="58" t="s">
        <v>1329</v>
      </c>
      <c r="D196" s="58" t="s">
        <v>1231</v>
      </c>
      <c r="E196" s="59" t="s">
        <v>1365</v>
      </c>
      <c r="F196" s="59" t="s">
        <v>1451</v>
      </c>
      <c r="G196" s="60" t="s">
        <v>5</v>
      </c>
      <c r="H196" s="60" t="s">
        <v>1332</v>
      </c>
      <c r="I196" s="60" t="s">
        <v>98</v>
      </c>
      <c r="J196" s="61">
        <v>46293</v>
      </c>
      <c r="K196" s="60" t="s">
        <v>1333</v>
      </c>
      <c r="L196" s="60" t="s">
        <v>1334</v>
      </c>
    </row>
    <row r="197" ht="160" customHeight="1" spans="1:12">
      <c r="A197" s="62" t="s">
        <v>1230</v>
      </c>
      <c r="B197" s="62">
        <v>2</v>
      </c>
      <c r="C197" s="62" t="s">
        <v>1335</v>
      </c>
      <c r="D197" s="62" t="s">
        <v>1231</v>
      </c>
      <c r="E197" s="63" t="s">
        <v>1336</v>
      </c>
      <c r="F197" s="63" t="s">
        <v>1337</v>
      </c>
      <c r="G197" s="44" t="s">
        <v>5</v>
      </c>
      <c r="H197" s="44" t="s">
        <v>1332</v>
      </c>
      <c r="I197" s="44" t="s">
        <v>98</v>
      </c>
      <c r="J197" s="45">
        <v>46293</v>
      </c>
      <c r="K197" s="44" t="s">
        <v>1333</v>
      </c>
      <c r="L197" s="44" t="s">
        <v>1334</v>
      </c>
    </row>
    <row r="198" ht="160" customHeight="1" spans="1:12">
      <c r="A198" s="62" t="s">
        <v>1230</v>
      </c>
      <c r="B198" s="62">
        <v>3</v>
      </c>
      <c r="C198" s="62" t="s">
        <v>1338</v>
      </c>
      <c r="D198" s="62" t="s">
        <v>1231</v>
      </c>
      <c r="E198" s="63" t="s">
        <v>1339</v>
      </c>
      <c r="F198" s="63" t="s">
        <v>1340</v>
      </c>
      <c r="G198" s="44" t="s">
        <v>5</v>
      </c>
      <c r="H198" s="44" t="s">
        <v>1332</v>
      </c>
      <c r="I198" s="44" t="s">
        <v>98</v>
      </c>
      <c r="J198" s="45">
        <v>46293</v>
      </c>
      <c r="K198" s="44" t="s">
        <v>1333</v>
      </c>
      <c r="L198" s="44" t="s">
        <v>1334</v>
      </c>
    </row>
    <row r="199" ht="160" customHeight="1" spans="1:12">
      <c r="A199" s="62" t="s">
        <v>1230</v>
      </c>
      <c r="B199" s="62">
        <v>4</v>
      </c>
      <c r="C199" s="62" t="s">
        <v>1097</v>
      </c>
      <c r="D199" s="62" t="s">
        <v>1231</v>
      </c>
      <c r="E199" s="63" t="s">
        <v>1363</v>
      </c>
      <c r="F199" s="63" t="s">
        <v>1364</v>
      </c>
      <c r="G199" s="44" t="s">
        <v>5</v>
      </c>
      <c r="H199" s="44" t="s">
        <v>1332</v>
      </c>
      <c r="I199" s="44" t="s">
        <v>98</v>
      </c>
      <c r="J199" s="45">
        <v>46293</v>
      </c>
      <c r="K199" s="44" t="s">
        <v>1333</v>
      </c>
      <c r="L199" s="44" t="s">
        <v>1334</v>
      </c>
    </row>
    <row r="200" ht="160" customHeight="1" spans="1:12">
      <c r="A200" s="62" t="s">
        <v>1230</v>
      </c>
      <c r="B200" s="62">
        <v>5</v>
      </c>
      <c r="C200" s="62" t="s">
        <v>1343</v>
      </c>
      <c r="D200" s="62" t="s">
        <v>1231</v>
      </c>
      <c r="E200" s="63" t="s">
        <v>1344</v>
      </c>
      <c r="F200" s="63" t="s">
        <v>1345</v>
      </c>
      <c r="G200" s="44" t="s">
        <v>5</v>
      </c>
      <c r="H200" s="44" t="s">
        <v>1332</v>
      </c>
      <c r="I200" s="44" t="s">
        <v>98</v>
      </c>
      <c r="J200" s="45">
        <v>46293</v>
      </c>
      <c r="K200" s="44" t="s">
        <v>1333</v>
      </c>
      <c r="L200" s="44" t="s">
        <v>1334</v>
      </c>
    </row>
    <row r="201" ht="160" customHeight="1" spans="1:12">
      <c r="A201" s="62" t="s">
        <v>1230</v>
      </c>
      <c r="B201" s="62">
        <v>6</v>
      </c>
      <c r="C201" s="62" t="s">
        <v>1346</v>
      </c>
      <c r="D201" s="62" t="s">
        <v>1231</v>
      </c>
      <c r="E201" s="63" t="s">
        <v>1361</v>
      </c>
      <c r="F201" s="63" t="s">
        <v>1362</v>
      </c>
      <c r="G201" s="44" t="s">
        <v>5</v>
      </c>
      <c r="H201" s="44" t="s">
        <v>1332</v>
      </c>
      <c r="I201" s="44" t="s">
        <v>98</v>
      </c>
      <c r="J201" s="45">
        <v>46293</v>
      </c>
      <c r="K201" s="44" t="s">
        <v>1333</v>
      </c>
      <c r="L201" s="44" t="s">
        <v>1334</v>
      </c>
    </row>
    <row r="202" ht="160" customHeight="1" spans="1:12">
      <c r="A202" s="62" t="s">
        <v>1230</v>
      </c>
      <c r="B202" s="62">
        <v>7</v>
      </c>
      <c r="C202" s="62" t="s">
        <v>1407</v>
      </c>
      <c r="D202" s="62" t="s">
        <v>1231</v>
      </c>
      <c r="E202" s="63" t="s">
        <v>1452</v>
      </c>
      <c r="F202" s="63" t="s">
        <v>1233</v>
      </c>
      <c r="G202" s="44" t="s">
        <v>5</v>
      </c>
      <c r="H202" s="44" t="s">
        <v>1332</v>
      </c>
      <c r="I202" s="44" t="s">
        <v>98</v>
      </c>
      <c r="J202" s="45">
        <v>46293</v>
      </c>
      <c r="K202" s="44" t="s">
        <v>1333</v>
      </c>
      <c r="L202" s="44" t="s">
        <v>1334</v>
      </c>
    </row>
    <row r="203" ht="160" customHeight="1" spans="1:12">
      <c r="A203" s="62" t="s">
        <v>1230</v>
      </c>
      <c r="B203" s="62">
        <v>8</v>
      </c>
      <c r="C203" s="62" t="s">
        <v>1352</v>
      </c>
      <c r="D203" s="62" t="s">
        <v>1231</v>
      </c>
      <c r="E203" s="63" t="s">
        <v>1410</v>
      </c>
      <c r="F203" s="63" t="s">
        <v>1453</v>
      </c>
      <c r="G203" s="44" t="s">
        <v>5</v>
      </c>
      <c r="H203" s="44" t="s">
        <v>1332</v>
      </c>
      <c r="I203" s="44" t="s">
        <v>98</v>
      </c>
      <c r="J203" s="45">
        <v>46293</v>
      </c>
      <c r="K203" s="44" t="s">
        <v>1333</v>
      </c>
      <c r="L203" s="44" t="s">
        <v>1334</v>
      </c>
    </row>
    <row r="204" ht="160" customHeight="1" spans="1:12">
      <c r="A204" s="62" t="s">
        <v>1230</v>
      </c>
      <c r="B204" s="62">
        <v>9</v>
      </c>
      <c r="C204" s="62" t="s">
        <v>1355</v>
      </c>
      <c r="D204" s="62" t="s">
        <v>1231</v>
      </c>
      <c r="E204" s="63" t="s">
        <v>1356</v>
      </c>
      <c r="F204" s="63" t="s">
        <v>1357</v>
      </c>
      <c r="G204" s="44" t="s">
        <v>5</v>
      </c>
      <c r="H204" s="44" t="s">
        <v>1332</v>
      </c>
      <c r="I204" s="44" t="s">
        <v>98</v>
      </c>
      <c r="J204" s="45">
        <v>46293</v>
      </c>
      <c r="K204" s="44" t="s">
        <v>1333</v>
      </c>
      <c r="L204" s="44" t="s">
        <v>1334</v>
      </c>
    </row>
    <row r="205" ht="160" customHeight="1" spans="1:12">
      <c r="A205" s="62" t="s">
        <v>1230</v>
      </c>
      <c r="B205" s="62">
        <v>10</v>
      </c>
      <c r="C205" s="62" t="s">
        <v>1358</v>
      </c>
      <c r="D205" s="62" t="s">
        <v>1231</v>
      </c>
      <c r="E205" s="63" t="s">
        <v>1359</v>
      </c>
      <c r="F205" s="63" t="s">
        <v>1360</v>
      </c>
      <c r="G205" s="44" t="s">
        <v>5</v>
      </c>
      <c r="H205" s="44" t="s">
        <v>1332</v>
      </c>
      <c r="I205" s="44" t="s">
        <v>98</v>
      </c>
      <c r="J205" s="45">
        <v>46293</v>
      </c>
      <c r="K205" s="44" t="s">
        <v>1333</v>
      </c>
      <c r="L205" s="44" t="s">
        <v>1334</v>
      </c>
    </row>
    <row r="206" ht="160" customHeight="1" spans="1:12">
      <c r="A206" s="64" t="s">
        <v>1234</v>
      </c>
      <c r="B206" s="64">
        <v>1</v>
      </c>
      <c r="C206" s="64" t="s">
        <v>1329</v>
      </c>
      <c r="D206" s="64" t="s">
        <v>1235</v>
      </c>
      <c r="E206" s="65" t="s">
        <v>1365</v>
      </c>
      <c r="F206" s="65" t="s">
        <v>1454</v>
      </c>
      <c r="G206" s="66" t="s">
        <v>5</v>
      </c>
      <c r="H206" s="66" t="s">
        <v>1332</v>
      </c>
      <c r="I206" s="66" t="s">
        <v>98</v>
      </c>
      <c r="J206" s="67">
        <v>46293</v>
      </c>
      <c r="K206" s="66" t="s">
        <v>1333</v>
      </c>
      <c r="L206" s="66" t="s">
        <v>1334</v>
      </c>
    </row>
    <row r="207" ht="160" customHeight="1" spans="1:12">
      <c r="A207" s="68" t="s">
        <v>1234</v>
      </c>
      <c r="B207" s="68">
        <v>2</v>
      </c>
      <c r="C207" s="68" t="s">
        <v>1335</v>
      </c>
      <c r="D207" s="68" t="s">
        <v>1235</v>
      </c>
      <c r="E207" s="69" t="s">
        <v>1336</v>
      </c>
      <c r="F207" s="69" t="s">
        <v>1337</v>
      </c>
      <c r="G207" s="44" t="s">
        <v>5</v>
      </c>
      <c r="H207" s="44" t="s">
        <v>1332</v>
      </c>
      <c r="I207" s="44" t="s">
        <v>98</v>
      </c>
      <c r="J207" s="45">
        <v>46293</v>
      </c>
      <c r="K207" s="44" t="s">
        <v>1333</v>
      </c>
      <c r="L207" s="44" t="s">
        <v>1334</v>
      </c>
    </row>
    <row r="208" ht="160" customHeight="1" spans="1:12">
      <c r="A208" s="68" t="s">
        <v>1234</v>
      </c>
      <c r="B208" s="68">
        <v>3</v>
      </c>
      <c r="C208" s="68" t="s">
        <v>1338</v>
      </c>
      <c r="D208" s="68" t="s">
        <v>1235</v>
      </c>
      <c r="E208" s="69" t="s">
        <v>1339</v>
      </c>
      <c r="F208" s="69" t="s">
        <v>1340</v>
      </c>
      <c r="G208" s="44" t="s">
        <v>5</v>
      </c>
      <c r="H208" s="44" t="s">
        <v>1332</v>
      </c>
      <c r="I208" s="44" t="s">
        <v>98</v>
      </c>
      <c r="J208" s="45">
        <v>46293</v>
      </c>
      <c r="K208" s="44" t="s">
        <v>1333</v>
      </c>
      <c r="L208" s="44" t="s">
        <v>1334</v>
      </c>
    </row>
    <row r="209" ht="160" customHeight="1" spans="1:12">
      <c r="A209" s="68" t="s">
        <v>1234</v>
      </c>
      <c r="B209" s="68">
        <v>4</v>
      </c>
      <c r="C209" s="68" t="s">
        <v>1097</v>
      </c>
      <c r="D209" s="68" t="s">
        <v>1235</v>
      </c>
      <c r="E209" s="69" t="s">
        <v>1363</v>
      </c>
      <c r="F209" s="69" t="s">
        <v>1364</v>
      </c>
      <c r="G209" s="44" t="s">
        <v>5</v>
      </c>
      <c r="H209" s="44" t="s">
        <v>1332</v>
      </c>
      <c r="I209" s="44" t="s">
        <v>98</v>
      </c>
      <c r="J209" s="45">
        <v>46293</v>
      </c>
      <c r="K209" s="44" t="s">
        <v>1333</v>
      </c>
      <c r="L209" s="44" t="s">
        <v>1334</v>
      </c>
    </row>
    <row r="210" ht="160" customHeight="1" spans="1:12">
      <c r="A210" s="68" t="s">
        <v>1234</v>
      </c>
      <c r="B210" s="68">
        <v>5</v>
      </c>
      <c r="C210" s="68" t="s">
        <v>1343</v>
      </c>
      <c r="D210" s="68" t="s">
        <v>1235</v>
      </c>
      <c r="E210" s="69" t="s">
        <v>1344</v>
      </c>
      <c r="F210" s="69" t="s">
        <v>1345</v>
      </c>
      <c r="G210" s="44" t="s">
        <v>5</v>
      </c>
      <c r="H210" s="44" t="s">
        <v>1332</v>
      </c>
      <c r="I210" s="44" t="s">
        <v>98</v>
      </c>
      <c r="J210" s="45">
        <v>46293</v>
      </c>
      <c r="K210" s="44" t="s">
        <v>1333</v>
      </c>
      <c r="L210" s="44" t="s">
        <v>1334</v>
      </c>
    </row>
    <row r="211" ht="160" customHeight="1" spans="1:12">
      <c r="A211" s="68" t="s">
        <v>1234</v>
      </c>
      <c r="B211" s="68">
        <v>6</v>
      </c>
      <c r="C211" s="68" t="s">
        <v>1346</v>
      </c>
      <c r="D211" s="68" t="s">
        <v>1235</v>
      </c>
      <c r="E211" s="69" t="s">
        <v>1455</v>
      </c>
      <c r="F211" s="69" t="s">
        <v>1362</v>
      </c>
      <c r="G211" s="44" t="s">
        <v>5</v>
      </c>
      <c r="H211" s="44" t="s">
        <v>1332</v>
      </c>
      <c r="I211" s="44" t="s">
        <v>98</v>
      </c>
      <c r="J211" s="45">
        <v>46293</v>
      </c>
      <c r="K211" s="44" t="s">
        <v>1333</v>
      </c>
      <c r="L211" s="44" t="s">
        <v>1334</v>
      </c>
    </row>
    <row r="212" ht="160" customHeight="1" spans="1:12">
      <c r="A212" s="68" t="s">
        <v>1234</v>
      </c>
      <c r="B212" s="68">
        <v>7</v>
      </c>
      <c r="C212" s="68" t="s">
        <v>1407</v>
      </c>
      <c r="D212" s="68" t="s">
        <v>1235</v>
      </c>
      <c r="E212" s="69" t="s">
        <v>1408</v>
      </c>
      <c r="F212" s="69" t="s">
        <v>1237</v>
      </c>
      <c r="G212" s="44" t="s">
        <v>5</v>
      </c>
      <c r="H212" s="44" t="s">
        <v>1332</v>
      </c>
      <c r="I212" s="44" t="s">
        <v>98</v>
      </c>
      <c r="J212" s="45">
        <v>46293</v>
      </c>
      <c r="K212" s="44" t="s">
        <v>1333</v>
      </c>
      <c r="L212" s="44" t="s">
        <v>1334</v>
      </c>
    </row>
    <row r="213" ht="160" customHeight="1" spans="1:12">
      <c r="A213" s="68" t="s">
        <v>1234</v>
      </c>
      <c r="B213" s="68">
        <v>8</v>
      </c>
      <c r="C213" s="68" t="s">
        <v>1352</v>
      </c>
      <c r="D213" s="68" t="s">
        <v>1235</v>
      </c>
      <c r="E213" s="69" t="s">
        <v>1410</v>
      </c>
      <c r="F213" s="69" t="s">
        <v>1456</v>
      </c>
      <c r="G213" s="44" t="s">
        <v>5</v>
      </c>
      <c r="H213" s="44" t="s">
        <v>1332</v>
      </c>
      <c r="I213" s="44" t="s">
        <v>98</v>
      </c>
      <c r="J213" s="45">
        <v>46293</v>
      </c>
      <c r="K213" s="44" t="s">
        <v>1333</v>
      </c>
      <c r="L213" s="44" t="s">
        <v>1334</v>
      </c>
    </row>
    <row r="214" ht="160" customHeight="1" spans="1:12">
      <c r="A214" s="68" t="s">
        <v>1234</v>
      </c>
      <c r="B214" s="68">
        <v>9</v>
      </c>
      <c r="C214" s="68" t="s">
        <v>1355</v>
      </c>
      <c r="D214" s="68" t="s">
        <v>1235</v>
      </c>
      <c r="E214" s="69" t="s">
        <v>1356</v>
      </c>
      <c r="F214" s="69" t="s">
        <v>1357</v>
      </c>
      <c r="G214" s="44" t="s">
        <v>5</v>
      </c>
      <c r="H214" s="44" t="s">
        <v>1332</v>
      </c>
      <c r="I214" s="44" t="s">
        <v>98</v>
      </c>
      <c r="J214" s="45">
        <v>46293</v>
      </c>
      <c r="K214" s="44" t="s">
        <v>1333</v>
      </c>
      <c r="L214" s="44" t="s">
        <v>1334</v>
      </c>
    </row>
    <row r="215" ht="160" customHeight="1" spans="1:12">
      <c r="A215" s="68" t="s">
        <v>1234</v>
      </c>
      <c r="B215" s="68">
        <v>10</v>
      </c>
      <c r="C215" s="68" t="s">
        <v>1358</v>
      </c>
      <c r="D215" s="68" t="s">
        <v>1235</v>
      </c>
      <c r="E215" s="69" t="s">
        <v>1359</v>
      </c>
      <c r="F215" s="69" t="s">
        <v>1360</v>
      </c>
      <c r="G215" s="44" t="s">
        <v>5</v>
      </c>
      <c r="H215" s="44" t="s">
        <v>1332</v>
      </c>
      <c r="I215" s="44" t="s">
        <v>98</v>
      </c>
      <c r="J215" s="45">
        <v>46293</v>
      </c>
      <c r="K215" s="44" t="s">
        <v>1333</v>
      </c>
      <c r="L215" s="44" t="s">
        <v>1334</v>
      </c>
    </row>
    <row r="216" ht="160" customHeight="1" spans="1:12">
      <c r="A216" s="70" t="s">
        <v>1238</v>
      </c>
      <c r="B216" s="70">
        <v>1</v>
      </c>
      <c r="C216" s="70" t="s">
        <v>1329</v>
      </c>
      <c r="D216" s="70" t="s">
        <v>1239</v>
      </c>
      <c r="E216" s="71" t="s">
        <v>1365</v>
      </c>
      <c r="F216" s="71" t="s">
        <v>1457</v>
      </c>
      <c r="G216" s="72" t="s">
        <v>5</v>
      </c>
      <c r="H216" s="72" t="s">
        <v>1332</v>
      </c>
      <c r="I216" s="72" t="s">
        <v>98</v>
      </c>
      <c r="J216" s="73">
        <v>46293</v>
      </c>
      <c r="K216" s="72" t="s">
        <v>1333</v>
      </c>
      <c r="L216" s="72" t="s">
        <v>1334</v>
      </c>
    </row>
    <row r="217" ht="160" customHeight="1" spans="1:12">
      <c r="A217" s="74" t="s">
        <v>1238</v>
      </c>
      <c r="B217" s="74">
        <v>2</v>
      </c>
      <c r="C217" s="74" t="s">
        <v>1335</v>
      </c>
      <c r="D217" s="74" t="s">
        <v>1239</v>
      </c>
      <c r="E217" s="75" t="s">
        <v>1336</v>
      </c>
      <c r="F217" s="75" t="s">
        <v>1337</v>
      </c>
      <c r="G217" s="44" t="s">
        <v>5</v>
      </c>
      <c r="H217" s="44" t="s">
        <v>1332</v>
      </c>
      <c r="I217" s="44" t="s">
        <v>98</v>
      </c>
      <c r="J217" s="45">
        <v>46293</v>
      </c>
      <c r="K217" s="44" t="s">
        <v>1333</v>
      </c>
      <c r="L217" s="44" t="s">
        <v>1334</v>
      </c>
    </row>
    <row r="218" ht="160" customHeight="1" spans="1:12">
      <c r="A218" s="74" t="s">
        <v>1238</v>
      </c>
      <c r="B218" s="74">
        <v>3</v>
      </c>
      <c r="C218" s="74" t="s">
        <v>1338</v>
      </c>
      <c r="D218" s="74" t="s">
        <v>1239</v>
      </c>
      <c r="E218" s="75" t="s">
        <v>1339</v>
      </c>
      <c r="F218" s="75" t="s">
        <v>1340</v>
      </c>
      <c r="G218" s="44" t="s">
        <v>5</v>
      </c>
      <c r="H218" s="44" t="s">
        <v>1332</v>
      </c>
      <c r="I218" s="44" t="s">
        <v>98</v>
      </c>
      <c r="J218" s="45">
        <v>46293</v>
      </c>
      <c r="K218" s="44" t="s">
        <v>1333</v>
      </c>
      <c r="L218" s="44" t="s">
        <v>1334</v>
      </c>
    </row>
    <row r="219" ht="160" customHeight="1" spans="1:12">
      <c r="A219" s="74" t="s">
        <v>1238</v>
      </c>
      <c r="B219" s="74">
        <v>4</v>
      </c>
      <c r="C219" s="74" t="s">
        <v>1097</v>
      </c>
      <c r="D219" s="74" t="s">
        <v>1239</v>
      </c>
      <c r="E219" s="75" t="s">
        <v>1458</v>
      </c>
      <c r="F219" s="75" t="s">
        <v>1459</v>
      </c>
      <c r="G219" s="44" t="s">
        <v>5</v>
      </c>
      <c r="H219" s="44" t="s">
        <v>1332</v>
      </c>
      <c r="I219" s="44" t="s">
        <v>98</v>
      </c>
      <c r="J219" s="45">
        <v>46293</v>
      </c>
      <c r="K219" s="44" t="s">
        <v>1333</v>
      </c>
      <c r="L219" s="44" t="s">
        <v>1334</v>
      </c>
    </row>
    <row r="220" ht="160" customHeight="1" spans="1:12">
      <c r="A220" s="74" t="s">
        <v>1238</v>
      </c>
      <c r="B220" s="74">
        <v>5</v>
      </c>
      <c r="C220" s="74" t="s">
        <v>1343</v>
      </c>
      <c r="D220" s="74" t="s">
        <v>1239</v>
      </c>
      <c r="E220" s="75" t="s">
        <v>1344</v>
      </c>
      <c r="F220" s="75" t="s">
        <v>1345</v>
      </c>
      <c r="G220" s="44" t="s">
        <v>5</v>
      </c>
      <c r="H220" s="44" t="s">
        <v>1332</v>
      </c>
      <c r="I220" s="44" t="s">
        <v>98</v>
      </c>
      <c r="J220" s="45">
        <v>46293</v>
      </c>
      <c r="K220" s="44" t="s">
        <v>1333</v>
      </c>
      <c r="L220" s="44" t="s">
        <v>1334</v>
      </c>
    </row>
    <row r="221" ht="160" customHeight="1" spans="1:12">
      <c r="A221" s="74" t="s">
        <v>1238</v>
      </c>
      <c r="B221" s="74">
        <v>6</v>
      </c>
      <c r="C221" s="74" t="s">
        <v>1346</v>
      </c>
      <c r="D221" s="74" t="s">
        <v>1239</v>
      </c>
      <c r="E221" s="75" t="s">
        <v>1460</v>
      </c>
      <c r="F221" s="75" t="s">
        <v>1461</v>
      </c>
      <c r="G221" s="44" t="s">
        <v>5</v>
      </c>
      <c r="H221" s="44" t="s">
        <v>1332</v>
      </c>
      <c r="I221" s="44" t="s">
        <v>98</v>
      </c>
      <c r="J221" s="45">
        <v>46293</v>
      </c>
      <c r="K221" s="44" t="s">
        <v>1333</v>
      </c>
      <c r="L221" s="44" t="s">
        <v>1334</v>
      </c>
    </row>
    <row r="222" ht="160" customHeight="1" spans="1:12">
      <c r="A222" s="74" t="s">
        <v>1238</v>
      </c>
      <c r="B222" s="74">
        <v>7</v>
      </c>
      <c r="C222" s="74" t="s">
        <v>1407</v>
      </c>
      <c r="D222" s="74" t="s">
        <v>1239</v>
      </c>
      <c r="E222" s="75" t="s">
        <v>1408</v>
      </c>
      <c r="F222" s="75" t="s">
        <v>1409</v>
      </c>
      <c r="G222" s="44" t="s">
        <v>5</v>
      </c>
      <c r="H222" s="44" t="s">
        <v>1332</v>
      </c>
      <c r="I222" s="44" t="s">
        <v>98</v>
      </c>
      <c r="J222" s="45">
        <v>46293</v>
      </c>
      <c r="K222" s="44" t="s">
        <v>1333</v>
      </c>
      <c r="L222" s="44" t="s">
        <v>1334</v>
      </c>
    </row>
    <row r="223" ht="160" customHeight="1" spans="1:12">
      <c r="A223" s="74" t="s">
        <v>1238</v>
      </c>
      <c r="B223" s="74">
        <v>8</v>
      </c>
      <c r="C223" s="74" t="s">
        <v>1352</v>
      </c>
      <c r="D223" s="74" t="s">
        <v>1239</v>
      </c>
      <c r="E223" s="75" t="s">
        <v>1462</v>
      </c>
      <c r="F223" s="75" t="s">
        <v>1463</v>
      </c>
      <c r="G223" s="44" t="s">
        <v>5</v>
      </c>
      <c r="H223" s="44" t="s">
        <v>1332</v>
      </c>
      <c r="I223" s="44" t="s">
        <v>98</v>
      </c>
      <c r="J223" s="45">
        <v>46293</v>
      </c>
      <c r="K223" s="44" t="s">
        <v>1333</v>
      </c>
      <c r="L223" s="44" t="s">
        <v>1334</v>
      </c>
    </row>
    <row r="224" ht="160" customHeight="1" spans="1:12">
      <c r="A224" s="74" t="s">
        <v>1238</v>
      </c>
      <c r="B224" s="74">
        <v>9</v>
      </c>
      <c r="C224" s="74" t="s">
        <v>1355</v>
      </c>
      <c r="D224" s="74" t="s">
        <v>1239</v>
      </c>
      <c r="E224" s="75" t="s">
        <v>1356</v>
      </c>
      <c r="F224" s="75" t="s">
        <v>1357</v>
      </c>
      <c r="G224" s="44" t="s">
        <v>5</v>
      </c>
      <c r="H224" s="44" t="s">
        <v>1332</v>
      </c>
      <c r="I224" s="44" t="s">
        <v>98</v>
      </c>
      <c r="J224" s="45">
        <v>46293</v>
      </c>
      <c r="K224" s="44" t="s">
        <v>1333</v>
      </c>
      <c r="L224" s="44" t="s">
        <v>1334</v>
      </c>
    </row>
    <row r="225" ht="160" customHeight="1" spans="1:12">
      <c r="A225" s="74" t="s">
        <v>1238</v>
      </c>
      <c r="B225" s="74">
        <v>10</v>
      </c>
      <c r="C225" s="74" t="s">
        <v>1358</v>
      </c>
      <c r="D225" s="74" t="s">
        <v>1239</v>
      </c>
      <c r="E225" s="75" t="s">
        <v>1359</v>
      </c>
      <c r="F225" s="75" t="s">
        <v>1360</v>
      </c>
      <c r="G225" s="44" t="s">
        <v>5</v>
      </c>
      <c r="H225" s="44" t="s">
        <v>1332</v>
      </c>
      <c r="I225" s="44" t="s">
        <v>98</v>
      </c>
      <c r="J225" s="45">
        <v>46293</v>
      </c>
      <c r="K225" s="44" t="s">
        <v>1333</v>
      </c>
      <c r="L225" s="44" t="s">
        <v>1334</v>
      </c>
    </row>
    <row r="226" ht="160" customHeight="1" spans="1:12">
      <c r="A226" s="76" t="s">
        <v>1242</v>
      </c>
      <c r="B226" s="76">
        <v>1</v>
      </c>
      <c r="C226" s="76" t="s">
        <v>1329</v>
      </c>
      <c r="D226" s="76" t="s">
        <v>1243</v>
      </c>
      <c r="E226" s="77" t="s">
        <v>1464</v>
      </c>
      <c r="F226" s="77" t="s">
        <v>1465</v>
      </c>
      <c r="G226" s="78" t="s">
        <v>5</v>
      </c>
      <c r="H226" s="78" t="s">
        <v>1332</v>
      </c>
      <c r="I226" s="78" t="s">
        <v>98</v>
      </c>
      <c r="J226" s="79">
        <v>46293</v>
      </c>
      <c r="K226" s="78" t="s">
        <v>1333</v>
      </c>
      <c r="L226" s="78" t="s">
        <v>1334</v>
      </c>
    </row>
    <row r="227" ht="160" customHeight="1" spans="1:12">
      <c r="A227" s="80" t="s">
        <v>1242</v>
      </c>
      <c r="B227" s="80">
        <v>2</v>
      </c>
      <c r="C227" s="80" t="s">
        <v>1335</v>
      </c>
      <c r="D227" s="80" t="s">
        <v>1243</v>
      </c>
      <c r="E227" s="81" t="s">
        <v>1336</v>
      </c>
      <c r="F227" s="81" t="s">
        <v>1337</v>
      </c>
      <c r="G227" s="44" t="s">
        <v>5</v>
      </c>
      <c r="H227" s="44" t="s">
        <v>1332</v>
      </c>
      <c r="I227" s="44" t="s">
        <v>98</v>
      </c>
      <c r="J227" s="45">
        <v>46293</v>
      </c>
      <c r="K227" s="44" t="s">
        <v>1333</v>
      </c>
      <c r="L227" s="44" t="s">
        <v>1334</v>
      </c>
    </row>
    <row r="228" ht="160" customHeight="1" spans="1:12">
      <c r="A228" s="80" t="s">
        <v>1242</v>
      </c>
      <c r="B228" s="80">
        <v>3</v>
      </c>
      <c r="C228" s="80" t="s">
        <v>1338</v>
      </c>
      <c r="D228" s="80" t="s">
        <v>1243</v>
      </c>
      <c r="E228" s="81" t="s">
        <v>1339</v>
      </c>
      <c r="F228" s="81" t="s">
        <v>1340</v>
      </c>
      <c r="G228" s="44" t="s">
        <v>5</v>
      </c>
      <c r="H228" s="44" t="s">
        <v>1332</v>
      </c>
      <c r="I228" s="44" t="s">
        <v>98</v>
      </c>
      <c r="J228" s="45">
        <v>46293</v>
      </c>
      <c r="K228" s="44" t="s">
        <v>1333</v>
      </c>
      <c r="L228" s="44" t="s">
        <v>1334</v>
      </c>
    </row>
    <row r="229" ht="160" customHeight="1" spans="1:12">
      <c r="A229" s="80" t="s">
        <v>1242</v>
      </c>
      <c r="B229" s="80">
        <v>4</v>
      </c>
      <c r="C229" s="80" t="s">
        <v>1097</v>
      </c>
      <c r="D229" s="80" t="s">
        <v>1243</v>
      </c>
      <c r="E229" s="81" t="s">
        <v>1341</v>
      </c>
      <c r="F229" s="81" t="s">
        <v>1342</v>
      </c>
      <c r="G229" s="44" t="s">
        <v>5</v>
      </c>
      <c r="H229" s="44" t="s">
        <v>1332</v>
      </c>
      <c r="I229" s="44" t="s">
        <v>98</v>
      </c>
      <c r="J229" s="45">
        <v>46293</v>
      </c>
      <c r="K229" s="44" t="s">
        <v>1333</v>
      </c>
      <c r="L229" s="44" t="s">
        <v>1334</v>
      </c>
    </row>
    <row r="230" ht="160" customHeight="1" spans="1:12">
      <c r="A230" s="80" t="s">
        <v>1242</v>
      </c>
      <c r="B230" s="80">
        <v>5</v>
      </c>
      <c r="C230" s="80" t="s">
        <v>1343</v>
      </c>
      <c r="D230" s="80" t="s">
        <v>1243</v>
      </c>
      <c r="E230" s="81" t="s">
        <v>1344</v>
      </c>
      <c r="F230" s="81" t="s">
        <v>1345</v>
      </c>
      <c r="G230" s="44" t="s">
        <v>5</v>
      </c>
      <c r="H230" s="44" t="s">
        <v>1332</v>
      </c>
      <c r="I230" s="44" t="s">
        <v>98</v>
      </c>
      <c r="J230" s="45">
        <v>46293</v>
      </c>
      <c r="K230" s="44" t="s">
        <v>1333</v>
      </c>
      <c r="L230" s="44" t="s">
        <v>1334</v>
      </c>
    </row>
    <row r="231" ht="160" customHeight="1" spans="1:12">
      <c r="A231" s="80" t="s">
        <v>1242</v>
      </c>
      <c r="B231" s="80">
        <v>6</v>
      </c>
      <c r="C231" s="80" t="s">
        <v>1466</v>
      </c>
      <c r="D231" s="80" t="s">
        <v>1243</v>
      </c>
      <c r="E231" s="81" t="s">
        <v>1467</v>
      </c>
      <c r="F231" s="81" t="s">
        <v>1468</v>
      </c>
      <c r="G231" s="44" t="s">
        <v>5</v>
      </c>
      <c r="H231" s="44" t="s">
        <v>1332</v>
      </c>
      <c r="I231" s="44" t="s">
        <v>98</v>
      </c>
      <c r="J231" s="45">
        <v>46293</v>
      </c>
      <c r="K231" s="44" t="s">
        <v>1333</v>
      </c>
      <c r="L231" s="44" t="s">
        <v>1334</v>
      </c>
    </row>
    <row r="232" ht="160" customHeight="1" spans="1:12">
      <c r="A232" s="80" t="s">
        <v>1242</v>
      </c>
      <c r="B232" s="80">
        <v>7</v>
      </c>
      <c r="C232" s="80" t="s">
        <v>1407</v>
      </c>
      <c r="D232" s="80" t="s">
        <v>1243</v>
      </c>
      <c r="E232" s="81" t="s">
        <v>1408</v>
      </c>
      <c r="F232" s="81" t="s">
        <v>1409</v>
      </c>
      <c r="G232" s="44" t="s">
        <v>5</v>
      </c>
      <c r="H232" s="44" t="s">
        <v>1332</v>
      </c>
      <c r="I232" s="44" t="s">
        <v>98</v>
      </c>
      <c r="J232" s="45">
        <v>46293</v>
      </c>
      <c r="K232" s="44" t="s">
        <v>1333</v>
      </c>
      <c r="L232" s="44" t="s">
        <v>1334</v>
      </c>
    </row>
    <row r="233" ht="160" customHeight="1" spans="1:12">
      <c r="A233" s="80" t="s">
        <v>1242</v>
      </c>
      <c r="B233" s="80">
        <v>8</v>
      </c>
      <c r="C233" s="80" t="s">
        <v>1352</v>
      </c>
      <c r="D233" s="80" t="s">
        <v>1243</v>
      </c>
      <c r="E233" s="81" t="s">
        <v>1469</v>
      </c>
      <c r="F233" s="81" t="s">
        <v>1354</v>
      </c>
      <c r="G233" s="44" t="s">
        <v>5</v>
      </c>
      <c r="H233" s="44" t="s">
        <v>1332</v>
      </c>
      <c r="I233" s="44" t="s">
        <v>98</v>
      </c>
      <c r="J233" s="45">
        <v>46293</v>
      </c>
      <c r="K233" s="44" t="s">
        <v>1333</v>
      </c>
      <c r="L233" s="44" t="s">
        <v>1334</v>
      </c>
    </row>
    <row r="234" ht="160" customHeight="1" spans="1:12">
      <c r="A234" s="80" t="s">
        <v>1242</v>
      </c>
      <c r="B234" s="80">
        <v>9</v>
      </c>
      <c r="C234" s="80" t="s">
        <v>1355</v>
      </c>
      <c r="D234" s="80" t="s">
        <v>1243</v>
      </c>
      <c r="E234" s="81" t="s">
        <v>1356</v>
      </c>
      <c r="F234" s="81" t="s">
        <v>1357</v>
      </c>
      <c r="G234" s="44" t="s">
        <v>5</v>
      </c>
      <c r="H234" s="44" t="s">
        <v>1332</v>
      </c>
      <c r="I234" s="44" t="s">
        <v>98</v>
      </c>
      <c r="J234" s="45">
        <v>46293</v>
      </c>
      <c r="K234" s="44" t="s">
        <v>1333</v>
      </c>
      <c r="L234" s="44" t="s">
        <v>1334</v>
      </c>
    </row>
    <row r="235" ht="160" customHeight="1" spans="1:12">
      <c r="A235" s="80" t="s">
        <v>1242</v>
      </c>
      <c r="B235" s="80">
        <v>10</v>
      </c>
      <c r="C235" s="80" t="s">
        <v>1358</v>
      </c>
      <c r="D235" s="80" t="s">
        <v>1243</v>
      </c>
      <c r="E235" s="81" t="s">
        <v>1359</v>
      </c>
      <c r="F235" s="81" t="s">
        <v>1360</v>
      </c>
      <c r="G235" s="44" t="s">
        <v>5</v>
      </c>
      <c r="H235" s="44" t="s">
        <v>1332</v>
      </c>
      <c r="I235" s="44" t="s">
        <v>98</v>
      </c>
      <c r="J235" s="45">
        <v>46293</v>
      </c>
      <c r="K235" s="44" t="s">
        <v>1333</v>
      </c>
      <c r="L235" s="44" t="s">
        <v>1334</v>
      </c>
    </row>
    <row r="236" ht="160" customHeight="1" spans="1:12">
      <c r="A236" s="82" t="s">
        <v>1246</v>
      </c>
      <c r="B236" s="82">
        <v>1</v>
      </c>
      <c r="C236" s="82" t="s">
        <v>1329</v>
      </c>
      <c r="D236" s="82" t="s">
        <v>1247</v>
      </c>
      <c r="E236" s="83" t="s">
        <v>1365</v>
      </c>
      <c r="F236" s="83" t="s">
        <v>1470</v>
      </c>
      <c r="G236" s="84" t="s">
        <v>5</v>
      </c>
      <c r="H236" s="84" t="s">
        <v>1332</v>
      </c>
      <c r="I236" s="84" t="s">
        <v>98</v>
      </c>
      <c r="J236" s="85">
        <v>46293</v>
      </c>
      <c r="K236" s="84" t="s">
        <v>1333</v>
      </c>
      <c r="L236" s="84" t="s">
        <v>1334</v>
      </c>
    </row>
    <row r="237" ht="160" customHeight="1" spans="1:12">
      <c r="A237" s="86" t="s">
        <v>1246</v>
      </c>
      <c r="B237" s="86">
        <v>2</v>
      </c>
      <c r="C237" s="86" t="s">
        <v>1335</v>
      </c>
      <c r="D237" s="86" t="s">
        <v>1247</v>
      </c>
      <c r="E237" s="87" t="s">
        <v>1336</v>
      </c>
      <c r="F237" s="87" t="s">
        <v>1337</v>
      </c>
      <c r="G237" s="44" t="s">
        <v>5</v>
      </c>
      <c r="H237" s="44" t="s">
        <v>1332</v>
      </c>
      <c r="I237" s="44" t="s">
        <v>98</v>
      </c>
      <c r="J237" s="45">
        <v>46293</v>
      </c>
      <c r="K237" s="44" t="s">
        <v>1333</v>
      </c>
      <c r="L237" s="44" t="s">
        <v>1334</v>
      </c>
    </row>
    <row r="238" ht="160" customHeight="1" spans="1:12">
      <c r="A238" s="86" t="s">
        <v>1246</v>
      </c>
      <c r="B238" s="86">
        <v>3</v>
      </c>
      <c r="C238" s="86" t="s">
        <v>1338</v>
      </c>
      <c r="D238" s="86" t="s">
        <v>1247</v>
      </c>
      <c r="E238" s="87" t="s">
        <v>1339</v>
      </c>
      <c r="F238" s="87" t="s">
        <v>1340</v>
      </c>
      <c r="G238" s="44" t="s">
        <v>5</v>
      </c>
      <c r="H238" s="44" t="s">
        <v>1332</v>
      </c>
      <c r="I238" s="44" t="s">
        <v>98</v>
      </c>
      <c r="J238" s="45">
        <v>46293</v>
      </c>
      <c r="K238" s="44" t="s">
        <v>1333</v>
      </c>
      <c r="L238" s="44" t="s">
        <v>1334</v>
      </c>
    </row>
    <row r="239" ht="160" customHeight="1" spans="1:12">
      <c r="A239" s="86" t="s">
        <v>1246</v>
      </c>
      <c r="B239" s="86">
        <v>4</v>
      </c>
      <c r="C239" s="86" t="s">
        <v>1097</v>
      </c>
      <c r="D239" s="86" t="s">
        <v>1247</v>
      </c>
      <c r="E239" s="87" t="s">
        <v>1363</v>
      </c>
      <c r="F239" s="87" t="s">
        <v>1364</v>
      </c>
      <c r="G239" s="44" t="s">
        <v>5</v>
      </c>
      <c r="H239" s="44" t="s">
        <v>1332</v>
      </c>
      <c r="I239" s="44" t="s">
        <v>98</v>
      </c>
      <c r="J239" s="45">
        <v>46293</v>
      </c>
      <c r="K239" s="44" t="s">
        <v>1333</v>
      </c>
      <c r="L239" s="44" t="s">
        <v>1334</v>
      </c>
    </row>
    <row r="240" ht="160" customHeight="1" spans="1:12">
      <c r="A240" s="86" t="s">
        <v>1246</v>
      </c>
      <c r="B240" s="86">
        <v>5</v>
      </c>
      <c r="C240" s="86" t="s">
        <v>1343</v>
      </c>
      <c r="D240" s="86" t="s">
        <v>1247</v>
      </c>
      <c r="E240" s="87" t="s">
        <v>1344</v>
      </c>
      <c r="F240" s="87" t="s">
        <v>1345</v>
      </c>
      <c r="G240" s="44" t="s">
        <v>5</v>
      </c>
      <c r="H240" s="44" t="s">
        <v>1332</v>
      </c>
      <c r="I240" s="44" t="s">
        <v>98</v>
      </c>
      <c r="J240" s="45">
        <v>46293</v>
      </c>
      <c r="K240" s="44" t="s">
        <v>1333</v>
      </c>
      <c r="L240" s="44" t="s">
        <v>1334</v>
      </c>
    </row>
    <row r="241" ht="160" customHeight="1" spans="1:12">
      <c r="A241" s="86" t="s">
        <v>1246</v>
      </c>
      <c r="B241" s="86">
        <v>6</v>
      </c>
      <c r="C241" s="86" t="s">
        <v>1346</v>
      </c>
      <c r="D241" s="86" t="s">
        <v>1247</v>
      </c>
      <c r="E241" s="87" t="s">
        <v>1361</v>
      </c>
      <c r="F241" s="87" t="s">
        <v>1362</v>
      </c>
      <c r="G241" s="44" t="s">
        <v>5</v>
      </c>
      <c r="H241" s="44" t="s">
        <v>1332</v>
      </c>
      <c r="I241" s="44" t="s">
        <v>98</v>
      </c>
      <c r="J241" s="45">
        <v>46293</v>
      </c>
      <c r="K241" s="44" t="s">
        <v>1333</v>
      </c>
      <c r="L241" s="44" t="s">
        <v>1334</v>
      </c>
    </row>
    <row r="242" ht="160" customHeight="1" spans="1:12">
      <c r="A242" s="86" t="s">
        <v>1246</v>
      </c>
      <c r="B242" s="86">
        <v>7</v>
      </c>
      <c r="C242" s="86" t="s">
        <v>1407</v>
      </c>
      <c r="D242" s="86" t="s">
        <v>1247</v>
      </c>
      <c r="E242" s="87" t="s">
        <v>1408</v>
      </c>
      <c r="F242" s="87" t="s">
        <v>1409</v>
      </c>
      <c r="G242" s="44" t="s">
        <v>5</v>
      </c>
      <c r="H242" s="44" t="s">
        <v>1332</v>
      </c>
      <c r="I242" s="44" t="s">
        <v>98</v>
      </c>
      <c r="J242" s="45">
        <v>46293</v>
      </c>
      <c r="K242" s="44" t="s">
        <v>1333</v>
      </c>
      <c r="L242" s="44" t="s">
        <v>1334</v>
      </c>
    </row>
    <row r="243" ht="160" customHeight="1" spans="1:12">
      <c r="A243" s="86" t="s">
        <v>1246</v>
      </c>
      <c r="B243" s="86">
        <v>8</v>
      </c>
      <c r="C243" s="86" t="s">
        <v>1352</v>
      </c>
      <c r="D243" s="86" t="s">
        <v>1247</v>
      </c>
      <c r="E243" s="87" t="s">
        <v>1471</v>
      </c>
      <c r="F243" s="87" t="s">
        <v>1249</v>
      </c>
      <c r="G243" s="44" t="s">
        <v>5</v>
      </c>
      <c r="H243" s="44" t="s">
        <v>1332</v>
      </c>
      <c r="I243" s="44" t="s">
        <v>98</v>
      </c>
      <c r="J243" s="45">
        <v>46293</v>
      </c>
      <c r="K243" s="44" t="s">
        <v>1333</v>
      </c>
      <c r="L243" s="44" t="s">
        <v>1334</v>
      </c>
    </row>
    <row r="244" ht="160" customHeight="1" spans="1:12">
      <c r="A244" s="86" t="s">
        <v>1246</v>
      </c>
      <c r="B244" s="86">
        <v>9</v>
      </c>
      <c r="C244" s="86" t="s">
        <v>1355</v>
      </c>
      <c r="D244" s="86" t="s">
        <v>1247</v>
      </c>
      <c r="E244" s="87" t="s">
        <v>1356</v>
      </c>
      <c r="F244" s="87" t="s">
        <v>1357</v>
      </c>
      <c r="G244" s="44" t="s">
        <v>5</v>
      </c>
      <c r="H244" s="44" t="s">
        <v>1332</v>
      </c>
      <c r="I244" s="44" t="s">
        <v>98</v>
      </c>
      <c r="J244" s="45">
        <v>46293</v>
      </c>
      <c r="K244" s="44" t="s">
        <v>1333</v>
      </c>
      <c r="L244" s="44" t="s">
        <v>1334</v>
      </c>
    </row>
    <row r="245" ht="160" customHeight="1" spans="1:12">
      <c r="A245" s="86" t="s">
        <v>1246</v>
      </c>
      <c r="B245" s="86">
        <v>10</v>
      </c>
      <c r="C245" s="86" t="s">
        <v>1358</v>
      </c>
      <c r="D245" s="86" t="s">
        <v>1247</v>
      </c>
      <c r="E245" s="87" t="s">
        <v>1359</v>
      </c>
      <c r="F245" s="87" t="s">
        <v>1360</v>
      </c>
      <c r="G245" s="44" t="s">
        <v>5</v>
      </c>
      <c r="H245" s="44" t="s">
        <v>1332</v>
      </c>
      <c r="I245" s="44" t="s">
        <v>98</v>
      </c>
      <c r="J245" s="45">
        <v>46293</v>
      </c>
      <c r="K245" s="44" t="s">
        <v>1333</v>
      </c>
      <c r="L245" s="44" t="s">
        <v>1334</v>
      </c>
    </row>
    <row r="246" ht="160" customHeight="1" spans="1:12">
      <c r="A246" s="38" t="s">
        <v>1250</v>
      </c>
      <c r="B246" s="38">
        <v>1</v>
      </c>
      <c r="C246" s="38" t="s">
        <v>1472</v>
      </c>
      <c r="D246" s="38" t="s">
        <v>1251</v>
      </c>
      <c r="E246" s="39" t="s">
        <v>1473</v>
      </c>
      <c r="F246" s="39" t="s">
        <v>1474</v>
      </c>
      <c r="G246" s="40" t="s">
        <v>5</v>
      </c>
      <c r="H246" s="40" t="s">
        <v>1475</v>
      </c>
      <c r="I246" s="40" t="s">
        <v>98</v>
      </c>
      <c r="J246" s="41">
        <v>46293</v>
      </c>
      <c r="K246" s="40" t="s">
        <v>1333</v>
      </c>
      <c r="L246" s="40" t="s">
        <v>1334</v>
      </c>
    </row>
    <row r="247" ht="160" customHeight="1" spans="1:12">
      <c r="A247" s="42" t="s">
        <v>1250</v>
      </c>
      <c r="B247" s="42">
        <v>2</v>
      </c>
      <c r="C247" s="42" t="s">
        <v>1476</v>
      </c>
      <c r="D247" s="42" t="s">
        <v>1251</v>
      </c>
      <c r="E247" s="43" t="s">
        <v>1477</v>
      </c>
      <c r="F247" s="43" t="s">
        <v>1478</v>
      </c>
      <c r="G247" s="44" t="s">
        <v>5</v>
      </c>
      <c r="H247" s="44" t="s">
        <v>1475</v>
      </c>
      <c r="I247" s="44" t="s">
        <v>98</v>
      </c>
      <c r="J247" s="45">
        <v>46293</v>
      </c>
      <c r="K247" s="44" t="s">
        <v>1333</v>
      </c>
      <c r="L247" s="44" t="s">
        <v>1334</v>
      </c>
    </row>
    <row r="248" ht="160" customHeight="1" spans="1:12">
      <c r="A248" s="42" t="s">
        <v>1250</v>
      </c>
      <c r="B248" s="42">
        <v>3</v>
      </c>
      <c r="C248" s="42" t="s">
        <v>1479</v>
      </c>
      <c r="D248" s="42" t="s">
        <v>1251</v>
      </c>
      <c r="E248" s="43" t="s">
        <v>1480</v>
      </c>
      <c r="F248" s="43" t="s">
        <v>1481</v>
      </c>
      <c r="G248" s="44" t="s">
        <v>5</v>
      </c>
      <c r="H248" s="44" t="s">
        <v>1475</v>
      </c>
      <c r="I248" s="44" t="s">
        <v>98</v>
      </c>
      <c r="J248" s="45">
        <v>46293</v>
      </c>
      <c r="K248" s="44" t="s">
        <v>1333</v>
      </c>
      <c r="L248" s="44" t="s">
        <v>1334</v>
      </c>
    </row>
    <row r="249" ht="160" customHeight="1" spans="1:12">
      <c r="A249" s="42" t="s">
        <v>1250</v>
      </c>
      <c r="B249" s="42">
        <v>4</v>
      </c>
      <c r="C249" s="42" t="s">
        <v>1482</v>
      </c>
      <c r="D249" s="42" t="s">
        <v>1251</v>
      </c>
      <c r="E249" s="43" t="s">
        <v>1483</v>
      </c>
      <c r="F249" s="43" t="s">
        <v>1484</v>
      </c>
      <c r="G249" s="44" t="s">
        <v>5</v>
      </c>
      <c r="H249" s="44" t="s">
        <v>1475</v>
      </c>
      <c r="I249" s="44" t="s">
        <v>98</v>
      </c>
      <c r="J249" s="45">
        <v>46293</v>
      </c>
      <c r="K249" s="44" t="s">
        <v>1333</v>
      </c>
      <c r="L249" s="44" t="s">
        <v>1334</v>
      </c>
    </row>
    <row r="250" ht="160" customHeight="1" spans="1:12">
      <c r="A250" s="42" t="s">
        <v>1250</v>
      </c>
      <c r="B250" s="42">
        <v>5</v>
      </c>
      <c r="C250" s="42" t="s">
        <v>1485</v>
      </c>
      <c r="D250" s="42" t="s">
        <v>1251</v>
      </c>
      <c r="E250" s="43" t="s">
        <v>1486</v>
      </c>
      <c r="F250" s="43" t="s">
        <v>1487</v>
      </c>
      <c r="G250" s="44" t="s">
        <v>5</v>
      </c>
      <c r="H250" s="44" t="s">
        <v>1475</v>
      </c>
      <c r="I250" s="44" t="s">
        <v>98</v>
      </c>
      <c r="J250" s="45">
        <v>46293</v>
      </c>
      <c r="K250" s="44" t="s">
        <v>1333</v>
      </c>
      <c r="L250" s="44" t="s">
        <v>1334</v>
      </c>
    </row>
    <row r="251" ht="160" customHeight="1" spans="1:12">
      <c r="A251" s="42" t="s">
        <v>1250</v>
      </c>
      <c r="B251" s="42">
        <v>6</v>
      </c>
      <c r="C251" s="42" t="s">
        <v>1488</v>
      </c>
      <c r="D251" s="42" t="s">
        <v>1251</v>
      </c>
      <c r="E251" s="43" t="s">
        <v>1489</v>
      </c>
      <c r="F251" s="43" t="s">
        <v>1490</v>
      </c>
      <c r="G251" s="44" t="s">
        <v>5</v>
      </c>
      <c r="H251" s="44" t="s">
        <v>1475</v>
      </c>
      <c r="I251" s="44" t="s">
        <v>98</v>
      </c>
      <c r="J251" s="45">
        <v>46293</v>
      </c>
      <c r="K251" s="44" t="s">
        <v>1333</v>
      </c>
      <c r="L251" s="44" t="s">
        <v>1334</v>
      </c>
    </row>
    <row r="252" ht="160" customHeight="1" spans="1:12">
      <c r="A252" s="42" t="s">
        <v>1250</v>
      </c>
      <c r="B252" s="42">
        <v>7</v>
      </c>
      <c r="C252" s="42" t="s">
        <v>1491</v>
      </c>
      <c r="D252" s="42" t="s">
        <v>1251</v>
      </c>
      <c r="E252" s="43" t="s">
        <v>1492</v>
      </c>
      <c r="F252" s="43" t="s">
        <v>1493</v>
      </c>
      <c r="G252" s="44" t="s">
        <v>5</v>
      </c>
      <c r="H252" s="44" t="s">
        <v>1475</v>
      </c>
      <c r="I252" s="44" t="s">
        <v>98</v>
      </c>
      <c r="J252" s="45">
        <v>46293</v>
      </c>
      <c r="K252" s="44" t="s">
        <v>1333</v>
      </c>
      <c r="L252" s="44" t="s">
        <v>1334</v>
      </c>
    </row>
    <row r="253" ht="160" customHeight="1" spans="1:12">
      <c r="A253" s="42" t="s">
        <v>1250</v>
      </c>
      <c r="B253" s="42">
        <v>8</v>
      </c>
      <c r="C253" s="42" t="s">
        <v>1494</v>
      </c>
      <c r="D253" s="42" t="s">
        <v>1251</v>
      </c>
      <c r="E253" s="43" t="s">
        <v>1495</v>
      </c>
      <c r="F253" s="43" t="s">
        <v>1496</v>
      </c>
      <c r="G253" s="44" t="s">
        <v>5</v>
      </c>
      <c r="H253" s="44" t="s">
        <v>1475</v>
      </c>
      <c r="I253" s="44" t="s">
        <v>98</v>
      </c>
      <c r="J253" s="45">
        <v>46293</v>
      </c>
      <c r="K253" s="44" t="s">
        <v>1333</v>
      </c>
      <c r="L253" s="44" t="s">
        <v>1334</v>
      </c>
    </row>
    <row r="254" ht="160" customHeight="1" spans="1:12">
      <c r="A254" s="42" t="s">
        <v>1250</v>
      </c>
      <c r="B254" s="42">
        <v>9</v>
      </c>
      <c r="C254" s="42" t="s">
        <v>1497</v>
      </c>
      <c r="D254" s="42" t="s">
        <v>1251</v>
      </c>
      <c r="E254" s="43" t="s">
        <v>1498</v>
      </c>
      <c r="F254" s="43" t="s">
        <v>1499</v>
      </c>
      <c r="G254" s="44" t="s">
        <v>5</v>
      </c>
      <c r="H254" s="44" t="s">
        <v>1475</v>
      </c>
      <c r="I254" s="44" t="s">
        <v>98</v>
      </c>
      <c r="J254" s="45">
        <v>46293</v>
      </c>
      <c r="K254" s="44" t="s">
        <v>1333</v>
      </c>
      <c r="L254" s="44" t="s">
        <v>1334</v>
      </c>
    </row>
    <row r="255" ht="160" customHeight="1" spans="1:12">
      <c r="A255" s="42" t="s">
        <v>1250</v>
      </c>
      <c r="B255" s="42">
        <v>10</v>
      </c>
      <c r="C255" s="42" t="s">
        <v>1500</v>
      </c>
      <c r="D255" s="42" t="s">
        <v>1251</v>
      </c>
      <c r="E255" s="43" t="s">
        <v>1501</v>
      </c>
      <c r="F255" s="43" t="s">
        <v>1502</v>
      </c>
      <c r="G255" s="44" t="s">
        <v>5</v>
      </c>
      <c r="H255" s="44" t="s">
        <v>1475</v>
      </c>
      <c r="I255" s="44" t="s">
        <v>98</v>
      </c>
      <c r="J255" s="45">
        <v>46293</v>
      </c>
      <c r="K255" s="44" t="s">
        <v>1333</v>
      </c>
      <c r="L255" s="44" t="s">
        <v>1334</v>
      </c>
    </row>
    <row r="256" ht="160" customHeight="1" spans="1:12">
      <c r="A256" s="46" t="s">
        <v>1256</v>
      </c>
      <c r="B256" s="46">
        <v>1</v>
      </c>
      <c r="C256" s="46" t="s">
        <v>1503</v>
      </c>
      <c r="D256" s="46" t="s">
        <v>1257</v>
      </c>
      <c r="E256" s="47" t="s">
        <v>1504</v>
      </c>
      <c r="F256" s="47" t="s">
        <v>1505</v>
      </c>
      <c r="G256" s="48" t="s">
        <v>5</v>
      </c>
      <c r="H256" s="48" t="s">
        <v>1506</v>
      </c>
      <c r="I256" s="48" t="s">
        <v>98</v>
      </c>
      <c r="J256" s="49">
        <v>46293</v>
      </c>
      <c r="K256" s="48" t="s">
        <v>1333</v>
      </c>
      <c r="L256" s="48" t="s">
        <v>1334</v>
      </c>
    </row>
    <row r="257" ht="160" customHeight="1" spans="1:12">
      <c r="A257" s="50" t="s">
        <v>1256</v>
      </c>
      <c r="B257" s="50">
        <v>2</v>
      </c>
      <c r="C257" s="50" t="s">
        <v>1507</v>
      </c>
      <c r="D257" s="50" t="s">
        <v>1257</v>
      </c>
      <c r="E257" s="51" t="s">
        <v>1508</v>
      </c>
      <c r="F257" s="51" t="s">
        <v>1509</v>
      </c>
      <c r="G257" s="44" t="s">
        <v>5</v>
      </c>
      <c r="H257" s="44" t="s">
        <v>1506</v>
      </c>
      <c r="I257" s="44" t="s">
        <v>98</v>
      </c>
      <c r="J257" s="45">
        <v>46293</v>
      </c>
      <c r="K257" s="44" t="s">
        <v>1333</v>
      </c>
      <c r="L257" s="44" t="s">
        <v>1334</v>
      </c>
    </row>
    <row r="258" ht="160" customHeight="1" spans="1:12">
      <c r="A258" s="50" t="s">
        <v>1256</v>
      </c>
      <c r="B258" s="50">
        <v>3</v>
      </c>
      <c r="C258" s="50" t="s">
        <v>1510</v>
      </c>
      <c r="D258" s="50" t="s">
        <v>1257</v>
      </c>
      <c r="E258" s="51" t="s">
        <v>1511</v>
      </c>
      <c r="F258" s="51" t="s">
        <v>1512</v>
      </c>
      <c r="G258" s="44" t="s">
        <v>5</v>
      </c>
      <c r="H258" s="44" t="s">
        <v>1506</v>
      </c>
      <c r="I258" s="44" t="s">
        <v>98</v>
      </c>
      <c r="J258" s="45">
        <v>46293</v>
      </c>
      <c r="K258" s="44" t="s">
        <v>1333</v>
      </c>
      <c r="L258" s="44" t="s">
        <v>1334</v>
      </c>
    </row>
    <row r="259" ht="160" customHeight="1" spans="1:12">
      <c r="A259" s="50" t="s">
        <v>1256</v>
      </c>
      <c r="B259" s="50">
        <v>4</v>
      </c>
      <c r="C259" s="50" t="s">
        <v>1513</v>
      </c>
      <c r="D259" s="50" t="s">
        <v>1257</v>
      </c>
      <c r="E259" s="51" t="s">
        <v>1514</v>
      </c>
      <c r="F259" s="51" t="s">
        <v>1515</v>
      </c>
      <c r="G259" s="44" t="s">
        <v>5</v>
      </c>
      <c r="H259" s="44" t="s">
        <v>1506</v>
      </c>
      <c r="I259" s="44" t="s">
        <v>98</v>
      </c>
      <c r="J259" s="45">
        <v>46293</v>
      </c>
      <c r="K259" s="44" t="s">
        <v>1333</v>
      </c>
      <c r="L259" s="44" t="s">
        <v>1334</v>
      </c>
    </row>
    <row r="260" ht="160" customHeight="1" spans="1:12">
      <c r="A260" s="50" t="s">
        <v>1256</v>
      </c>
      <c r="B260" s="50">
        <v>5</v>
      </c>
      <c r="C260" s="50" t="s">
        <v>1516</v>
      </c>
      <c r="D260" s="50" t="s">
        <v>1257</v>
      </c>
      <c r="E260" s="51" t="s">
        <v>1517</v>
      </c>
      <c r="F260" s="51" t="s">
        <v>1518</v>
      </c>
      <c r="G260" s="44" t="s">
        <v>5</v>
      </c>
      <c r="H260" s="44" t="s">
        <v>1506</v>
      </c>
      <c r="I260" s="44" t="s">
        <v>98</v>
      </c>
      <c r="J260" s="45">
        <v>46293</v>
      </c>
      <c r="K260" s="44" t="s">
        <v>1333</v>
      </c>
      <c r="L260" s="44" t="s">
        <v>1334</v>
      </c>
    </row>
    <row r="261" ht="160" customHeight="1" spans="1:12">
      <c r="A261" s="50" t="s">
        <v>1256</v>
      </c>
      <c r="B261" s="50">
        <v>6</v>
      </c>
      <c r="C261" s="50" t="s">
        <v>1519</v>
      </c>
      <c r="D261" s="50" t="s">
        <v>1257</v>
      </c>
      <c r="E261" s="51" t="s">
        <v>1520</v>
      </c>
      <c r="F261" s="51" t="s">
        <v>1521</v>
      </c>
      <c r="G261" s="44" t="s">
        <v>5</v>
      </c>
      <c r="H261" s="44" t="s">
        <v>1506</v>
      </c>
      <c r="I261" s="44" t="s">
        <v>98</v>
      </c>
      <c r="J261" s="45">
        <v>46293</v>
      </c>
      <c r="K261" s="44" t="s">
        <v>1333</v>
      </c>
      <c r="L261" s="44" t="s">
        <v>1334</v>
      </c>
    </row>
    <row r="262" ht="160" customHeight="1" spans="1:12">
      <c r="A262" s="50" t="s">
        <v>1256</v>
      </c>
      <c r="B262" s="50">
        <v>7</v>
      </c>
      <c r="C262" s="50" t="s">
        <v>1522</v>
      </c>
      <c r="D262" s="50" t="s">
        <v>1257</v>
      </c>
      <c r="E262" s="51" t="s">
        <v>1523</v>
      </c>
      <c r="F262" s="51" t="s">
        <v>1524</v>
      </c>
      <c r="G262" s="44" t="s">
        <v>5</v>
      </c>
      <c r="H262" s="44" t="s">
        <v>1506</v>
      </c>
      <c r="I262" s="44" t="s">
        <v>98</v>
      </c>
      <c r="J262" s="45">
        <v>46293</v>
      </c>
      <c r="K262" s="44" t="s">
        <v>1333</v>
      </c>
      <c r="L262" s="44" t="s">
        <v>1334</v>
      </c>
    </row>
    <row r="263" ht="160" customHeight="1" spans="1:12">
      <c r="A263" s="50" t="s">
        <v>1256</v>
      </c>
      <c r="B263" s="50">
        <v>8</v>
      </c>
      <c r="C263" s="50" t="s">
        <v>1525</v>
      </c>
      <c r="D263" s="50" t="s">
        <v>1257</v>
      </c>
      <c r="E263" s="51" t="s">
        <v>1526</v>
      </c>
      <c r="F263" s="51" t="s">
        <v>1527</v>
      </c>
      <c r="G263" s="44" t="s">
        <v>5</v>
      </c>
      <c r="H263" s="44" t="s">
        <v>1506</v>
      </c>
      <c r="I263" s="44" t="s">
        <v>98</v>
      </c>
      <c r="J263" s="45">
        <v>46293</v>
      </c>
      <c r="K263" s="44" t="s">
        <v>1333</v>
      </c>
      <c r="L263" s="44" t="s">
        <v>1334</v>
      </c>
    </row>
    <row r="264" ht="160" customHeight="1" spans="1:12">
      <c r="A264" s="50" t="s">
        <v>1256</v>
      </c>
      <c r="B264" s="50">
        <v>9</v>
      </c>
      <c r="C264" s="50" t="s">
        <v>1528</v>
      </c>
      <c r="D264" s="50" t="s">
        <v>1257</v>
      </c>
      <c r="E264" s="51" t="s">
        <v>1529</v>
      </c>
      <c r="F264" s="51" t="s">
        <v>1530</v>
      </c>
      <c r="G264" s="44" t="s">
        <v>5</v>
      </c>
      <c r="H264" s="44" t="s">
        <v>1506</v>
      </c>
      <c r="I264" s="44" t="s">
        <v>98</v>
      </c>
      <c r="J264" s="45">
        <v>46293</v>
      </c>
      <c r="K264" s="44" t="s">
        <v>1333</v>
      </c>
      <c r="L264" s="44" t="s">
        <v>1334</v>
      </c>
    </row>
    <row r="265" ht="160" customHeight="1" spans="1:12">
      <c r="A265" s="50" t="s">
        <v>1256</v>
      </c>
      <c r="B265" s="50">
        <v>10</v>
      </c>
      <c r="C265" s="50" t="s">
        <v>1500</v>
      </c>
      <c r="D265" s="50" t="s">
        <v>1257</v>
      </c>
      <c r="E265" s="51" t="s">
        <v>1531</v>
      </c>
      <c r="F265" s="51" t="s">
        <v>1532</v>
      </c>
      <c r="G265" s="44" t="s">
        <v>5</v>
      </c>
      <c r="H265" s="44" t="s">
        <v>1506</v>
      </c>
      <c r="I265" s="44" t="s">
        <v>98</v>
      </c>
      <c r="J265" s="45">
        <v>46293</v>
      </c>
      <c r="K265" s="44" t="s">
        <v>1333</v>
      </c>
      <c r="L265" s="44" t="s">
        <v>1334</v>
      </c>
    </row>
    <row r="266" ht="160" customHeight="1" spans="1:12">
      <c r="A266" s="23" t="s">
        <v>1262</v>
      </c>
      <c r="B266" s="23">
        <v>1</v>
      </c>
      <c r="C266" s="23" t="s">
        <v>1533</v>
      </c>
      <c r="D266" s="23" t="s">
        <v>1263</v>
      </c>
      <c r="E266" s="23" t="s">
        <v>1534</v>
      </c>
      <c r="F266" s="23" t="s">
        <v>1535</v>
      </c>
      <c r="G266" s="20" t="s">
        <v>5</v>
      </c>
      <c r="H266" s="20" t="s">
        <v>1536</v>
      </c>
      <c r="I266" s="20" t="s">
        <v>98</v>
      </c>
      <c r="J266" s="21">
        <v>46293</v>
      </c>
      <c r="K266" s="20" t="s">
        <v>1537</v>
      </c>
      <c r="L266" s="20" t="s">
        <v>1334</v>
      </c>
    </row>
    <row r="267" ht="160" customHeight="1" spans="1:12">
      <c r="A267" s="23" t="s">
        <v>1262</v>
      </c>
      <c r="B267" s="23">
        <v>2</v>
      </c>
      <c r="C267" s="23" t="s">
        <v>1538</v>
      </c>
      <c r="D267" s="23" t="s">
        <v>1263</v>
      </c>
      <c r="E267" s="23" t="s">
        <v>1539</v>
      </c>
      <c r="F267" s="23" t="s">
        <v>1540</v>
      </c>
      <c r="G267" s="20" t="s">
        <v>5</v>
      </c>
      <c r="H267" s="20" t="s">
        <v>1536</v>
      </c>
      <c r="I267" s="20" t="s">
        <v>98</v>
      </c>
      <c r="J267" s="21">
        <v>46293</v>
      </c>
      <c r="K267" s="20" t="s">
        <v>1537</v>
      </c>
      <c r="L267" s="20" t="s">
        <v>1334</v>
      </c>
    </row>
    <row r="268" ht="160" customHeight="1" spans="1:12">
      <c r="A268" s="23" t="s">
        <v>1262</v>
      </c>
      <c r="B268" s="23">
        <v>3</v>
      </c>
      <c r="C268" s="23" t="s">
        <v>1541</v>
      </c>
      <c r="D268" s="23" t="s">
        <v>1263</v>
      </c>
      <c r="E268" s="23" t="s">
        <v>1542</v>
      </c>
      <c r="F268" s="23" t="s">
        <v>1543</v>
      </c>
      <c r="G268" s="20" t="s">
        <v>5</v>
      </c>
      <c r="H268" s="20" t="s">
        <v>1536</v>
      </c>
      <c r="I268" s="20" t="s">
        <v>98</v>
      </c>
      <c r="J268" s="21">
        <v>46293</v>
      </c>
      <c r="K268" s="20" t="s">
        <v>1537</v>
      </c>
      <c r="L268" s="20" t="s">
        <v>1334</v>
      </c>
    </row>
    <row r="269" ht="160" customHeight="1" spans="1:12">
      <c r="A269" s="23" t="s">
        <v>1262</v>
      </c>
      <c r="B269" s="23">
        <v>4</v>
      </c>
      <c r="C269" s="23" t="s">
        <v>1544</v>
      </c>
      <c r="D269" s="23" t="s">
        <v>1263</v>
      </c>
      <c r="E269" s="23" t="s">
        <v>1545</v>
      </c>
      <c r="F269" s="23" t="s">
        <v>1546</v>
      </c>
      <c r="G269" s="20" t="s">
        <v>5</v>
      </c>
      <c r="H269" s="20" t="s">
        <v>1536</v>
      </c>
      <c r="I269" s="20" t="s">
        <v>98</v>
      </c>
      <c r="J269" s="21">
        <v>46293</v>
      </c>
      <c r="K269" s="20" t="s">
        <v>1537</v>
      </c>
      <c r="L269" s="20" t="s">
        <v>1334</v>
      </c>
    </row>
    <row r="270" ht="160" customHeight="1" spans="1:12">
      <c r="A270" s="23" t="s">
        <v>1262</v>
      </c>
      <c r="B270" s="23">
        <v>5</v>
      </c>
      <c r="C270" s="23" t="s">
        <v>1547</v>
      </c>
      <c r="D270" s="23" t="s">
        <v>1263</v>
      </c>
      <c r="E270" s="23" t="s">
        <v>1548</v>
      </c>
      <c r="F270" s="23" t="s">
        <v>1549</v>
      </c>
      <c r="G270" s="20" t="s">
        <v>5</v>
      </c>
      <c r="H270" s="20" t="s">
        <v>1536</v>
      </c>
      <c r="I270" s="20" t="s">
        <v>98</v>
      </c>
      <c r="J270" s="21">
        <v>46293</v>
      </c>
      <c r="K270" s="20" t="s">
        <v>1537</v>
      </c>
      <c r="L270" s="20" t="s">
        <v>1334</v>
      </c>
    </row>
    <row r="271" ht="160" customHeight="1" spans="1:12">
      <c r="A271" s="23" t="s">
        <v>1262</v>
      </c>
      <c r="B271" s="23">
        <v>6</v>
      </c>
      <c r="C271" s="23" t="s">
        <v>1485</v>
      </c>
      <c r="D271" s="23" t="s">
        <v>1263</v>
      </c>
      <c r="E271" s="23" t="s">
        <v>1550</v>
      </c>
      <c r="F271" s="23" t="s">
        <v>1551</v>
      </c>
      <c r="G271" s="20" t="s">
        <v>5</v>
      </c>
      <c r="H271" s="20" t="s">
        <v>1536</v>
      </c>
      <c r="I271" s="20" t="s">
        <v>98</v>
      </c>
      <c r="J271" s="21">
        <v>46293</v>
      </c>
      <c r="K271" s="20" t="s">
        <v>1537</v>
      </c>
      <c r="L271" s="20" t="s">
        <v>1334</v>
      </c>
    </row>
    <row r="272" ht="160" customHeight="1" spans="1:12">
      <c r="A272" s="23" t="s">
        <v>1262</v>
      </c>
      <c r="B272" s="23">
        <v>7</v>
      </c>
      <c r="C272" s="23" t="s">
        <v>1552</v>
      </c>
      <c r="D272" s="23" t="s">
        <v>1263</v>
      </c>
      <c r="E272" s="23" t="s">
        <v>1553</v>
      </c>
      <c r="F272" s="23" t="s">
        <v>1554</v>
      </c>
      <c r="G272" s="20" t="s">
        <v>5</v>
      </c>
      <c r="H272" s="20" t="s">
        <v>1536</v>
      </c>
      <c r="I272" s="20" t="s">
        <v>98</v>
      </c>
      <c r="J272" s="21">
        <v>46293</v>
      </c>
      <c r="K272" s="20" t="s">
        <v>1537</v>
      </c>
      <c r="L272" s="20" t="s">
        <v>1334</v>
      </c>
    </row>
    <row r="273" ht="160" customHeight="1" spans="1:12">
      <c r="A273" s="23" t="s">
        <v>1262</v>
      </c>
      <c r="B273" s="23">
        <v>8</v>
      </c>
      <c r="C273" s="23" t="s">
        <v>1555</v>
      </c>
      <c r="D273" s="23" t="s">
        <v>1263</v>
      </c>
      <c r="E273" s="23" t="s">
        <v>1556</v>
      </c>
      <c r="F273" s="23" t="s">
        <v>1557</v>
      </c>
      <c r="G273" s="20" t="s">
        <v>5</v>
      </c>
      <c r="H273" s="20" t="s">
        <v>1536</v>
      </c>
      <c r="I273" s="20" t="s">
        <v>98</v>
      </c>
      <c r="J273" s="21">
        <v>46293</v>
      </c>
      <c r="K273" s="20" t="s">
        <v>1537</v>
      </c>
      <c r="L273" s="20" t="s">
        <v>1334</v>
      </c>
    </row>
    <row r="274" ht="160" customHeight="1" spans="1:12">
      <c r="A274" s="23" t="s">
        <v>1262</v>
      </c>
      <c r="B274" s="23">
        <v>9</v>
      </c>
      <c r="C274" s="23" t="s">
        <v>1558</v>
      </c>
      <c r="D274" s="23" t="s">
        <v>1263</v>
      </c>
      <c r="E274" s="23" t="s">
        <v>1559</v>
      </c>
      <c r="F274" s="23" t="s">
        <v>1560</v>
      </c>
      <c r="G274" s="20" t="s">
        <v>5</v>
      </c>
      <c r="H274" s="20" t="s">
        <v>1536</v>
      </c>
      <c r="I274" s="20" t="s">
        <v>98</v>
      </c>
      <c r="J274" s="21">
        <v>46293</v>
      </c>
      <c r="K274" s="20" t="s">
        <v>1537</v>
      </c>
      <c r="L274" s="20" t="s">
        <v>1334</v>
      </c>
    </row>
    <row r="275" ht="160" customHeight="1" spans="1:12">
      <c r="A275" s="23" t="s">
        <v>1262</v>
      </c>
      <c r="B275" s="23">
        <v>10</v>
      </c>
      <c r="C275" s="23" t="s">
        <v>1561</v>
      </c>
      <c r="D275" s="23" t="s">
        <v>1263</v>
      </c>
      <c r="E275" s="23" t="s">
        <v>1562</v>
      </c>
      <c r="F275" s="23" t="s">
        <v>1563</v>
      </c>
      <c r="G275" s="20" t="s">
        <v>5</v>
      </c>
      <c r="H275" s="20" t="s">
        <v>1536</v>
      </c>
      <c r="I275" s="20" t="s">
        <v>98</v>
      </c>
      <c r="J275" s="21">
        <v>46293</v>
      </c>
      <c r="K275" s="20" t="s">
        <v>1537</v>
      </c>
      <c r="L275" s="20" t="s">
        <v>1334</v>
      </c>
    </row>
    <row r="276" ht="160" customHeight="1" spans="1:12">
      <c r="A276" s="25" t="s">
        <v>1268</v>
      </c>
      <c r="B276" s="25">
        <v>1</v>
      </c>
      <c r="C276" s="25" t="s">
        <v>1564</v>
      </c>
      <c r="D276" s="25" t="s">
        <v>1269</v>
      </c>
      <c r="E276" s="25" t="s">
        <v>1565</v>
      </c>
      <c r="F276" s="25" t="s">
        <v>1566</v>
      </c>
      <c r="G276" s="20" t="s">
        <v>5</v>
      </c>
      <c r="H276" s="20" t="s">
        <v>1567</v>
      </c>
      <c r="I276" s="20" t="s">
        <v>98</v>
      </c>
      <c r="J276" s="21">
        <v>46293</v>
      </c>
      <c r="K276" s="20" t="s">
        <v>1333</v>
      </c>
      <c r="L276" s="20" t="s">
        <v>1334</v>
      </c>
    </row>
    <row r="277" ht="160" customHeight="1" spans="1:12">
      <c r="A277" s="25" t="s">
        <v>1268</v>
      </c>
      <c r="B277" s="25">
        <v>2</v>
      </c>
      <c r="C277" s="25" t="s">
        <v>1568</v>
      </c>
      <c r="D277" s="25" t="s">
        <v>1269</v>
      </c>
      <c r="E277" s="25" t="s">
        <v>1569</v>
      </c>
      <c r="F277" s="25" t="s">
        <v>1570</v>
      </c>
      <c r="G277" s="20" t="s">
        <v>5</v>
      </c>
      <c r="H277" s="20" t="s">
        <v>1567</v>
      </c>
      <c r="I277" s="20" t="s">
        <v>98</v>
      </c>
      <c r="J277" s="21">
        <v>46293</v>
      </c>
      <c r="K277" s="20" t="s">
        <v>1333</v>
      </c>
      <c r="L277" s="20" t="s">
        <v>1334</v>
      </c>
    </row>
    <row r="278" ht="160" customHeight="1" spans="1:12">
      <c r="A278" s="25" t="s">
        <v>1268</v>
      </c>
      <c r="B278" s="25">
        <v>3</v>
      </c>
      <c r="C278" s="25" t="s">
        <v>1571</v>
      </c>
      <c r="D278" s="25" t="s">
        <v>1269</v>
      </c>
      <c r="E278" s="25" t="s">
        <v>1572</v>
      </c>
      <c r="F278" s="25" t="s">
        <v>1573</v>
      </c>
      <c r="G278" s="20" t="s">
        <v>5</v>
      </c>
      <c r="H278" s="20" t="s">
        <v>1567</v>
      </c>
      <c r="I278" s="20" t="s">
        <v>98</v>
      </c>
      <c r="J278" s="21">
        <v>46293</v>
      </c>
      <c r="K278" s="20" t="s">
        <v>1333</v>
      </c>
      <c r="L278" s="20" t="s">
        <v>1334</v>
      </c>
    </row>
    <row r="279" ht="160" customHeight="1" spans="1:12">
      <c r="A279" s="25" t="s">
        <v>1268</v>
      </c>
      <c r="B279" s="25">
        <v>4</v>
      </c>
      <c r="C279" s="25" t="s">
        <v>1574</v>
      </c>
      <c r="D279" s="25" t="s">
        <v>1269</v>
      </c>
      <c r="E279" s="25" t="s">
        <v>1575</v>
      </c>
      <c r="F279" s="25" t="s">
        <v>1576</v>
      </c>
      <c r="G279" s="20" t="s">
        <v>5</v>
      </c>
      <c r="H279" s="20" t="s">
        <v>1567</v>
      </c>
      <c r="I279" s="20" t="s">
        <v>98</v>
      </c>
      <c r="J279" s="21">
        <v>46293</v>
      </c>
      <c r="K279" s="20" t="s">
        <v>1333</v>
      </c>
      <c r="L279" s="20" t="s">
        <v>1334</v>
      </c>
    </row>
    <row r="280" ht="160" customHeight="1" spans="1:12">
      <c r="A280" s="25" t="s">
        <v>1268</v>
      </c>
      <c r="B280" s="25">
        <v>5</v>
      </c>
      <c r="C280" s="25" t="s">
        <v>1577</v>
      </c>
      <c r="D280" s="25" t="s">
        <v>1269</v>
      </c>
      <c r="E280" s="25" t="s">
        <v>1578</v>
      </c>
      <c r="F280" s="25" t="s">
        <v>1579</v>
      </c>
      <c r="G280" s="20" t="s">
        <v>5</v>
      </c>
      <c r="H280" s="20" t="s">
        <v>1567</v>
      </c>
      <c r="I280" s="20" t="s">
        <v>98</v>
      </c>
      <c r="J280" s="21">
        <v>46293</v>
      </c>
      <c r="K280" s="20" t="s">
        <v>1333</v>
      </c>
      <c r="L280" s="20" t="s">
        <v>1334</v>
      </c>
    </row>
    <row r="281" ht="160" customHeight="1" spans="1:12">
      <c r="A281" s="25" t="s">
        <v>1268</v>
      </c>
      <c r="B281" s="25">
        <v>6</v>
      </c>
      <c r="C281" s="25" t="s">
        <v>1580</v>
      </c>
      <c r="D281" s="25" t="s">
        <v>1269</v>
      </c>
      <c r="E281" s="25" t="s">
        <v>1581</v>
      </c>
      <c r="F281" s="25" t="s">
        <v>1582</v>
      </c>
      <c r="G281" s="20" t="s">
        <v>5</v>
      </c>
      <c r="H281" s="20" t="s">
        <v>1567</v>
      </c>
      <c r="I281" s="20" t="s">
        <v>98</v>
      </c>
      <c r="J281" s="21">
        <v>46293</v>
      </c>
      <c r="K281" s="20" t="s">
        <v>1333</v>
      </c>
      <c r="L281" s="20" t="s">
        <v>1334</v>
      </c>
    </row>
    <row r="282" ht="160" customHeight="1" spans="1:12">
      <c r="A282" s="25" t="s">
        <v>1268</v>
      </c>
      <c r="B282" s="25">
        <v>7</v>
      </c>
      <c r="C282" s="25" t="s">
        <v>1583</v>
      </c>
      <c r="D282" s="25" t="s">
        <v>1269</v>
      </c>
      <c r="E282" s="25" t="s">
        <v>1584</v>
      </c>
      <c r="F282" s="25" t="s">
        <v>1585</v>
      </c>
      <c r="G282" s="20" t="s">
        <v>5</v>
      </c>
      <c r="H282" s="20" t="s">
        <v>1567</v>
      </c>
      <c r="I282" s="20" t="s">
        <v>98</v>
      </c>
      <c r="J282" s="21">
        <v>46293</v>
      </c>
      <c r="K282" s="20" t="s">
        <v>1333</v>
      </c>
      <c r="L282" s="20" t="s">
        <v>1334</v>
      </c>
    </row>
    <row r="283" ht="160" customHeight="1" spans="1:12">
      <c r="A283" s="25" t="s">
        <v>1268</v>
      </c>
      <c r="B283" s="25">
        <v>8</v>
      </c>
      <c r="C283" s="25" t="s">
        <v>1586</v>
      </c>
      <c r="D283" s="25" t="s">
        <v>1269</v>
      </c>
      <c r="E283" s="25" t="s">
        <v>1587</v>
      </c>
      <c r="F283" s="25" t="s">
        <v>1588</v>
      </c>
      <c r="G283" s="20" t="s">
        <v>5</v>
      </c>
      <c r="H283" s="20" t="s">
        <v>1567</v>
      </c>
      <c r="I283" s="20" t="s">
        <v>98</v>
      </c>
      <c r="J283" s="21">
        <v>46293</v>
      </c>
      <c r="K283" s="20" t="s">
        <v>1333</v>
      </c>
      <c r="L283" s="20" t="s">
        <v>1334</v>
      </c>
    </row>
    <row r="284" ht="160" customHeight="1" spans="1:12">
      <c r="A284" s="25" t="s">
        <v>1268</v>
      </c>
      <c r="B284" s="25">
        <v>9</v>
      </c>
      <c r="C284" s="25" t="s">
        <v>1589</v>
      </c>
      <c r="D284" s="25" t="s">
        <v>1269</v>
      </c>
      <c r="E284" s="25" t="s">
        <v>1590</v>
      </c>
      <c r="F284" s="25" t="s">
        <v>1591</v>
      </c>
      <c r="G284" s="20" t="s">
        <v>5</v>
      </c>
      <c r="H284" s="20" t="s">
        <v>1567</v>
      </c>
      <c r="I284" s="20" t="s">
        <v>98</v>
      </c>
      <c r="J284" s="21">
        <v>46293</v>
      </c>
      <c r="K284" s="20" t="s">
        <v>1333</v>
      </c>
      <c r="L284" s="20" t="s">
        <v>1334</v>
      </c>
    </row>
    <row r="285" ht="160" customHeight="1" spans="1:12">
      <c r="A285" s="25" t="s">
        <v>1268</v>
      </c>
      <c r="B285" s="25">
        <v>10</v>
      </c>
      <c r="C285" s="25" t="s">
        <v>1592</v>
      </c>
      <c r="D285" s="25" t="s">
        <v>1269</v>
      </c>
      <c r="E285" s="25" t="s">
        <v>1593</v>
      </c>
      <c r="F285" s="25" t="s">
        <v>1594</v>
      </c>
      <c r="G285" s="20" t="s">
        <v>5</v>
      </c>
      <c r="H285" s="20" t="s">
        <v>1567</v>
      </c>
      <c r="I285" s="20" t="s">
        <v>98</v>
      </c>
      <c r="J285" s="21">
        <v>46293</v>
      </c>
      <c r="K285" s="20" t="s">
        <v>1333</v>
      </c>
      <c r="L285" s="20" t="s">
        <v>1334</v>
      </c>
    </row>
    <row r="286" ht="160" customHeight="1" spans="1:12">
      <c r="A286" s="23" t="s">
        <v>1274</v>
      </c>
      <c r="B286" s="23">
        <v>1</v>
      </c>
      <c r="C286" s="23" t="s">
        <v>1595</v>
      </c>
      <c r="D286" s="23" t="s">
        <v>1275</v>
      </c>
      <c r="E286" s="23" t="s">
        <v>1596</v>
      </c>
      <c r="F286" s="23" t="s">
        <v>1597</v>
      </c>
      <c r="G286" s="20" t="s">
        <v>5</v>
      </c>
      <c r="H286" s="20" t="s">
        <v>1598</v>
      </c>
      <c r="I286" s="20" t="s">
        <v>98</v>
      </c>
      <c r="J286" s="21">
        <v>46293</v>
      </c>
      <c r="K286" s="20" t="s">
        <v>1333</v>
      </c>
      <c r="L286" s="20" t="s">
        <v>1334</v>
      </c>
    </row>
    <row r="287" ht="160" customHeight="1" spans="1:12">
      <c r="A287" s="23" t="s">
        <v>1274</v>
      </c>
      <c r="B287" s="23">
        <v>2</v>
      </c>
      <c r="C287" s="23" t="s">
        <v>1599</v>
      </c>
      <c r="D287" s="23" t="s">
        <v>1275</v>
      </c>
      <c r="E287" s="23" t="s">
        <v>1600</v>
      </c>
      <c r="F287" s="23" t="s">
        <v>1601</v>
      </c>
      <c r="G287" s="20" t="s">
        <v>5</v>
      </c>
      <c r="H287" s="20" t="s">
        <v>1598</v>
      </c>
      <c r="I287" s="20" t="s">
        <v>98</v>
      </c>
      <c r="J287" s="21">
        <v>46293</v>
      </c>
      <c r="K287" s="20" t="s">
        <v>1333</v>
      </c>
      <c r="L287" s="20" t="s">
        <v>1334</v>
      </c>
    </row>
    <row r="288" ht="160" customHeight="1" spans="1:12">
      <c r="A288" s="23" t="s">
        <v>1274</v>
      </c>
      <c r="B288" s="23">
        <v>3</v>
      </c>
      <c r="C288" s="23" t="s">
        <v>1602</v>
      </c>
      <c r="D288" s="23" t="s">
        <v>1275</v>
      </c>
      <c r="E288" s="23" t="s">
        <v>1603</v>
      </c>
      <c r="F288" s="23" t="s">
        <v>1604</v>
      </c>
      <c r="G288" s="20" t="s">
        <v>5</v>
      </c>
      <c r="H288" s="20" t="s">
        <v>1598</v>
      </c>
      <c r="I288" s="20" t="s">
        <v>98</v>
      </c>
      <c r="J288" s="21">
        <v>46293</v>
      </c>
      <c r="K288" s="20" t="s">
        <v>1333</v>
      </c>
      <c r="L288" s="20" t="s">
        <v>1334</v>
      </c>
    </row>
    <row r="289" ht="160" customHeight="1" spans="1:12">
      <c r="A289" s="23" t="s">
        <v>1274</v>
      </c>
      <c r="B289" s="23">
        <v>4</v>
      </c>
      <c r="C289" s="23" t="s">
        <v>1605</v>
      </c>
      <c r="D289" s="23" t="s">
        <v>1275</v>
      </c>
      <c r="E289" s="23" t="s">
        <v>1606</v>
      </c>
      <c r="F289" s="23" t="s">
        <v>1607</v>
      </c>
      <c r="G289" s="20" t="s">
        <v>5</v>
      </c>
      <c r="H289" s="20" t="s">
        <v>1598</v>
      </c>
      <c r="I289" s="20" t="s">
        <v>98</v>
      </c>
      <c r="J289" s="21">
        <v>46293</v>
      </c>
      <c r="K289" s="20" t="s">
        <v>1333</v>
      </c>
      <c r="L289" s="20" t="s">
        <v>1334</v>
      </c>
    </row>
    <row r="290" ht="160" customHeight="1" spans="1:12">
      <c r="A290" s="23" t="s">
        <v>1274</v>
      </c>
      <c r="B290" s="23">
        <v>5</v>
      </c>
      <c r="C290" s="23" t="s">
        <v>1608</v>
      </c>
      <c r="D290" s="23" t="s">
        <v>1275</v>
      </c>
      <c r="E290" s="23" t="s">
        <v>1609</v>
      </c>
      <c r="F290" s="23" t="s">
        <v>1610</v>
      </c>
      <c r="G290" s="20" t="s">
        <v>5</v>
      </c>
      <c r="H290" s="20" t="s">
        <v>1598</v>
      </c>
      <c r="I290" s="20" t="s">
        <v>98</v>
      </c>
      <c r="J290" s="21">
        <v>46293</v>
      </c>
      <c r="K290" s="20" t="s">
        <v>1333</v>
      </c>
      <c r="L290" s="20" t="s">
        <v>1334</v>
      </c>
    </row>
    <row r="291" ht="160" customHeight="1" spans="1:12">
      <c r="A291" s="23" t="s">
        <v>1274</v>
      </c>
      <c r="B291" s="23">
        <v>6</v>
      </c>
      <c r="C291" s="23" t="s">
        <v>1611</v>
      </c>
      <c r="D291" s="23" t="s">
        <v>1275</v>
      </c>
      <c r="E291" s="23" t="s">
        <v>1612</v>
      </c>
      <c r="F291" s="23" t="s">
        <v>1613</v>
      </c>
      <c r="G291" s="20" t="s">
        <v>5</v>
      </c>
      <c r="H291" s="20" t="s">
        <v>1598</v>
      </c>
      <c r="I291" s="20" t="s">
        <v>98</v>
      </c>
      <c r="J291" s="21">
        <v>46293</v>
      </c>
      <c r="K291" s="20" t="s">
        <v>1333</v>
      </c>
      <c r="L291" s="20" t="s">
        <v>1334</v>
      </c>
    </row>
    <row r="292" ht="160" customHeight="1" spans="1:12">
      <c r="A292" s="23" t="s">
        <v>1274</v>
      </c>
      <c r="B292" s="23">
        <v>7</v>
      </c>
      <c r="C292" s="23" t="s">
        <v>1614</v>
      </c>
      <c r="D292" s="23" t="s">
        <v>1275</v>
      </c>
      <c r="E292" s="23" t="s">
        <v>1615</v>
      </c>
      <c r="F292" s="23" t="s">
        <v>1616</v>
      </c>
      <c r="G292" s="20" t="s">
        <v>5</v>
      </c>
      <c r="H292" s="20" t="s">
        <v>1598</v>
      </c>
      <c r="I292" s="20" t="s">
        <v>98</v>
      </c>
      <c r="J292" s="21">
        <v>46293</v>
      </c>
      <c r="K292" s="20" t="s">
        <v>1333</v>
      </c>
      <c r="L292" s="20" t="s">
        <v>1334</v>
      </c>
    </row>
    <row r="293" ht="160" customHeight="1" spans="1:12">
      <c r="A293" s="23" t="s">
        <v>1274</v>
      </c>
      <c r="B293" s="23">
        <v>8</v>
      </c>
      <c r="C293" s="23" t="s">
        <v>1617</v>
      </c>
      <c r="D293" s="23" t="s">
        <v>1275</v>
      </c>
      <c r="E293" s="23" t="s">
        <v>1618</v>
      </c>
      <c r="F293" s="23" t="s">
        <v>1619</v>
      </c>
      <c r="G293" s="20" t="s">
        <v>5</v>
      </c>
      <c r="H293" s="20" t="s">
        <v>1598</v>
      </c>
      <c r="I293" s="20" t="s">
        <v>98</v>
      </c>
      <c r="J293" s="21">
        <v>46293</v>
      </c>
      <c r="K293" s="20" t="s">
        <v>1333</v>
      </c>
      <c r="L293" s="20" t="s">
        <v>1334</v>
      </c>
    </row>
    <row r="294" ht="160" customHeight="1" spans="1:12">
      <c r="A294" s="23" t="s">
        <v>1274</v>
      </c>
      <c r="B294" s="23">
        <v>9</v>
      </c>
      <c r="C294" s="23" t="s">
        <v>1620</v>
      </c>
      <c r="D294" s="23" t="s">
        <v>1275</v>
      </c>
      <c r="E294" s="23" t="s">
        <v>1621</v>
      </c>
      <c r="F294" s="23" t="s">
        <v>1622</v>
      </c>
      <c r="G294" s="20" t="s">
        <v>5</v>
      </c>
      <c r="H294" s="20" t="s">
        <v>1598</v>
      </c>
      <c r="I294" s="20" t="s">
        <v>98</v>
      </c>
      <c r="J294" s="21">
        <v>46293</v>
      </c>
      <c r="K294" s="20" t="s">
        <v>1333</v>
      </c>
      <c r="L294" s="20" t="s">
        <v>1334</v>
      </c>
    </row>
    <row r="295" ht="160" customHeight="1" spans="1:12">
      <c r="A295" s="23" t="s">
        <v>1274</v>
      </c>
      <c r="B295" s="23">
        <v>10</v>
      </c>
      <c r="C295" s="23" t="s">
        <v>1623</v>
      </c>
      <c r="D295" s="23" t="s">
        <v>1275</v>
      </c>
      <c r="E295" s="23" t="s">
        <v>1624</v>
      </c>
      <c r="F295" s="23" t="s">
        <v>1625</v>
      </c>
      <c r="G295" s="20" t="s">
        <v>5</v>
      </c>
      <c r="H295" s="20" t="s">
        <v>1598</v>
      </c>
      <c r="I295" s="20" t="s">
        <v>98</v>
      </c>
      <c r="J295" s="21">
        <v>46293</v>
      </c>
      <c r="K295" s="20" t="s">
        <v>1333</v>
      </c>
      <c r="L295" s="20" t="s">
        <v>1334</v>
      </c>
    </row>
    <row r="296" ht="160" customHeight="1" spans="1:12">
      <c r="A296" s="25" t="s">
        <v>1279</v>
      </c>
      <c r="B296" s="25">
        <v>1</v>
      </c>
      <c r="C296" s="25" t="s">
        <v>1626</v>
      </c>
      <c r="D296" s="25" t="s">
        <v>1280</v>
      </c>
      <c r="E296" s="25" t="s">
        <v>1627</v>
      </c>
      <c r="F296" s="25" t="s">
        <v>1628</v>
      </c>
      <c r="G296" s="20" t="s">
        <v>5</v>
      </c>
      <c r="H296" s="20" t="s">
        <v>1629</v>
      </c>
      <c r="I296" s="20" t="s">
        <v>98</v>
      </c>
      <c r="J296" s="21">
        <v>46293</v>
      </c>
      <c r="K296" s="20" t="s">
        <v>1630</v>
      </c>
      <c r="L296" s="20" t="s">
        <v>1334</v>
      </c>
    </row>
    <row r="297" ht="160" customHeight="1" spans="1:12">
      <c r="A297" s="25" t="s">
        <v>1279</v>
      </c>
      <c r="B297" s="25">
        <v>2</v>
      </c>
      <c r="C297" s="25" t="s">
        <v>1631</v>
      </c>
      <c r="D297" s="25" t="s">
        <v>1280</v>
      </c>
      <c r="E297" s="25" t="s">
        <v>1632</v>
      </c>
      <c r="F297" s="25" t="s">
        <v>1633</v>
      </c>
      <c r="G297" s="20" t="s">
        <v>5</v>
      </c>
      <c r="H297" s="20" t="s">
        <v>1629</v>
      </c>
      <c r="I297" s="20" t="s">
        <v>98</v>
      </c>
      <c r="J297" s="21">
        <v>46293</v>
      </c>
      <c r="K297" s="20" t="s">
        <v>1630</v>
      </c>
      <c r="L297" s="20" t="s">
        <v>1334</v>
      </c>
    </row>
    <row r="298" ht="160" customHeight="1" spans="1:12">
      <c r="A298" s="25" t="s">
        <v>1279</v>
      </c>
      <c r="B298" s="25">
        <v>3</v>
      </c>
      <c r="C298" s="25" t="s">
        <v>1634</v>
      </c>
      <c r="D298" s="25" t="s">
        <v>1280</v>
      </c>
      <c r="E298" s="25" t="s">
        <v>1635</v>
      </c>
      <c r="F298" s="25" t="s">
        <v>1636</v>
      </c>
      <c r="G298" s="20" t="s">
        <v>5</v>
      </c>
      <c r="H298" s="20" t="s">
        <v>1629</v>
      </c>
      <c r="I298" s="20" t="s">
        <v>98</v>
      </c>
      <c r="J298" s="21">
        <v>46293</v>
      </c>
      <c r="K298" s="20" t="s">
        <v>1630</v>
      </c>
      <c r="L298" s="20" t="s">
        <v>1334</v>
      </c>
    </row>
    <row r="299" ht="160" customHeight="1" spans="1:12">
      <c r="A299" s="25" t="s">
        <v>1279</v>
      </c>
      <c r="B299" s="25">
        <v>4</v>
      </c>
      <c r="C299" s="25" t="s">
        <v>1637</v>
      </c>
      <c r="D299" s="25" t="s">
        <v>1280</v>
      </c>
      <c r="E299" s="25" t="s">
        <v>1638</v>
      </c>
      <c r="F299" s="25" t="s">
        <v>1639</v>
      </c>
      <c r="G299" s="20" t="s">
        <v>5</v>
      </c>
      <c r="H299" s="20" t="s">
        <v>1629</v>
      </c>
      <c r="I299" s="20" t="s">
        <v>98</v>
      </c>
      <c r="J299" s="21">
        <v>46293</v>
      </c>
      <c r="K299" s="20" t="s">
        <v>1630</v>
      </c>
      <c r="L299" s="20" t="s">
        <v>1334</v>
      </c>
    </row>
    <row r="300" ht="160" customHeight="1" spans="1:12">
      <c r="A300" s="25" t="s">
        <v>1279</v>
      </c>
      <c r="B300" s="25">
        <v>5</v>
      </c>
      <c r="C300" s="25" t="s">
        <v>1640</v>
      </c>
      <c r="D300" s="25" t="s">
        <v>1280</v>
      </c>
      <c r="E300" s="25" t="s">
        <v>1641</v>
      </c>
      <c r="F300" s="25" t="s">
        <v>1642</v>
      </c>
      <c r="G300" s="20" t="s">
        <v>5</v>
      </c>
      <c r="H300" s="20" t="s">
        <v>1629</v>
      </c>
      <c r="I300" s="20" t="s">
        <v>98</v>
      </c>
      <c r="J300" s="21">
        <v>46293</v>
      </c>
      <c r="K300" s="20" t="s">
        <v>1630</v>
      </c>
      <c r="L300" s="20" t="s">
        <v>1334</v>
      </c>
    </row>
    <row r="301" ht="160" customHeight="1" spans="1:12">
      <c r="A301" s="25" t="s">
        <v>1279</v>
      </c>
      <c r="B301" s="25">
        <v>6</v>
      </c>
      <c r="C301" s="25" t="s">
        <v>1643</v>
      </c>
      <c r="D301" s="25" t="s">
        <v>1280</v>
      </c>
      <c r="E301" s="25" t="s">
        <v>1644</v>
      </c>
      <c r="F301" s="25" t="s">
        <v>1645</v>
      </c>
      <c r="G301" s="20" t="s">
        <v>5</v>
      </c>
      <c r="H301" s="20" t="s">
        <v>1629</v>
      </c>
      <c r="I301" s="20" t="s">
        <v>98</v>
      </c>
      <c r="J301" s="21">
        <v>46293</v>
      </c>
      <c r="K301" s="20" t="s">
        <v>1630</v>
      </c>
      <c r="L301" s="20" t="s">
        <v>1334</v>
      </c>
    </row>
    <row r="302" ht="160" customHeight="1" spans="1:12">
      <c r="A302" s="25" t="s">
        <v>1279</v>
      </c>
      <c r="B302" s="25">
        <v>7</v>
      </c>
      <c r="C302" s="25" t="s">
        <v>1646</v>
      </c>
      <c r="D302" s="25" t="s">
        <v>1280</v>
      </c>
      <c r="E302" s="25" t="s">
        <v>1647</v>
      </c>
      <c r="F302" s="25" t="s">
        <v>1648</v>
      </c>
      <c r="G302" s="20" t="s">
        <v>5</v>
      </c>
      <c r="H302" s="20" t="s">
        <v>1629</v>
      </c>
      <c r="I302" s="20" t="s">
        <v>98</v>
      </c>
      <c r="J302" s="21">
        <v>46293</v>
      </c>
      <c r="K302" s="20" t="s">
        <v>1630</v>
      </c>
      <c r="L302" s="20" t="s">
        <v>1334</v>
      </c>
    </row>
    <row r="303" ht="160" customHeight="1" spans="1:12">
      <c r="A303" s="25" t="s">
        <v>1279</v>
      </c>
      <c r="B303" s="25">
        <v>8</v>
      </c>
      <c r="C303" s="25" t="s">
        <v>1649</v>
      </c>
      <c r="D303" s="25" t="s">
        <v>1280</v>
      </c>
      <c r="E303" s="25" t="s">
        <v>1650</v>
      </c>
      <c r="F303" s="25" t="s">
        <v>1651</v>
      </c>
      <c r="G303" s="20" t="s">
        <v>5</v>
      </c>
      <c r="H303" s="20" t="s">
        <v>1629</v>
      </c>
      <c r="I303" s="20" t="s">
        <v>98</v>
      </c>
      <c r="J303" s="21">
        <v>46293</v>
      </c>
      <c r="K303" s="20" t="s">
        <v>1630</v>
      </c>
      <c r="L303" s="20" t="s">
        <v>1334</v>
      </c>
    </row>
    <row r="304" ht="160" customHeight="1" spans="1:12">
      <c r="A304" s="25" t="s">
        <v>1279</v>
      </c>
      <c r="B304" s="25">
        <v>9</v>
      </c>
      <c r="C304" s="25" t="s">
        <v>1652</v>
      </c>
      <c r="D304" s="25" t="s">
        <v>1280</v>
      </c>
      <c r="E304" s="25" t="s">
        <v>1653</v>
      </c>
      <c r="F304" s="25" t="s">
        <v>1654</v>
      </c>
      <c r="G304" s="20" t="s">
        <v>5</v>
      </c>
      <c r="H304" s="20" t="s">
        <v>1629</v>
      </c>
      <c r="I304" s="20" t="s">
        <v>98</v>
      </c>
      <c r="J304" s="21">
        <v>46293</v>
      </c>
      <c r="K304" s="20" t="s">
        <v>1630</v>
      </c>
      <c r="L304" s="20" t="s">
        <v>1334</v>
      </c>
    </row>
    <row r="305" ht="160" customHeight="1" spans="1:12">
      <c r="A305" s="25" t="s">
        <v>1279</v>
      </c>
      <c r="B305" s="25">
        <v>10</v>
      </c>
      <c r="C305" s="25" t="s">
        <v>1655</v>
      </c>
      <c r="D305" s="25" t="s">
        <v>1280</v>
      </c>
      <c r="E305" s="25" t="s">
        <v>1656</v>
      </c>
      <c r="F305" s="25" t="s">
        <v>1657</v>
      </c>
      <c r="G305" s="20" t="s">
        <v>5</v>
      </c>
      <c r="H305" s="20" t="s">
        <v>1629</v>
      </c>
      <c r="I305" s="20" t="s">
        <v>98</v>
      </c>
      <c r="J305" s="21">
        <v>46293</v>
      </c>
      <c r="K305" s="20" t="s">
        <v>1630</v>
      </c>
      <c r="L305" s="20" t="s">
        <v>1334</v>
      </c>
    </row>
    <row r="306" ht="160" customHeight="1" spans="1:12">
      <c r="A306" s="5" t="s">
        <v>1285</v>
      </c>
      <c r="B306" s="5">
        <v>1</v>
      </c>
      <c r="C306" s="5" t="s">
        <v>1658</v>
      </c>
      <c r="D306" s="5" t="s">
        <v>1286</v>
      </c>
      <c r="E306" s="5" t="s">
        <v>1659</v>
      </c>
      <c r="F306" s="5" t="s">
        <v>1660</v>
      </c>
      <c r="G306" s="20" t="s">
        <v>5</v>
      </c>
      <c r="H306" s="20" t="s">
        <v>1506</v>
      </c>
      <c r="I306" s="20" t="s">
        <v>98</v>
      </c>
      <c r="J306" s="21">
        <v>46293</v>
      </c>
      <c r="K306" s="20" t="s">
        <v>1333</v>
      </c>
      <c r="L306" s="20" t="s">
        <v>1334</v>
      </c>
    </row>
    <row r="307" ht="160" customHeight="1" spans="1:12">
      <c r="A307" s="5" t="s">
        <v>1285</v>
      </c>
      <c r="B307" s="5">
        <v>2</v>
      </c>
      <c r="C307" s="5" t="s">
        <v>1661</v>
      </c>
      <c r="D307" s="5" t="s">
        <v>1286</v>
      </c>
      <c r="E307" s="5" t="s">
        <v>1662</v>
      </c>
      <c r="F307" s="5" t="s">
        <v>1663</v>
      </c>
      <c r="G307" s="20" t="s">
        <v>5</v>
      </c>
      <c r="H307" s="20" t="s">
        <v>1506</v>
      </c>
      <c r="I307" s="20" t="s">
        <v>98</v>
      </c>
      <c r="J307" s="21">
        <v>46293</v>
      </c>
      <c r="K307" s="20" t="s">
        <v>1333</v>
      </c>
      <c r="L307" s="20" t="s">
        <v>1334</v>
      </c>
    </row>
    <row r="308" ht="160" customHeight="1" spans="1:12">
      <c r="A308" s="5" t="s">
        <v>1285</v>
      </c>
      <c r="B308" s="5">
        <v>3</v>
      </c>
      <c r="C308" s="5" t="s">
        <v>1664</v>
      </c>
      <c r="D308" s="5" t="s">
        <v>1286</v>
      </c>
      <c r="E308" s="5" t="s">
        <v>1665</v>
      </c>
      <c r="F308" s="5" t="s">
        <v>1666</v>
      </c>
      <c r="G308" s="20" t="s">
        <v>5</v>
      </c>
      <c r="H308" s="20" t="s">
        <v>1506</v>
      </c>
      <c r="I308" s="20" t="s">
        <v>98</v>
      </c>
      <c r="J308" s="21">
        <v>46293</v>
      </c>
      <c r="K308" s="20" t="s">
        <v>1333</v>
      </c>
      <c r="L308" s="20" t="s">
        <v>1334</v>
      </c>
    </row>
    <row r="309" ht="160" customHeight="1" spans="1:12">
      <c r="A309" s="5" t="s">
        <v>1285</v>
      </c>
      <c r="B309" s="5">
        <v>4</v>
      </c>
      <c r="C309" s="5" t="s">
        <v>1667</v>
      </c>
      <c r="D309" s="5" t="s">
        <v>1286</v>
      </c>
      <c r="E309" s="5" t="s">
        <v>1668</v>
      </c>
      <c r="F309" s="5" t="s">
        <v>1669</v>
      </c>
      <c r="G309" s="20" t="s">
        <v>5</v>
      </c>
      <c r="H309" s="20" t="s">
        <v>1506</v>
      </c>
      <c r="I309" s="20" t="s">
        <v>98</v>
      </c>
      <c r="J309" s="21">
        <v>46293</v>
      </c>
      <c r="K309" s="20" t="s">
        <v>1333</v>
      </c>
      <c r="L309" s="20" t="s">
        <v>1334</v>
      </c>
    </row>
    <row r="310" ht="160" customHeight="1" spans="1:12">
      <c r="A310" s="5" t="s">
        <v>1285</v>
      </c>
      <c r="B310" s="5">
        <v>5</v>
      </c>
      <c r="C310" s="5" t="s">
        <v>1670</v>
      </c>
      <c r="D310" s="5" t="s">
        <v>1286</v>
      </c>
      <c r="E310" s="5" t="s">
        <v>1671</v>
      </c>
      <c r="F310" s="5" t="s">
        <v>1672</v>
      </c>
      <c r="G310" s="20" t="s">
        <v>5</v>
      </c>
      <c r="H310" s="20" t="s">
        <v>1506</v>
      </c>
      <c r="I310" s="20" t="s">
        <v>98</v>
      </c>
      <c r="J310" s="21">
        <v>46293</v>
      </c>
      <c r="K310" s="20" t="s">
        <v>1333</v>
      </c>
      <c r="L310" s="20" t="s">
        <v>1334</v>
      </c>
    </row>
    <row r="311" ht="160" customHeight="1" spans="1:12">
      <c r="A311" s="5" t="s">
        <v>1285</v>
      </c>
      <c r="B311" s="5">
        <v>6</v>
      </c>
      <c r="C311" s="5" t="s">
        <v>1673</v>
      </c>
      <c r="D311" s="5" t="s">
        <v>1286</v>
      </c>
      <c r="E311" s="5" t="s">
        <v>1674</v>
      </c>
      <c r="F311" s="5" t="s">
        <v>1675</v>
      </c>
      <c r="G311" s="20" t="s">
        <v>5</v>
      </c>
      <c r="H311" s="20" t="s">
        <v>1506</v>
      </c>
      <c r="I311" s="20" t="s">
        <v>98</v>
      </c>
      <c r="J311" s="21">
        <v>46293</v>
      </c>
      <c r="K311" s="20" t="s">
        <v>1333</v>
      </c>
      <c r="L311" s="20" t="s">
        <v>1334</v>
      </c>
    </row>
    <row r="312" ht="160" customHeight="1" spans="1:12">
      <c r="A312" s="5" t="s">
        <v>1285</v>
      </c>
      <c r="B312" s="5">
        <v>7</v>
      </c>
      <c r="C312" s="5" t="s">
        <v>1676</v>
      </c>
      <c r="D312" s="5" t="s">
        <v>1286</v>
      </c>
      <c r="E312" s="5" t="s">
        <v>1677</v>
      </c>
      <c r="F312" s="5" t="s">
        <v>1678</v>
      </c>
      <c r="G312" s="20" t="s">
        <v>5</v>
      </c>
      <c r="H312" s="20" t="s">
        <v>1506</v>
      </c>
      <c r="I312" s="20" t="s">
        <v>98</v>
      </c>
      <c r="J312" s="21">
        <v>46293</v>
      </c>
      <c r="K312" s="20" t="s">
        <v>1333</v>
      </c>
      <c r="L312" s="20" t="s">
        <v>1334</v>
      </c>
    </row>
    <row r="313" ht="160" customHeight="1" spans="1:12">
      <c r="A313" s="5" t="s">
        <v>1285</v>
      </c>
      <c r="B313" s="5">
        <v>8</v>
      </c>
      <c r="C313" s="5" t="s">
        <v>1679</v>
      </c>
      <c r="D313" s="5" t="s">
        <v>1286</v>
      </c>
      <c r="E313" s="5" t="s">
        <v>1680</v>
      </c>
      <c r="F313" s="5" t="s">
        <v>1681</v>
      </c>
      <c r="G313" s="20" t="s">
        <v>5</v>
      </c>
      <c r="H313" s="20" t="s">
        <v>1506</v>
      </c>
      <c r="I313" s="20" t="s">
        <v>98</v>
      </c>
      <c r="J313" s="21">
        <v>46293</v>
      </c>
      <c r="K313" s="20" t="s">
        <v>1333</v>
      </c>
      <c r="L313" s="20" t="s">
        <v>1334</v>
      </c>
    </row>
    <row r="314" ht="160" customHeight="1" spans="1:12">
      <c r="A314" s="5" t="s">
        <v>1285</v>
      </c>
      <c r="B314" s="5">
        <v>9</v>
      </c>
      <c r="C314" s="5" t="s">
        <v>1682</v>
      </c>
      <c r="D314" s="5" t="s">
        <v>1286</v>
      </c>
      <c r="E314" s="5" t="s">
        <v>1683</v>
      </c>
      <c r="F314" s="5" t="s">
        <v>1684</v>
      </c>
      <c r="G314" s="20" t="s">
        <v>5</v>
      </c>
      <c r="H314" s="20" t="s">
        <v>1506</v>
      </c>
      <c r="I314" s="20" t="s">
        <v>98</v>
      </c>
      <c r="J314" s="21">
        <v>46293</v>
      </c>
      <c r="K314" s="20" t="s">
        <v>1333</v>
      </c>
      <c r="L314" s="20" t="s">
        <v>1334</v>
      </c>
    </row>
    <row r="315" ht="160" customHeight="1" spans="1:12">
      <c r="A315" s="5" t="s">
        <v>1285</v>
      </c>
      <c r="B315" s="5">
        <v>10</v>
      </c>
      <c r="C315" s="5" t="s">
        <v>1685</v>
      </c>
      <c r="D315" s="5" t="s">
        <v>1286</v>
      </c>
      <c r="E315" s="5" t="s">
        <v>1686</v>
      </c>
      <c r="F315" s="5" t="s">
        <v>1687</v>
      </c>
      <c r="G315" s="20" t="s">
        <v>5</v>
      </c>
      <c r="H315" s="20" t="s">
        <v>1506</v>
      </c>
      <c r="I315" s="20" t="s">
        <v>98</v>
      </c>
      <c r="J315" s="21">
        <v>46293</v>
      </c>
      <c r="K315" s="20" t="s">
        <v>1333</v>
      </c>
      <c r="L315" s="20" t="s">
        <v>1334</v>
      </c>
    </row>
    <row r="316" ht="93" customHeight="1" spans="1:12">
      <c r="A316" s="23" t="s">
        <v>1290</v>
      </c>
      <c r="B316" s="23">
        <v>1</v>
      </c>
      <c r="C316" s="23" t="s">
        <v>1688</v>
      </c>
      <c r="D316" s="23" t="s">
        <v>1291</v>
      </c>
      <c r="E316" s="23" t="s">
        <v>1689</v>
      </c>
      <c r="F316" s="23" t="s">
        <v>1690</v>
      </c>
      <c r="G316" s="20" t="s">
        <v>15</v>
      </c>
      <c r="H316" s="20" t="s">
        <v>1691</v>
      </c>
      <c r="I316" s="20" t="s">
        <v>1692</v>
      </c>
      <c r="J316" s="21" t="s">
        <v>1693</v>
      </c>
      <c r="K316" s="20" t="s">
        <v>1694</v>
      </c>
      <c r="L316" s="20" t="s">
        <v>1695</v>
      </c>
    </row>
    <row r="317" ht="160" customHeight="1" spans="1:12">
      <c r="A317" s="23" t="s">
        <v>1290</v>
      </c>
      <c r="B317" s="23">
        <v>2</v>
      </c>
      <c r="C317" s="23" t="s">
        <v>1696</v>
      </c>
      <c r="D317" s="23" t="s">
        <v>1291</v>
      </c>
      <c r="E317" s="23" t="s">
        <v>1697</v>
      </c>
      <c r="F317" s="23" t="s">
        <v>1698</v>
      </c>
      <c r="G317" s="20" t="s">
        <v>5</v>
      </c>
      <c r="H317" s="20" t="s">
        <v>1506</v>
      </c>
      <c r="I317" s="20" t="s">
        <v>98</v>
      </c>
      <c r="J317" s="21">
        <v>46293</v>
      </c>
      <c r="K317" s="20" t="s">
        <v>1333</v>
      </c>
      <c r="L317" s="20" t="s">
        <v>1334</v>
      </c>
    </row>
    <row r="318" ht="93" customHeight="1" spans="1:12">
      <c r="A318" s="23" t="s">
        <v>1290</v>
      </c>
      <c r="B318" s="23">
        <v>3</v>
      </c>
      <c r="C318" s="23" t="s">
        <v>1699</v>
      </c>
      <c r="D318" s="23" t="s">
        <v>1291</v>
      </c>
      <c r="E318" s="23" t="s">
        <v>1700</v>
      </c>
      <c r="F318" s="23" t="s">
        <v>1701</v>
      </c>
      <c r="G318" s="20" t="s">
        <v>15</v>
      </c>
      <c r="H318" s="20" t="s">
        <v>1702</v>
      </c>
      <c r="I318" s="20" t="s">
        <v>98</v>
      </c>
      <c r="J318" s="21">
        <v>46292</v>
      </c>
      <c r="K318" s="20" t="s">
        <v>1703</v>
      </c>
      <c r="L318" s="20" t="s">
        <v>1704</v>
      </c>
    </row>
    <row r="319" ht="93" customHeight="1" spans="1:12">
      <c r="A319" s="23" t="s">
        <v>1290</v>
      </c>
      <c r="B319" s="23">
        <v>4</v>
      </c>
      <c r="C319" s="23" t="s">
        <v>1705</v>
      </c>
      <c r="D319" s="23" t="s">
        <v>1291</v>
      </c>
      <c r="E319" s="23" t="s">
        <v>1706</v>
      </c>
      <c r="F319" s="23" t="s">
        <v>1707</v>
      </c>
      <c r="G319" s="20" t="s">
        <v>15</v>
      </c>
      <c r="H319" s="20" t="s">
        <v>1708</v>
      </c>
      <c r="I319" s="20" t="s">
        <v>1692</v>
      </c>
      <c r="J319" s="21" t="s">
        <v>1693</v>
      </c>
      <c r="K319" s="20" t="s">
        <v>1694</v>
      </c>
      <c r="L319" s="20" t="s">
        <v>1695</v>
      </c>
    </row>
    <row r="320" ht="160" customHeight="1" spans="1:12">
      <c r="A320" s="23" t="s">
        <v>1290</v>
      </c>
      <c r="B320" s="23">
        <v>5</v>
      </c>
      <c r="C320" s="23" t="s">
        <v>1709</v>
      </c>
      <c r="D320" s="23" t="s">
        <v>1291</v>
      </c>
      <c r="E320" s="23" t="s">
        <v>1710</v>
      </c>
      <c r="F320" s="23" t="s">
        <v>1711</v>
      </c>
      <c r="G320" s="20" t="s">
        <v>5</v>
      </c>
      <c r="H320" s="20" t="s">
        <v>1506</v>
      </c>
      <c r="I320" s="20" t="s">
        <v>98</v>
      </c>
      <c r="J320" s="21">
        <v>46293</v>
      </c>
      <c r="K320" s="20" t="s">
        <v>1333</v>
      </c>
      <c r="L320" s="20" t="s">
        <v>1334</v>
      </c>
    </row>
    <row r="321" ht="93" customHeight="1" spans="1:12">
      <c r="A321" s="23" t="s">
        <v>1290</v>
      </c>
      <c r="B321" s="23">
        <v>6</v>
      </c>
      <c r="C321" s="23" t="s">
        <v>1712</v>
      </c>
      <c r="D321" s="23" t="s">
        <v>1291</v>
      </c>
      <c r="E321" s="23" t="s">
        <v>1713</v>
      </c>
      <c r="F321" s="23" t="s">
        <v>1714</v>
      </c>
      <c r="G321" s="20" t="s">
        <v>15</v>
      </c>
      <c r="H321" s="20" t="s">
        <v>1715</v>
      </c>
      <c r="I321" s="20" t="s">
        <v>1692</v>
      </c>
      <c r="J321" s="21" t="s">
        <v>1693</v>
      </c>
      <c r="K321" s="20" t="s">
        <v>1694</v>
      </c>
      <c r="L321" s="20" t="s">
        <v>1695</v>
      </c>
    </row>
    <row r="322" ht="93" customHeight="1" spans="1:12">
      <c r="A322" s="23" t="s">
        <v>1290</v>
      </c>
      <c r="B322" s="23">
        <v>7</v>
      </c>
      <c r="C322" s="23" t="s">
        <v>1716</v>
      </c>
      <c r="D322" s="23" t="s">
        <v>1291</v>
      </c>
      <c r="E322" s="23" t="s">
        <v>1717</v>
      </c>
      <c r="F322" s="23" t="s">
        <v>1718</v>
      </c>
      <c r="G322" s="20" t="s">
        <v>15</v>
      </c>
      <c r="H322" s="20" t="s">
        <v>1719</v>
      </c>
      <c r="I322" s="20" t="s">
        <v>1692</v>
      </c>
      <c r="J322" s="21" t="s">
        <v>1693</v>
      </c>
      <c r="K322" s="20" t="s">
        <v>1694</v>
      </c>
      <c r="L322" s="20" t="s">
        <v>1695</v>
      </c>
    </row>
    <row r="323" ht="93" customHeight="1" spans="1:12">
      <c r="A323" s="23" t="s">
        <v>1290</v>
      </c>
      <c r="B323" s="23">
        <v>8</v>
      </c>
      <c r="C323" s="23" t="s">
        <v>1720</v>
      </c>
      <c r="D323" s="23" t="s">
        <v>1291</v>
      </c>
      <c r="E323" s="23" t="s">
        <v>1721</v>
      </c>
      <c r="F323" s="23" t="s">
        <v>1722</v>
      </c>
      <c r="G323" s="20" t="s">
        <v>15</v>
      </c>
      <c r="H323" s="20" t="s">
        <v>1723</v>
      </c>
      <c r="I323" s="20" t="s">
        <v>1692</v>
      </c>
      <c r="J323" s="21" t="s">
        <v>1693</v>
      </c>
      <c r="K323" s="20" t="s">
        <v>1694</v>
      </c>
      <c r="L323" s="20" t="s">
        <v>1695</v>
      </c>
    </row>
    <row r="324" ht="160" customHeight="1" spans="1:12">
      <c r="A324" s="23" t="s">
        <v>1290</v>
      </c>
      <c r="B324" s="23">
        <v>9</v>
      </c>
      <c r="C324" s="23" t="s">
        <v>1724</v>
      </c>
      <c r="D324" s="23" t="s">
        <v>1291</v>
      </c>
      <c r="E324" s="23" t="s">
        <v>1725</v>
      </c>
      <c r="F324" s="23" t="s">
        <v>1726</v>
      </c>
      <c r="G324" s="20" t="s">
        <v>5</v>
      </c>
      <c r="H324" s="20" t="s">
        <v>1506</v>
      </c>
      <c r="I324" s="20" t="s">
        <v>98</v>
      </c>
      <c r="J324" s="21">
        <v>46293</v>
      </c>
      <c r="K324" s="20" t="s">
        <v>1333</v>
      </c>
      <c r="L324" s="20" t="s">
        <v>1334</v>
      </c>
    </row>
    <row r="325" ht="160" customHeight="1" spans="1:12">
      <c r="A325" s="23" t="s">
        <v>1290</v>
      </c>
      <c r="B325" s="23">
        <v>10</v>
      </c>
      <c r="C325" s="23" t="s">
        <v>1727</v>
      </c>
      <c r="D325" s="23" t="s">
        <v>1291</v>
      </c>
      <c r="E325" s="23" t="s">
        <v>1728</v>
      </c>
      <c r="F325" s="23" t="s">
        <v>1729</v>
      </c>
      <c r="G325" s="20" t="s">
        <v>5</v>
      </c>
      <c r="H325" s="20" t="s">
        <v>1506</v>
      </c>
      <c r="I325" s="20" t="s">
        <v>98</v>
      </c>
      <c r="J325" s="21">
        <v>46293</v>
      </c>
      <c r="K325" s="20" t="s">
        <v>1333</v>
      </c>
      <c r="L325" s="20" t="s">
        <v>1334</v>
      </c>
    </row>
    <row r="326" ht="160" customHeight="1" spans="1:12">
      <c r="A326" s="25" t="s">
        <v>1295</v>
      </c>
      <c r="B326" s="25">
        <v>1</v>
      </c>
      <c r="C326" s="25" t="s">
        <v>1730</v>
      </c>
      <c r="D326" s="25" t="s">
        <v>1296</v>
      </c>
      <c r="E326" s="25" t="s">
        <v>1731</v>
      </c>
      <c r="F326" s="25" t="s">
        <v>1732</v>
      </c>
      <c r="G326" s="20" t="s">
        <v>5</v>
      </c>
      <c r="H326" s="20" t="s">
        <v>1506</v>
      </c>
      <c r="I326" s="20" t="s">
        <v>98</v>
      </c>
      <c r="J326" s="21">
        <v>46293</v>
      </c>
      <c r="K326" s="20" t="s">
        <v>1333</v>
      </c>
      <c r="L326" s="20" t="s">
        <v>1334</v>
      </c>
    </row>
    <row r="327" ht="160" customHeight="1" spans="1:12">
      <c r="A327" s="25" t="s">
        <v>1295</v>
      </c>
      <c r="B327" s="25">
        <v>2</v>
      </c>
      <c r="C327" s="25" t="s">
        <v>1733</v>
      </c>
      <c r="D327" s="25" t="s">
        <v>1296</v>
      </c>
      <c r="E327" s="25" t="s">
        <v>1734</v>
      </c>
      <c r="F327" s="25" t="s">
        <v>1735</v>
      </c>
      <c r="G327" s="20" t="s">
        <v>5</v>
      </c>
      <c r="H327" s="20" t="s">
        <v>1506</v>
      </c>
      <c r="I327" s="20" t="s">
        <v>98</v>
      </c>
      <c r="J327" s="21">
        <v>46293</v>
      </c>
      <c r="K327" s="20" t="s">
        <v>1333</v>
      </c>
      <c r="L327" s="20" t="s">
        <v>1334</v>
      </c>
    </row>
    <row r="328" ht="160" customHeight="1" spans="1:12">
      <c r="A328" s="25" t="s">
        <v>1295</v>
      </c>
      <c r="B328" s="25">
        <v>3</v>
      </c>
      <c r="C328" s="25" t="s">
        <v>1736</v>
      </c>
      <c r="D328" s="25" t="s">
        <v>1296</v>
      </c>
      <c r="E328" s="25" t="s">
        <v>1737</v>
      </c>
      <c r="F328" s="25" t="s">
        <v>1738</v>
      </c>
      <c r="G328" s="20" t="s">
        <v>5</v>
      </c>
      <c r="H328" s="20" t="s">
        <v>1506</v>
      </c>
      <c r="I328" s="20" t="s">
        <v>98</v>
      </c>
      <c r="J328" s="21">
        <v>46293</v>
      </c>
      <c r="K328" s="20" t="s">
        <v>1333</v>
      </c>
      <c r="L328" s="20" t="s">
        <v>1334</v>
      </c>
    </row>
    <row r="329" ht="93" customHeight="1" spans="1:12">
      <c r="A329" s="25" t="s">
        <v>1295</v>
      </c>
      <c r="B329" s="25">
        <v>4</v>
      </c>
      <c r="C329" s="25" t="s">
        <v>1739</v>
      </c>
      <c r="D329" s="25" t="s">
        <v>1296</v>
      </c>
      <c r="E329" s="25" t="s">
        <v>1740</v>
      </c>
      <c r="F329" s="25" t="s">
        <v>1741</v>
      </c>
      <c r="G329" s="20" t="s">
        <v>15</v>
      </c>
      <c r="H329" s="20" t="s">
        <v>1742</v>
      </c>
      <c r="I329" s="20" t="s">
        <v>1692</v>
      </c>
      <c r="J329" s="21" t="s">
        <v>1693</v>
      </c>
      <c r="K329" s="20" t="s">
        <v>1743</v>
      </c>
      <c r="L329" s="20" t="s">
        <v>1744</v>
      </c>
    </row>
    <row r="330" ht="160" customHeight="1" spans="1:12">
      <c r="A330" s="25" t="s">
        <v>1295</v>
      </c>
      <c r="B330" s="25">
        <v>5</v>
      </c>
      <c r="C330" s="25" t="s">
        <v>1745</v>
      </c>
      <c r="D330" s="25" t="s">
        <v>1296</v>
      </c>
      <c r="E330" s="25" t="s">
        <v>1746</v>
      </c>
      <c r="F330" s="25" t="s">
        <v>1747</v>
      </c>
      <c r="G330" s="20" t="s">
        <v>5</v>
      </c>
      <c r="H330" s="20" t="s">
        <v>1506</v>
      </c>
      <c r="I330" s="20" t="s">
        <v>98</v>
      </c>
      <c r="J330" s="21">
        <v>46293</v>
      </c>
      <c r="K330" s="20" t="s">
        <v>1333</v>
      </c>
      <c r="L330" s="20" t="s">
        <v>1334</v>
      </c>
    </row>
    <row r="331" ht="160" customHeight="1" spans="1:12">
      <c r="A331" s="25" t="s">
        <v>1295</v>
      </c>
      <c r="B331" s="25">
        <v>6</v>
      </c>
      <c r="C331" s="25" t="s">
        <v>1748</v>
      </c>
      <c r="D331" s="25" t="s">
        <v>1296</v>
      </c>
      <c r="E331" s="25" t="s">
        <v>1749</v>
      </c>
      <c r="F331" s="25" t="s">
        <v>1750</v>
      </c>
      <c r="G331" s="20" t="s">
        <v>5</v>
      </c>
      <c r="H331" s="20" t="s">
        <v>1506</v>
      </c>
      <c r="I331" s="20" t="s">
        <v>98</v>
      </c>
      <c r="J331" s="21">
        <v>46293</v>
      </c>
      <c r="K331" s="20" t="s">
        <v>1333</v>
      </c>
      <c r="L331" s="20" t="s">
        <v>1334</v>
      </c>
    </row>
    <row r="332" ht="160" customHeight="1" spans="1:12">
      <c r="A332" s="25" t="s">
        <v>1295</v>
      </c>
      <c r="B332" s="25">
        <v>7</v>
      </c>
      <c r="C332" s="25" t="s">
        <v>1751</v>
      </c>
      <c r="D332" s="25" t="s">
        <v>1296</v>
      </c>
      <c r="E332" s="25" t="s">
        <v>1752</v>
      </c>
      <c r="F332" s="25" t="s">
        <v>1753</v>
      </c>
      <c r="G332" s="20" t="s">
        <v>5</v>
      </c>
      <c r="H332" s="20" t="s">
        <v>1506</v>
      </c>
      <c r="I332" s="20" t="s">
        <v>98</v>
      </c>
      <c r="J332" s="21">
        <v>46293</v>
      </c>
      <c r="K332" s="20" t="s">
        <v>1333</v>
      </c>
      <c r="L332" s="20" t="s">
        <v>1334</v>
      </c>
    </row>
    <row r="333" ht="160" customHeight="1" spans="1:12">
      <c r="A333" s="25" t="s">
        <v>1295</v>
      </c>
      <c r="B333" s="25">
        <v>8</v>
      </c>
      <c r="C333" s="25" t="s">
        <v>1754</v>
      </c>
      <c r="D333" s="25" t="s">
        <v>1296</v>
      </c>
      <c r="E333" s="25" t="s">
        <v>1755</v>
      </c>
      <c r="F333" s="25" t="s">
        <v>1756</v>
      </c>
      <c r="G333" s="20" t="s">
        <v>5</v>
      </c>
      <c r="H333" s="20" t="s">
        <v>1506</v>
      </c>
      <c r="I333" s="20" t="s">
        <v>98</v>
      </c>
      <c r="J333" s="21">
        <v>46293</v>
      </c>
      <c r="K333" s="20" t="s">
        <v>1333</v>
      </c>
      <c r="L333" s="20" t="s">
        <v>1334</v>
      </c>
    </row>
    <row r="334" ht="160" customHeight="1" spans="1:12">
      <c r="A334" s="25" t="s">
        <v>1295</v>
      </c>
      <c r="B334" s="25">
        <v>9</v>
      </c>
      <c r="C334" s="25" t="s">
        <v>1757</v>
      </c>
      <c r="D334" s="25" t="s">
        <v>1296</v>
      </c>
      <c r="E334" s="25" t="s">
        <v>1758</v>
      </c>
      <c r="F334" s="25" t="s">
        <v>1759</v>
      </c>
      <c r="G334" s="20" t="s">
        <v>5</v>
      </c>
      <c r="H334" s="20" t="s">
        <v>1506</v>
      </c>
      <c r="I334" s="20" t="s">
        <v>98</v>
      </c>
      <c r="J334" s="21">
        <v>46293</v>
      </c>
      <c r="K334" s="20" t="s">
        <v>1333</v>
      </c>
      <c r="L334" s="20" t="s">
        <v>1334</v>
      </c>
    </row>
    <row r="335" ht="160" customHeight="1" spans="1:12">
      <c r="A335" s="25" t="s">
        <v>1295</v>
      </c>
      <c r="B335" s="25">
        <v>10</v>
      </c>
      <c r="C335" s="25" t="s">
        <v>1760</v>
      </c>
      <c r="D335" s="25" t="s">
        <v>1296</v>
      </c>
      <c r="E335" s="25" t="s">
        <v>1761</v>
      </c>
      <c r="F335" s="25" t="s">
        <v>1762</v>
      </c>
      <c r="G335" s="20" t="s">
        <v>5</v>
      </c>
      <c r="H335" s="20" t="s">
        <v>1506</v>
      </c>
      <c r="I335" s="20" t="s">
        <v>98</v>
      </c>
      <c r="J335" s="21">
        <v>46293</v>
      </c>
      <c r="K335" s="20" t="s">
        <v>1333</v>
      </c>
      <c r="L335" s="20" t="s">
        <v>1334</v>
      </c>
    </row>
    <row r="336" ht="93" customHeight="1" spans="1:12">
      <c r="A336" s="27" t="s">
        <v>1300</v>
      </c>
      <c r="B336" s="27">
        <v>1</v>
      </c>
      <c r="C336" s="27" t="s">
        <v>1763</v>
      </c>
      <c r="D336" s="27" t="s">
        <v>1301</v>
      </c>
      <c r="E336" s="27" t="s">
        <v>1764</v>
      </c>
      <c r="F336" s="27" t="s">
        <v>1765</v>
      </c>
      <c r="G336" s="20" t="s">
        <v>15</v>
      </c>
      <c r="H336" s="20" t="s">
        <v>1766</v>
      </c>
      <c r="I336" s="20" t="s">
        <v>1692</v>
      </c>
      <c r="J336" s="21" t="s">
        <v>1693</v>
      </c>
      <c r="K336" s="20" t="s">
        <v>1743</v>
      </c>
      <c r="L336" s="20" t="s">
        <v>1744</v>
      </c>
    </row>
    <row r="337" ht="93" customHeight="1" spans="1:12">
      <c r="A337" s="27" t="s">
        <v>1300</v>
      </c>
      <c r="B337" s="27">
        <v>2</v>
      </c>
      <c r="C337" s="27" t="s">
        <v>1767</v>
      </c>
      <c r="D337" s="27" t="s">
        <v>1301</v>
      </c>
      <c r="E337" s="27" t="s">
        <v>1768</v>
      </c>
      <c r="F337" s="27" t="s">
        <v>1769</v>
      </c>
      <c r="G337" s="20" t="s">
        <v>15</v>
      </c>
      <c r="H337" s="20" t="s">
        <v>1770</v>
      </c>
      <c r="I337" s="20" t="s">
        <v>1692</v>
      </c>
      <c r="J337" s="21" t="s">
        <v>1693</v>
      </c>
      <c r="K337" s="20" t="s">
        <v>1743</v>
      </c>
      <c r="L337" s="20" t="s">
        <v>1744</v>
      </c>
    </row>
    <row r="338" ht="93" customHeight="1" spans="1:12">
      <c r="A338" s="27" t="s">
        <v>1300</v>
      </c>
      <c r="B338" s="27">
        <v>3</v>
      </c>
      <c r="C338" s="27" t="s">
        <v>1771</v>
      </c>
      <c r="D338" s="27" t="s">
        <v>1301</v>
      </c>
      <c r="E338" s="27" t="s">
        <v>1772</v>
      </c>
      <c r="F338" s="27" t="s">
        <v>1773</v>
      </c>
      <c r="G338" s="20" t="s">
        <v>15</v>
      </c>
      <c r="H338" s="20" t="s">
        <v>1774</v>
      </c>
      <c r="I338" s="20" t="s">
        <v>1692</v>
      </c>
      <c r="J338" s="21" t="s">
        <v>1693</v>
      </c>
      <c r="K338" s="20" t="s">
        <v>1743</v>
      </c>
      <c r="L338" s="20" t="s">
        <v>1744</v>
      </c>
    </row>
    <row r="339" ht="93" customHeight="1" spans="1:12">
      <c r="A339" s="27" t="s">
        <v>1300</v>
      </c>
      <c r="B339" s="27">
        <v>4</v>
      </c>
      <c r="C339" s="27" t="s">
        <v>1775</v>
      </c>
      <c r="D339" s="27" t="s">
        <v>1301</v>
      </c>
      <c r="E339" s="27" t="s">
        <v>1776</v>
      </c>
      <c r="F339" s="27" t="s">
        <v>1777</v>
      </c>
      <c r="G339" s="20" t="s">
        <v>15</v>
      </c>
      <c r="H339" s="20" t="s">
        <v>1778</v>
      </c>
      <c r="I339" s="20" t="s">
        <v>1692</v>
      </c>
      <c r="J339" s="21" t="s">
        <v>1693</v>
      </c>
      <c r="K339" s="20" t="s">
        <v>1743</v>
      </c>
      <c r="L339" s="20" t="s">
        <v>1744</v>
      </c>
    </row>
    <row r="340" ht="93" customHeight="1" spans="1:12">
      <c r="A340" s="27" t="s">
        <v>1300</v>
      </c>
      <c r="B340" s="27">
        <v>5</v>
      </c>
      <c r="C340" s="27" t="s">
        <v>1779</v>
      </c>
      <c r="D340" s="27" t="s">
        <v>1301</v>
      </c>
      <c r="E340" s="27" t="s">
        <v>1780</v>
      </c>
      <c r="F340" s="27" t="s">
        <v>1781</v>
      </c>
      <c r="G340" s="20" t="s">
        <v>15</v>
      </c>
      <c r="H340" s="20" t="s">
        <v>1782</v>
      </c>
      <c r="I340" s="20" t="s">
        <v>1692</v>
      </c>
      <c r="J340" s="21" t="s">
        <v>1693</v>
      </c>
      <c r="K340" s="20" t="s">
        <v>1743</v>
      </c>
      <c r="L340" s="20" t="s">
        <v>1744</v>
      </c>
    </row>
    <row r="341" ht="160" customHeight="1" spans="1:12">
      <c r="A341" s="27" t="s">
        <v>1300</v>
      </c>
      <c r="B341" s="27">
        <v>6</v>
      </c>
      <c r="C341" s="27" t="s">
        <v>1783</v>
      </c>
      <c r="D341" s="27" t="s">
        <v>1301</v>
      </c>
      <c r="E341" s="27" t="s">
        <v>1784</v>
      </c>
      <c r="F341" s="27" t="s">
        <v>1785</v>
      </c>
      <c r="G341" s="20" t="s">
        <v>5</v>
      </c>
      <c r="H341" s="20" t="s">
        <v>1506</v>
      </c>
      <c r="I341" s="20" t="s">
        <v>98</v>
      </c>
      <c r="J341" s="21">
        <v>46293</v>
      </c>
      <c r="K341" s="20" t="s">
        <v>1333</v>
      </c>
      <c r="L341" s="20" t="s">
        <v>1334</v>
      </c>
    </row>
    <row r="342" ht="160" customHeight="1" spans="1:12">
      <c r="A342" s="27" t="s">
        <v>1300</v>
      </c>
      <c r="B342" s="27">
        <v>7</v>
      </c>
      <c r="C342" s="27" t="s">
        <v>1786</v>
      </c>
      <c r="D342" s="27" t="s">
        <v>1301</v>
      </c>
      <c r="E342" s="27" t="s">
        <v>1787</v>
      </c>
      <c r="F342" s="27" t="s">
        <v>1788</v>
      </c>
      <c r="G342" s="20" t="s">
        <v>5</v>
      </c>
      <c r="H342" s="20" t="s">
        <v>1506</v>
      </c>
      <c r="I342" s="20" t="s">
        <v>98</v>
      </c>
      <c r="J342" s="21">
        <v>46293</v>
      </c>
      <c r="K342" s="20" t="s">
        <v>1333</v>
      </c>
      <c r="L342" s="20" t="s">
        <v>1334</v>
      </c>
    </row>
    <row r="343" ht="160" customHeight="1" spans="1:12">
      <c r="A343" s="27" t="s">
        <v>1300</v>
      </c>
      <c r="B343" s="27">
        <v>8</v>
      </c>
      <c r="C343" s="27" t="s">
        <v>1789</v>
      </c>
      <c r="D343" s="27" t="s">
        <v>1301</v>
      </c>
      <c r="E343" s="27" t="s">
        <v>1790</v>
      </c>
      <c r="F343" s="27" t="s">
        <v>1791</v>
      </c>
      <c r="G343" s="20" t="s">
        <v>5</v>
      </c>
      <c r="H343" s="20" t="s">
        <v>1506</v>
      </c>
      <c r="I343" s="20" t="s">
        <v>98</v>
      </c>
      <c r="J343" s="21">
        <v>46293</v>
      </c>
      <c r="K343" s="20" t="s">
        <v>1333</v>
      </c>
      <c r="L343" s="20" t="s">
        <v>1334</v>
      </c>
    </row>
    <row r="344" ht="160" customHeight="1" spans="1:12">
      <c r="A344" s="27" t="s">
        <v>1300</v>
      </c>
      <c r="B344" s="27">
        <v>9</v>
      </c>
      <c r="C344" s="27" t="s">
        <v>1792</v>
      </c>
      <c r="D344" s="27" t="s">
        <v>1301</v>
      </c>
      <c r="E344" s="27" t="s">
        <v>1793</v>
      </c>
      <c r="F344" s="27" t="s">
        <v>1794</v>
      </c>
      <c r="G344" s="20" t="s">
        <v>5</v>
      </c>
      <c r="H344" s="20" t="s">
        <v>1506</v>
      </c>
      <c r="I344" s="20" t="s">
        <v>98</v>
      </c>
      <c r="J344" s="21">
        <v>46293</v>
      </c>
      <c r="K344" s="20" t="s">
        <v>1333</v>
      </c>
      <c r="L344" s="20" t="s">
        <v>1334</v>
      </c>
    </row>
    <row r="345" ht="160" customHeight="1" spans="1:12">
      <c r="A345" s="27" t="s">
        <v>1300</v>
      </c>
      <c r="B345" s="27">
        <v>10</v>
      </c>
      <c r="C345" s="27" t="s">
        <v>1795</v>
      </c>
      <c r="D345" s="27" t="s">
        <v>1301</v>
      </c>
      <c r="E345" s="27" t="s">
        <v>1796</v>
      </c>
      <c r="F345" s="27" t="s">
        <v>1797</v>
      </c>
      <c r="G345" s="20" t="s">
        <v>5</v>
      </c>
      <c r="H345" s="20" t="s">
        <v>1506</v>
      </c>
      <c r="I345" s="20" t="s">
        <v>98</v>
      </c>
      <c r="J345" s="21">
        <v>46293</v>
      </c>
      <c r="K345" s="20" t="s">
        <v>1333</v>
      </c>
      <c r="L345" s="20" t="s">
        <v>1334</v>
      </c>
    </row>
    <row r="346" ht="160" customHeight="1" spans="1:12">
      <c r="A346" s="29" t="s">
        <v>1305</v>
      </c>
      <c r="B346" s="29">
        <v>1</v>
      </c>
      <c r="C346" s="29" t="s">
        <v>1798</v>
      </c>
      <c r="D346" s="29" t="s">
        <v>1306</v>
      </c>
      <c r="E346" s="29" t="s">
        <v>1799</v>
      </c>
      <c r="F346" s="29" t="s">
        <v>1800</v>
      </c>
      <c r="G346" s="20" t="s">
        <v>5</v>
      </c>
      <c r="H346" s="20" t="s">
        <v>1801</v>
      </c>
      <c r="I346" s="20" t="s">
        <v>98</v>
      </c>
      <c r="J346" s="21">
        <v>46293</v>
      </c>
      <c r="K346" s="20" t="s">
        <v>1802</v>
      </c>
      <c r="L346" s="20" t="s">
        <v>1334</v>
      </c>
    </row>
    <row r="347" ht="160" customHeight="1" spans="1:12">
      <c r="A347" s="29" t="s">
        <v>1305</v>
      </c>
      <c r="B347" s="29">
        <v>2</v>
      </c>
      <c r="C347" s="29" t="s">
        <v>1803</v>
      </c>
      <c r="D347" s="29" t="s">
        <v>1306</v>
      </c>
      <c r="E347" s="29" t="s">
        <v>1804</v>
      </c>
      <c r="F347" s="29" t="s">
        <v>1805</v>
      </c>
      <c r="G347" s="20" t="s">
        <v>5</v>
      </c>
      <c r="H347" s="20" t="s">
        <v>1801</v>
      </c>
      <c r="I347" s="20" t="s">
        <v>98</v>
      </c>
      <c r="J347" s="21">
        <v>46293</v>
      </c>
      <c r="K347" s="20" t="s">
        <v>1802</v>
      </c>
      <c r="L347" s="20" t="s">
        <v>1334</v>
      </c>
    </row>
    <row r="348" ht="160" customHeight="1" spans="1:12">
      <c r="A348" s="29" t="s">
        <v>1305</v>
      </c>
      <c r="B348" s="29">
        <v>3</v>
      </c>
      <c r="C348" s="29" t="s">
        <v>1806</v>
      </c>
      <c r="D348" s="29" t="s">
        <v>1306</v>
      </c>
      <c r="E348" s="29" t="s">
        <v>1807</v>
      </c>
      <c r="F348" s="29" t="s">
        <v>1808</v>
      </c>
      <c r="G348" s="20" t="s">
        <v>5</v>
      </c>
      <c r="H348" s="20" t="s">
        <v>1801</v>
      </c>
      <c r="I348" s="20" t="s">
        <v>98</v>
      </c>
      <c r="J348" s="21">
        <v>46293</v>
      </c>
      <c r="K348" s="20" t="s">
        <v>1802</v>
      </c>
      <c r="L348" s="20" t="s">
        <v>1334</v>
      </c>
    </row>
    <row r="349" ht="160" customHeight="1" spans="1:12">
      <c r="A349" s="29" t="s">
        <v>1305</v>
      </c>
      <c r="B349" s="29">
        <v>4</v>
      </c>
      <c r="C349" s="29" t="s">
        <v>1809</v>
      </c>
      <c r="D349" s="29" t="s">
        <v>1306</v>
      </c>
      <c r="E349" s="29" t="s">
        <v>1810</v>
      </c>
      <c r="F349" s="29" t="s">
        <v>1811</v>
      </c>
      <c r="G349" s="20" t="s">
        <v>5</v>
      </c>
      <c r="H349" s="20" t="s">
        <v>1801</v>
      </c>
      <c r="I349" s="20" t="s">
        <v>98</v>
      </c>
      <c r="J349" s="21">
        <v>46293</v>
      </c>
      <c r="K349" s="20" t="s">
        <v>1802</v>
      </c>
      <c r="L349" s="20" t="s">
        <v>1334</v>
      </c>
    </row>
    <row r="350" ht="160" customHeight="1" spans="1:12">
      <c r="A350" s="29" t="s">
        <v>1305</v>
      </c>
      <c r="B350" s="29">
        <v>5</v>
      </c>
      <c r="C350" s="29" t="s">
        <v>1812</v>
      </c>
      <c r="D350" s="29" t="s">
        <v>1306</v>
      </c>
      <c r="E350" s="29" t="s">
        <v>1813</v>
      </c>
      <c r="F350" s="29" t="s">
        <v>1814</v>
      </c>
      <c r="G350" s="20" t="s">
        <v>5</v>
      </c>
      <c r="H350" s="20" t="s">
        <v>1801</v>
      </c>
      <c r="I350" s="20" t="s">
        <v>98</v>
      </c>
      <c r="J350" s="21">
        <v>46293</v>
      </c>
      <c r="K350" s="20" t="s">
        <v>1802</v>
      </c>
      <c r="L350" s="20" t="s">
        <v>1334</v>
      </c>
    </row>
    <row r="351" ht="160" customHeight="1" spans="1:12">
      <c r="A351" s="29" t="s">
        <v>1305</v>
      </c>
      <c r="B351" s="29">
        <v>6</v>
      </c>
      <c r="C351" s="29" t="s">
        <v>1815</v>
      </c>
      <c r="D351" s="29" t="s">
        <v>1306</v>
      </c>
      <c r="E351" s="29" t="s">
        <v>1816</v>
      </c>
      <c r="F351" s="29" t="s">
        <v>1817</v>
      </c>
      <c r="G351" s="20" t="s">
        <v>5</v>
      </c>
      <c r="H351" s="20" t="s">
        <v>1801</v>
      </c>
      <c r="I351" s="20" t="s">
        <v>98</v>
      </c>
      <c r="J351" s="21">
        <v>46293</v>
      </c>
      <c r="K351" s="20" t="s">
        <v>1802</v>
      </c>
      <c r="L351" s="20" t="s">
        <v>1334</v>
      </c>
    </row>
    <row r="352" ht="160" customHeight="1" spans="1:12">
      <c r="A352" s="29" t="s">
        <v>1305</v>
      </c>
      <c r="B352" s="29">
        <v>7</v>
      </c>
      <c r="C352" s="29" t="s">
        <v>1818</v>
      </c>
      <c r="D352" s="29" t="s">
        <v>1306</v>
      </c>
      <c r="E352" s="29" t="s">
        <v>1819</v>
      </c>
      <c r="F352" s="29" t="s">
        <v>1820</v>
      </c>
      <c r="G352" s="20" t="s">
        <v>5</v>
      </c>
      <c r="H352" s="20" t="s">
        <v>1801</v>
      </c>
      <c r="I352" s="20" t="s">
        <v>98</v>
      </c>
      <c r="J352" s="21">
        <v>46293</v>
      </c>
      <c r="K352" s="20" t="s">
        <v>1802</v>
      </c>
      <c r="L352" s="20" t="s">
        <v>1334</v>
      </c>
    </row>
    <row r="353" ht="160" customHeight="1" spans="1:12">
      <c r="A353" s="29" t="s">
        <v>1305</v>
      </c>
      <c r="B353" s="29">
        <v>8</v>
      </c>
      <c r="C353" s="29" t="s">
        <v>1821</v>
      </c>
      <c r="D353" s="29" t="s">
        <v>1306</v>
      </c>
      <c r="E353" s="29" t="s">
        <v>1822</v>
      </c>
      <c r="F353" s="29" t="s">
        <v>1823</v>
      </c>
      <c r="G353" s="20" t="s">
        <v>5</v>
      </c>
      <c r="H353" s="20" t="s">
        <v>1801</v>
      </c>
      <c r="I353" s="20" t="s">
        <v>98</v>
      </c>
      <c r="J353" s="21">
        <v>46293</v>
      </c>
      <c r="K353" s="20" t="s">
        <v>1802</v>
      </c>
      <c r="L353" s="20" t="s">
        <v>1334</v>
      </c>
    </row>
    <row r="354" ht="160" customHeight="1" spans="1:12">
      <c r="A354" s="29" t="s">
        <v>1305</v>
      </c>
      <c r="B354" s="29">
        <v>9</v>
      </c>
      <c r="C354" s="29" t="s">
        <v>1824</v>
      </c>
      <c r="D354" s="29" t="s">
        <v>1306</v>
      </c>
      <c r="E354" s="29" t="s">
        <v>1825</v>
      </c>
      <c r="F354" s="29" t="s">
        <v>1826</v>
      </c>
      <c r="G354" s="20" t="s">
        <v>5</v>
      </c>
      <c r="H354" s="20" t="s">
        <v>1801</v>
      </c>
      <c r="I354" s="20" t="s">
        <v>98</v>
      </c>
      <c r="J354" s="21">
        <v>46293</v>
      </c>
      <c r="K354" s="20" t="s">
        <v>1802</v>
      </c>
      <c r="L354" s="20" t="s">
        <v>1334</v>
      </c>
    </row>
    <row r="355" ht="160" customHeight="1" spans="1:12">
      <c r="A355" s="29" t="s">
        <v>1305</v>
      </c>
      <c r="B355" s="29">
        <v>10</v>
      </c>
      <c r="C355" s="29" t="s">
        <v>1827</v>
      </c>
      <c r="D355" s="29" t="s">
        <v>1306</v>
      </c>
      <c r="E355" s="29" t="s">
        <v>1828</v>
      </c>
      <c r="F355" s="29" t="s">
        <v>1829</v>
      </c>
      <c r="G355" s="20" t="s">
        <v>5</v>
      </c>
      <c r="H355" s="20" t="s">
        <v>1801</v>
      </c>
      <c r="I355" s="20" t="s">
        <v>98</v>
      </c>
      <c r="J355" s="21">
        <v>46293</v>
      </c>
      <c r="K355" s="20" t="s">
        <v>1802</v>
      </c>
      <c r="L355" s="20" t="s">
        <v>1334</v>
      </c>
    </row>
    <row r="356" ht="160" customHeight="1" spans="1:12">
      <c r="A356" s="31" t="s">
        <v>1311</v>
      </c>
      <c r="B356" s="31">
        <v>1</v>
      </c>
      <c r="C356" s="31" t="s">
        <v>1830</v>
      </c>
      <c r="D356" s="31" t="s">
        <v>1312</v>
      </c>
      <c r="E356" s="31" t="s">
        <v>1831</v>
      </c>
      <c r="F356" s="31" t="s">
        <v>1832</v>
      </c>
      <c r="G356" s="20" t="s">
        <v>5</v>
      </c>
      <c r="H356" s="20" t="s">
        <v>1833</v>
      </c>
      <c r="I356" s="20" t="s">
        <v>98</v>
      </c>
      <c r="J356" s="21">
        <v>46293</v>
      </c>
      <c r="K356" s="20" t="s">
        <v>1834</v>
      </c>
      <c r="L356" s="20" t="s">
        <v>1334</v>
      </c>
    </row>
    <row r="357" ht="160" customHeight="1" spans="1:12">
      <c r="A357" s="31" t="s">
        <v>1311</v>
      </c>
      <c r="B357" s="31">
        <v>2</v>
      </c>
      <c r="C357" s="31" t="s">
        <v>1835</v>
      </c>
      <c r="D357" s="31" t="s">
        <v>1312</v>
      </c>
      <c r="E357" s="31" t="s">
        <v>1836</v>
      </c>
      <c r="F357" s="31" t="s">
        <v>1837</v>
      </c>
      <c r="G357" s="20" t="s">
        <v>5</v>
      </c>
      <c r="H357" s="20" t="s">
        <v>1833</v>
      </c>
      <c r="I357" s="20" t="s">
        <v>98</v>
      </c>
      <c r="J357" s="21">
        <v>46293</v>
      </c>
      <c r="K357" s="20" t="s">
        <v>1834</v>
      </c>
      <c r="L357" s="20" t="s">
        <v>1334</v>
      </c>
    </row>
    <row r="358" ht="160" customHeight="1" spans="1:12">
      <c r="A358" s="31" t="s">
        <v>1311</v>
      </c>
      <c r="B358" s="31">
        <v>3</v>
      </c>
      <c r="C358" s="31" t="s">
        <v>1838</v>
      </c>
      <c r="D358" s="31" t="s">
        <v>1312</v>
      </c>
      <c r="E358" s="31" t="s">
        <v>1839</v>
      </c>
      <c r="F358" s="31" t="s">
        <v>1840</v>
      </c>
      <c r="G358" s="20" t="s">
        <v>5</v>
      </c>
      <c r="H358" s="20" t="s">
        <v>1833</v>
      </c>
      <c r="I358" s="20" t="s">
        <v>98</v>
      </c>
      <c r="J358" s="21">
        <v>46293</v>
      </c>
      <c r="K358" s="20" t="s">
        <v>1834</v>
      </c>
      <c r="L358" s="20" t="s">
        <v>1334</v>
      </c>
    </row>
    <row r="359" ht="160" customHeight="1" spans="1:12">
      <c r="A359" s="31" t="s">
        <v>1311</v>
      </c>
      <c r="B359" s="31">
        <v>4</v>
      </c>
      <c r="C359" s="31" t="s">
        <v>1841</v>
      </c>
      <c r="D359" s="31" t="s">
        <v>1312</v>
      </c>
      <c r="E359" s="31" t="s">
        <v>1842</v>
      </c>
      <c r="F359" s="31" t="s">
        <v>1843</v>
      </c>
      <c r="G359" s="20" t="s">
        <v>5</v>
      </c>
      <c r="H359" s="20" t="s">
        <v>1833</v>
      </c>
      <c r="I359" s="20" t="s">
        <v>98</v>
      </c>
      <c r="J359" s="21">
        <v>46293</v>
      </c>
      <c r="K359" s="20" t="s">
        <v>1834</v>
      </c>
      <c r="L359" s="20" t="s">
        <v>1334</v>
      </c>
    </row>
    <row r="360" ht="160" customHeight="1" spans="1:12">
      <c r="A360" s="31" t="s">
        <v>1311</v>
      </c>
      <c r="B360" s="31">
        <v>5</v>
      </c>
      <c r="C360" s="31" t="s">
        <v>1844</v>
      </c>
      <c r="D360" s="31" t="s">
        <v>1312</v>
      </c>
      <c r="E360" s="31" t="s">
        <v>1845</v>
      </c>
      <c r="F360" s="31" t="s">
        <v>1846</v>
      </c>
      <c r="G360" s="20" t="s">
        <v>5</v>
      </c>
      <c r="H360" s="20" t="s">
        <v>1833</v>
      </c>
      <c r="I360" s="20" t="s">
        <v>98</v>
      </c>
      <c r="J360" s="21">
        <v>46293</v>
      </c>
      <c r="K360" s="20" t="s">
        <v>1834</v>
      </c>
      <c r="L360" s="20" t="s">
        <v>1334</v>
      </c>
    </row>
    <row r="361" ht="160" customHeight="1" spans="1:12">
      <c r="A361" s="31" t="s">
        <v>1311</v>
      </c>
      <c r="B361" s="31">
        <v>6</v>
      </c>
      <c r="C361" s="31" t="s">
        <v>1847</v>
      </c>
      <c r="D361" s="31" t="s">
        <v>1312</v>
      </c>
      <c r="E361" s="31" t="s">
        <v>1848</v>
      </c>
      <c r="F361" s="31" t="s">
        <v>1849</v>
      </c>
      <c r="G361" s="20" t="s">
        <v>5</v>
      </c>
      <c r="H361" s="20" t="s">
        <v>1833</v>
      </c>
      <c r="I361" s="20" t="s">
        <v>98</v>
      </c>
      <c r="J361" s="21">
        <v>46293</v>
      </c>
      <c r="K361" s="20" t="s">
        <v>1834</v>
      </c>
      <c r="L361" s="20" t="s">
        <v>1334</v>
      </c>
    </row>
    <row r="362" ht="160" customHeight="1" spans="1:12">
      <c r="A362" s="31" t="s">
        <v>1311</v>
      </c>
      <c r="B362" s="31">
        <v>7</v>
      </c>
      <c r="C362" s="31" t="s">
        <v>1850</v>
      </c>
      <c r="D362" s="31" t="s">
        <v>1312</v>
      </c>
      <c r="E362" s="31" t="s">
        <v>1851</v>
      </c>
      <c r="F362" s="31" t="s">
        <v>1852</v>
      </c>
      <c r="G362" s="20" t="s">
        <v>5</v>
      </c>
      <c r="H362" s="20" t="s">
        <v>1833</v>
      </c>
      <c r="I362" s="20" t="s">
        <v>98</v>
      </c>
      <c r="J362" s="21">
        <v>46293</v>
      </c>
      <c r="K362" s="20" t="s">
        <v>1834</v>
      </c>
      <c r="L362" s="20" t="s">
        <v>1334</v>
      </c>
    </row>
    <row r="363" ht="160" customHeight="1" spans="1:12">
      <c r="A363" s="31" t="s">
        <v>1311</v>
      </c>
      <c r="B363" s="31">
        <v>8</v>
      </c>
      <c r="C363" s="31" t="s">
        <v>1853</v>
      </c>
      <c r="D363" s="31" t="s">
        <v>1312</v>
      </c>
      <c r="E363" s="31" t="s">
        <v>1854</v>
      </c>
      <c r="F363" s="31" t="s">
        <v>1855</v>
      </c>
      <c r="G363" s="20" t="s">
        <v>5</v>
      </c>
      <c r="H363" s="20" t="s">
        <v>1833</v>
      </c>
      <c r="I363" s="20" t="s">
        <v>98</v>
      </c>
      <c r="J363" s="21">
        <v>46293</v>
      </c>
      <c r="K363" s="20" t="s">
        <v>1834</v>
      </c>
      <c r="L363" s="20" t="s">
        <v>1334</v>
      </c>
    </row>
    <row r="364" ht="160" customHeight="1" spans="1:12">
      <c r="A364" s="31" t="s">
        <v>1311</v>
      </c>
      <c r="B364" s="31">
        <v>9</v>
      </c>
      <c r="C364" s="31" t="s">
        <v>1856</v>
      </c>
      <c r="D364" s="31" t="s">
        <v>1312</v>
      </c>
      <c r="E364" s="31" t="s">
        <v>1857</v>
      </c>
      <c r="F364" s="31" t="s">
        <v>1858</v>
      </c>
      <c r="G364" s="20" t="s">
        <v>4</v>
      </c>
      <c r="H364" s="20" t="s">
        <v>1859</v>
      </c>
      <c r="I364" s="20" t="s">
        <v>98</v>
      </c>
      <c r="J364" s="21">
        <v>46293</v>
      </c>
      <c r="K364" s="20" t="s">
        <v>1834</v>
      </c>
      <c r="L364" s="20" t="s">
        <v>1860</v>
      </c>
    </row>
    <row r="365" ht="160" customHeight="1" spans="1:12">
      <c r="A365" s="31" t="s">
        <v>1311</v>
      </c>
      <c r="B365" s="31">
        <v>10</v>
      </c>
      <c r="C365" s="31" t="s">
        <v>1861</v>
      </c>
      <c r="D365" s="31" t="s">
        <v>1312</v>
      </c>
      <c r="E365" s="31" t="s">
        <v>1862</v>
      </c>
      <c r="F365" s="31" t="s">
        <v>1863</v>
      </c>
      <c r="G365" s="20" t="s">
        <v>5</v>
      </c>
      <c r="H365" s="20" t="s">
        <v>1833</v>
      </c>
      <c r="I365" s="20" t="s">
        <v>98</v>
      </c>
      <c r="J365" s="21">
        <v>46293</v>
      </c>
      <c r="K365" s="20" t="s">
        <v>1834</v>
      </c>
      <c r="L365" s="20" t="s">
        <v>1334</v>
      </c>
    </row>
  </sheetData>
  <mergeCells count="2">
    <mergeCell ref="A3:L3"/>
    <mergeCell ref="A4:L4"/>
  </mergeCells>
  <conditionalFormatting sqref="G6:G265">
    <cfRule type="cellIs" dxfId="2" priority="1" operator="equal">
      <formula>"还没测"</formula>
    </cfRule>
    <cfRule type="cellIs" dxfId="3" priority="2" operator="equal">
      <formula>"通过"</formula>
    </cfRule>
    <cfRule type="cellIs" dxfId="0" priority="3" operator="equal">
      <formula>"有问题"</formula>
    </cfRule>
    <cfRule type="cellIs" dxfId="4" priority="4" operator="equal">
      <formula>"暂时测不了"</formula>
    </cfRule>
    <cfRule type="cellIs" dxfId="7" priority="5" operator="equal">
      <formula>"进行中"</formula>
    </cfRule>
    <cfRule type="cellIs" dxfId="0" priority="6" operator="equal">
      <formula>"未填结果"</formula>
    </cfRule>
  </conditionalFormatting>
  <conditionalFormatting sqref="G266:G305">
    <cfRule type="cellIs" dxfId="3" priority="7" operator="equal">
      <formula>"通过"</formula>
    </cfRule>
    <cfRule type="cellIs" dxfId="0" priority="8" operator="equal">
      <formula>"有问题"</formula>
    </cfRule>
    <cfRule type="cellIs" dxfId="4" priority="9" operator="equal">
      <formula>"暂时测不了"</formula>
    </cfRule>
    <cfRule type="cellIs" dxfId="2" priority="10" operator="equal">
      <formula>"还没测"</formula>
    </cfRule>
    <cfRule type="cellIs" dxfId="4" priority="11" operator="equal">
      <formula>"待补证据"</formula>
    </cfRule>
    <cfRule type="cellIs" dxfId="7" priority="12" operator="equal">
      <formula>"进行中"</formula>
    </cfRule>
  </conditionalFormatting>
  <conditionalFormatting sqref="G306:G365">
    <cfRule type="cellIs" dxfId="2" priority="13" operator="equal">
      <formula>"还没测"</formula>
    </cfRule>
    <cfRule type="cellIs" dxfId="3" priority="14" operator="equal">
      <formula>"通过"</formula>
    </cfRule>
    <cfRule type="cellIs" dxfId="3" priority="15" operator="equal">
      <formula>"记录齐全"</formula>
    </cfRule>
    <cfRule type="cellIs" dxfId="0" priority="16" operator="equal">
      <formula>"有问题"</formula>
    </cfRule>
    <cfRule type="cellIs" dxfId="4" priority="17" operator="equal">
      <formula>"暂时测不了"</formula>
    </cfRule>
    <cfRule type="cellIs" dxfId="4" priority="18" operator="equal">
      <formula>"待补证据"</formula>
    </cfRule>
    <cfRule type="cellIs" dxfId="7" priority="19" operator="equal">
      <formula>"进行中"</formula>
    </cfRule>
  </conditionalFormatting>
  <dataValidations count="1">
    <dataValidation type="list" sqref="G6:G265 G266:G305 G306:G365">
      <formula1>"还没测,通过,有问题,暂时测不了"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</sheetPr>
  <dimension ref="A1:J26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0" customWidth="1"/>
    <col min="2" max="2" width="16" customWidth="1"/>
    <col min="3" max="3" width="19" customWidth="1"/>
    <col min="4" max="4" width="33" customWidth="1"/>
    <col min="5" max="5" width="61" customWidth="1"/>
    <col min="6" max="6" width="66" customWidth="1"/>
    <col min="7" max="7" width="49" customWidth="1"/>
    <col min="8" max="8" width="40" customWidth="1"/>
    <col min="9" max="9" width="25" customWidth="1"/>
    <col min="10" max="10" width="34" customWidth="1"/>
  </cols>
  <sheetData>
    <row r="1" ht="16.5" spans="1:10">
      <c r="A1" s="15"/>
      <c r="B1" s="15"/>
      <c r="C1" s="15"/>
      <c r="D1" s="15"/>
      <c r="E1" s="15"/>
      <c r="F1" s="15"/>
      <c r="G1" s="15"/>
      <c r="H1" s="15"/>
      <c r="I1" s="15"/>
      <c r="J1" s="15"/>
    </row>
    <row r="2" ht="32" customHeight="1" spans="1:10">
      <c r="A2" s="16" t="s">
        <v>1864</v>
      </c>
      <c r="B2" s="15"/>
      <c r="C2" s="15"/>
      <c r="D2" s="15"/>
      <c r="E2" s="15"/>
      <c r="F2" s="15"/>
      <c r="G2" s="15"/>
      <c r="H2" s="15"/>
      <c r="I2" s="15"/>
      <c r="J2" s="15"/>
    </row>
    <row r="3" ht="34" customHeight="1" spans="1:10">
      <c r="A3" s="17" t="s">
        <v>1865</v>
      </c>
      <c r="B3" s="17"/>
      <c r="C3" s="17"/>
      <c r="D3" s="17"/>
      <c r="E3" s="17"/>
      <c r="F3" s="17"/>
      <c r="G3" s="17"/>
      <c r="H3" s="17"/>
      <c r="I3" s="17"/>
      <c r="J3" s="17"/>
    </row>
    <row r="4" ht="34" customHeight="1" spans="1:10">
      <c r="A4" s="17" t="s">
        <v>1866</v>
      </c>
      <c r="B4" s="17"/>
      <c r="C4" s="17"/>
      <c r="D4" s="17"/>
      <c r="E4" s="17"/>
      <c r="F4" s="17"/>
      <c r="G4" s="17"/>
      <c r="H4" s="17"/>
      <c r="I4" s="17"/>
      <c r="J4" s="17"/>
    </row>
    <row r="5" ht="34" customHeight="1" spans="1:10">
      <c r="A5" s="18" t="s">
        <v>84</v>
      </c>
      <c r="B5" s="18" t="s">
        <v>1867</v>
      </c>
      <c r="C5" s="18" t="s">
        <v>1868</v>
      </c>
      <c r="D5" s="18" t="s">
        <v>1869</v>
      </c>
      <c r="E5" s="18" t="s">
        <v>1870</v>
      </c>
      <c r="F5" s="18" t="s">
        <v>1871</v>
      </c>
      <c r="G5" s="18" t="s">
        <v>1872</v>
      </c>
      <c r="H5" s="18" t="s">
        <v>1873</v>
      </c>
      <c r="I5" s="18" t="s">
        <v>781</v>
      </c>
      <c r="J5" s="18" t="s">
        <v>1874</v>
      </c>
    </row>
    <row r="6" ht="142" customHeight="1" spans="1:10">
      <c r="A6" s="34" t="s">
        <v>1875</v>
      </c>
      <c r="B6" s="34" t="s">
        <v>1876</v>
      </c>
      <c r="C6" s="34" t="s">
        <v>1877</v>
      </c>
      <c r="D6" s="34" t="s">
        <v>1878</v>
      </c>
      <c r="E6" s="34" t="s">
        <v>1879</v>
      </c>
      <c r="F6" s="34" t="s">
        <v>1880</v>
      </c>
      <c r="G6" s="34" t="s">
        <v>1881</v>
      </c>
      <c r="H6" s="34" t="s">
        <v>1882</v>
      </c>
      <c r="I6" s="20" t="s">
        <v>66</v>
      </c>
      <c r="J6" s="20" t="s">
        <v>66</v>
      </c>
    </row>
    <row r="7" ht="142" customHeight="1" spans="1:10">
      <c r="A7" s="34" t="s">
        <v>1883</v>
      </c>
      <c r="B7" s="34" t="s">
        <v>1884</v>
      </c>
      <c r="C7" s="34" t="s">
        <v>1885</v>
      </c>
      <c r="D7" s="34" t="s">
        <v>1886</v>
      </c>
      <c r="E7" s="34" t="s">
        <v>1887</v>
      </c>
      <c r="F7" s="34" t="s">
        <v>1888</v>
      </c>
      <c r="G7" s="34" t="s">
        <v>1889</v>
      </c>
      <c r="H7" s="34" t="s">
        <v>1890</v>
      </c>
      <c r="I7" s="20" t="s">
        <v>66</v>
      </c>
      <c r="J7" s="20" t="s">
        <v>66</v>
      </c>
    </row>
    <row r="8" ht="142" customHeight="1" spans="1:10">
      <c r="A8" s="34" t="s">
        <v>1891</v>
      </c>
      <c r="B8" s="34" t="s">
        <v>1884</v>
      </c>
      <c r="C8" s="34" t="s">
        <v>1892</v>
      </c>
      <c r="D8" s="34" t="s">
        <v>1893</v>
      </c>
      <c r="E8" s="34" t="s">
        <v>1894</v>
      </c>
      <c r="F8" s="34" t="s">
        <v>1895</v>
      </c>
      <c r="G8" s="34" t="s">
        <v>1896</v>
      </c>
      <c r="H8" s="34" t="s">
        <v>1897</v>
      </c>
      <c r="I8" s="20" t="s">
        <v>66</v>
      </c>
      <c r="J8" s="20" t="s">
        <v>66</v>
      </c>
    </row>
    <row r="9" ht="142" customHeight="1" spans="1:10">
      <c r="A9" s="34" t="s">
        <v>1898</v>
      </c>
      <c r="B9" s="34" t="s">
        <v>1884</v>
      </c>
      <c r="C9" s="34" t="s">
        <v>1899</v>
      </c>
      <c r="D9" s="34" t="s">
        <v>1900</v>
      </c>
      <c r="E9" s="34" t="s">
        <v>1901</v>
      </c>
      <c r="F9" s="34" t="s">
        <v>1902</v>
      </c>
      <c r="G9" s="34" t="s">
        <v>1903</v>
      </c>
      <c r="H9" s="34" t="s">
        <v>1904</v>
      </c>
      <c r="I9" s="20" t="s">
        <v>66</v>
      </c>
      <c r="J9" s="20" t="s">
        <v>66</v>
      </c>
    </row>
    <row r="10" ht="142" customHeight="1" spans="1:10">
      <c r="A10" s="34" t="s">
        <v>1905</v>
      </c>
      <c r="B10" s="34" t="s">
        <v>1876</v>
      </c>
      <c r="C10" s="34" t="s">
        <v>1906</v>
      </c>
      <c r="D10" s="34" t="s">
        <v>1907</v>
      </c>
      <c r="E10" s="34" t="s">
        <v>1908</v>
      </c>
      <c r="F10" s="34" t="s">
        <v>1909</v>
      </c>
      <c r="G10" s="34" t="s">
        <v>1910</v>
      </c>
      <c r="H10" s="34" t="s">
        <v>1911</v>
      </c>
      <c r="I10" s="20" t="s">
        <v>66</v>
      </c>
      <c r="J10" s="20" t="s">
        <v>66</v>
      </c>
    </row>
    <row r="11" ht="142" customHeight="1" spans="1:10">
      <c r="A11" s="5" t="s">
        <v>1912</v>
      </c>
      <c r="B11" s="5" t="s">
        <v>1913</v>
      </c>
      <c r="C11" s="5" t="s">
        <v>1914</v>
      </c>
      <c r="D11" s="5" t="s">
        <v>1915</v>
      </c>
      <c r="E11" s="5" t="s">
        <v>1916</v>
      </c>
      <c r="F11" s="5" t="s">
        <v>1917</v>
      </c>
      <c r="G11" s="5" t="s">
        <v>1918</v>
      </c>
      <c r="H11" s="5" t="s">
        <v>1919</v>
      </c>
      <c r="I11" s="20" t="s">
        <v>66</v>
      </c>
      <c r="J11" s="20" t="s">
        <v>66</v>
      </c>
    </row>
    <row r="12" ht="142" customHeight="1" spans="1:10">
      <c r="A12" s="25" t="s">
        <v>1920</v>
      </c>
      <c r="B12" s="25" t="s">
        <v>1913</v>
      </c>
      <c r="C12" s="25" t="s">
        <v>1921</v>
      </c>
      <c r="D12" s="25" t="s">
        <v>1922</v>
      </c>
      <c r="E12" s="25" t="s">
        <v>1923</v>
      </c>
      <c r="F12" s="25" t="s">
        <v>1924</v>
      </c>
      <c r="G12" s="25" t="s">
        <v>1925</v>
      </c>
      <c r="H12" s="25" t="s">
        <v>1926</v>
      </c>
      <c r="I12" s="20" t="s">
        <v>66</v>
      </c>
      <c r="J12" s="20" t="s">
        <v>66</v>
      </c>
    </row>
    <row r="13" ht="142" customHeight="1" spans="1:10">
      <c r="A13" s="5" t="s">
        <v>1927</v>
      </c>
      <c r="B13" s="5" t="s">
        <v>1913</v>
      </c>
      <c r="C13" s="5" t="s">
        <v>1928</v>
      </c>
      <c r="D13" s="5" t="s">
        <v>1929</v>
      </c>
      <c r="E13" s="5" t="s">
        <v>1930</v>
      </c>
      <c r="F13" s="5" t="s">
        <v>1931</v>
      </c>
      <c r="G13" s="5" t="s">
        <v>1932</v>
      </c>
      <c r="H13" s="5" t="s">
        <v>1933</v>
      </c>
      <c r="I13" s="20" t="s">
        <v>66</v>
      </c>
      <c r="J13" s="20" t="s">
        <v>66</v>
      </c>
    </row>
    <row r="14" ht="142" customHeight="1" spans="1:10">
      <c r="A14" s="25" t="s">
        <v>1934</v>
      </c>
      <c r="B14" s="25" t="s">
        <v>1913</v>
      </c>
      <c r="C14" s="25" t="s">
        <v>1935</v>
      </c>
      <c r="D14" s="25" t="s">
        <v>1936</v>
      </c>
      <c r="E14" s="25" t="s">
        <v>1937</v>
      </c>
      <c r="F14" s="25" t="s">
        <v>1938</v>
      </c>
      <c r="G14" s="25" t="s">
        <v>1939</v>
      </c>
      <c r="H14" s="25" t="s">
        <v>1940</v>
      </c>
      <c r="I14" s="20" t="s">
        <v>66</v>
      </c>
      <c r="J14" s="20" t="s">
        <v>66</v>
      </c>
    </row>
    <row r="15" ht="142" customHeight="1" spans="1:10">
      <c r="A15" s="5" t="s">
        <v>1941</v>
      </c>
      <c r="B15" s="5" t="s">
        <v>1913</v>
      </c>
      <c r="C15" s="5" t="s">
        <v>1942</v>
      </c>
      <c r="D15" s="5" t="s">
        <v>1943</v>
      </c>
      <c r="E15" s="5" t="s">
        <v>1944</v>
      </c>
      <c r="F15" s="5" t="s">
        <v>1945</v>
      </c>
      <c r="G15" s="5" t="s">
        <v>1946</v>
      </c>
      <c r="H15" s="5" t="s">
        <v>1947</v>
      </c>
      <c r="I15" s="20" t="s">
        <v>66</v>
      </c>
      <c r="J15" s="20" t="s">
        <v>66</v>
      </c>
    </row>
    <row r="16" ht="142" customHeight="1" spans="1:10">
      <c r="A16" s="25" t="s">
        <v>1948</v>
      </c>
      <c r="B16" s="25" t="s">
        <v>1913</v>
      </c>
      <c r="C16" s="25" t="s">
        <v>1949</v>
      </c>
      <c r="D16" s="25" t="s">
        <v>1950</v>
      </c>
      <c r="E16" s="25" t="s">
        <v>1951</v>
      </c>
      <c r="F16" s="25" t="s">
        <v>1952</v>
      </c>
      <c r="G16" s="25" t="s">
        <v>1953</v>
      </c>
      <c r="H16" s="25" t="s">
        <v>1954</v>
      </c>
      <c r="I16" s="20" t="s">
        <v>66</v>
      </c>
      <c r="J16" s="20" t="s">
        <v>66</v>
      </c>
    </row>
    <row r="17" ht="142" customHeight="1" spans="1:10">
      <c r="A17" s="5" t="s">
        <v>1955</v>
      </c>
      <c r="B17" s="5" t="s">
        <v>1956</v>
      </c>
      <c r="C17" s="5" t="s">
        <v>1957</v>
      </c>
      <c r="D17" s="5" t="s">
        <v>1958</v>
      </c>
      <c r="E17" s="5" t="s">
        <v>1959</v>
      </c>
      <c r="F17" s="5" t="s">
        <v>1960</v>
      </c>
      <c r="G17" s="5" t="s">
        <v>1961</v>
      </c>
      <c r="H17" s="5" t="s">
        <v>1962</v>
      </c>
      <c r="I17" s="20" t="s">
        <v>66</v>
      </c>
      <c r="J17" s="20" t="s">
        <v>66</v>
      </c>
    </row>
    <row r="18" ht="16.5" spans="1:10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34" customHeight="1" spans="1:10">
      <c r="A19" s="17" t="s">
        <v>1963</v>
      </c>
      <c r="B19" s="17"/>
      <c r="C19" s="17"/>
      <c r="D19" s="17"/>
      <c r="E19" s="17"/>
      <c r="F19" s="17"/>
      <c r="G19" s="17"/>
      <c r="H19" s="17"/>
      <c r="I19" s="17"/>
      <c r="J19" s="17"/>
    </row>
    <row r="20" ht="34" customHeight="1" spans="1:10">
      <c r="A20" s="17" t="s">
        <v>1964</v>
      </c>
      <c r="B20" s="17"/>
      <c r="C20" s="17"/>
      <c r="D20" s="17"/>
      <c r="E20" s="17"/>
      <c r="F20" s="17"/>
      <c r="G20" s="17"/>
      <c r="H20" s="17"/>
      <c r="I20" s="17"/>
      <c r="J20" s="17"/>
    </row>
    <row r="21" ht="34" customHeight="1" spans="1:10">
      <c r="A21" s="17" t="s">
        <v>1965</v>
      </c>
      <c r="B21" s="17"/>
      <c r="C21" s="17"/>
      <c r="D21" s="17"/>
      <c r="E21" s="17"/>
      <c r="F21" s="17"/>
      <c r="G21" s="17"/>
      <c r="H21" s="17"/>
      <c r="I21" s="17"/>
      <c r="J21" s="17"/>
    </row>
    <row r="22" ht="34" customHeight="1" spans="1:10">
      <c r="A22" s="17" t="s">
        <v>1966</v>
      </c>
      <c r="B22" s="17"/>
      <c r="C22" s="17"/>
      <c r="D22" s="17"/>
      <c r="E22" s="17"/>
      <c r="F22" s="17"/>
      <c r="G22" s="17"/>
      <c r="H22" s="17"/>
      <c r="I22" s="17"/>
      <c r="J22" s="17"/>
    </row>
    <row r="23" ht="34" customHeight="1" spans="1:10">
      <c r="A23" s="17" t="s">
        <v>1967</v>
      </c>
      <c r="B23" s="17"/>
      <c r="C23" s="17"/>
      <c r="D23" s="17"/>
      <c r="E23" s="17"/>
      <c r="F23" s="17"/>
      <c r="G23" s="17"/>
      <c r="H23" s="17"/>
      <c r="I23" s="17"/>
      <c r="J23" s="17"/>
    </row>
    <row r="24" ht="16.5" spans="1:10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6.5" spans="1:10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6.5" spans="1:10">
      <c r="A26" s="15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7">
    <mergeCell ref="A3:J3"/>
    <mergeCell ref="A4:J4"/>
    <mergeCell ref="A19:J19"/>
    <mergeCell ref="A20:J20"/>
    <mergeCell ref="A21:J21"/>
    <mergeCell ref="A22:J22"/>
    <mergeCell ref="A23:J23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59669"/>
  </sheetPr>
  <dimension ref="A1:M5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11" customWidth="1"/>
    <col min="3" max="3" width="19" customWidth="1"/>
    <col min="4" max="4" width="17" customWidth="1"/>
    <col min="5" max="6" width="60" customWidth="1"/>
    <col min="7" max="7" width="68" customWidth="1"/>
    <col min="8" max="8" width="16" customWidth="1"/>
    <col min="9" max="10" width="38" customWidth="1"/>
    <col min="11" max="11" width="18" customWidth="1"/>
    <col min="12" max="12" width="16" customWidth="1"/>
    <col min="13" max="13" width="18" customWidth="1"/>
  </cols>
  <sheetData>
    <row r="1" ht="16.5" spans="1:1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ht="32" customHeight="1" spans="1:13">
      <c r="A2" s="16" t="s">
        <v>1968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34" customHeight="1" spans="1:13">
      <c r="A3" s="17" t="s">
        <v>1969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34" customHeight="1" spans="1:13">
      <c r="A4" s="17" t="s">
        <v>1970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34" customHeight="1" spans="1:13">
      <c r="A5" s="18" t="s">
        <v>84</v>
      </c>
      <c r="B5" s="18" t="s">
        <v>93</v>
      </c>
      <c r="C5" s="18" t="s">
        <v>1971</v>
      </c>
      <c r="D5" s="18" t="s">
        <v>85</v>
      </c>
      <c r="E5" s="18" t="s">
        <v>1972</v>
      </c>
      <c r="F5" s="18" t="s">
        <v>86</v>
      </c>
      <c r="G5" s="18" t="s">
        <v>87</v>
      </c>
      <c r="H5" s="18" t="s">
        <v>88</v>
      </c>
      <c r="I5" s="18" t="s">
        <v>1973</v>
      </c>
      <c r="J5" s="18" t="s">
        <v>1974</v>
      </c>
      <c r="K5" s="18" t="s">
        <v>1975</v>
      </c>
      <c r="L5" s="18" t="s">
        <v>1976</v>
      </c>
      <c r="M5" s="18" t="s">
        <v>1977</v>
      </c>
    </row>
    <row r="6" ht="160" customHeight="1" spans="1:13">
      <c r="A6" s="4" t="s">
        <v>1978</v>
      </c>
      <c r="B6" s="4" t="s">
        <v>1875</v>
      </c>
      <c r="C6" s="4" t="s">
        <v>1979</v>
      </c>
      <c r="D6" s="4" t="s">
        <v>94</v>
      </c>
      <c r="E6" s="4" t="s">
        <v>1980</v>
      </c>
      <c r="F6" s="4" t="s">
        <v>1981</v>
      </c>
      <c r="G6" s="4" t="s">
        <v>1982</v>
      </c>
      <c r="H6" s="20" t="s">
        <v>5</v>
      </c>
      <c r="I6" s="20" t="s">
        <v>1983</v>
      </c>
      <c r="J6" s="20" t="s">
        <v>1333</v>
      </c>
      <c r="K6" s="20" t="s">
        <v>98</v>
      </c>
      <c r="L6" s="21">
        <v>46293</v>
      </c>
      <c r="M6" s="17" t="str">
        <f t="shared" ref="M6:M53" si="0">IF(H6="通过",IF(COUNTBLANK(I6:L6)=0,"记录齐全","待补证据"),H6)</f>
        <v>暂时测不了</v>
      </c>
    </row>
    <row r="7" ht="160" customHeight="1" spans="1:13">
      <c r="A7" s="5" t="s">
        <v>1984</v>
      </c>
      <c r="B7" s="5" t="s">
        <v>1875</v>
      </c>
      <c r="C7" s="5" t="s">
        <v>1979</v>
      </c>
      <c r="D7" s="5" t="s">
        <v>94</v>
      </c>
      <c r="E7" s="5" t="s">
        <v>1985</v>
      </c>
      <c r="F7" s="5" t="s">
        <v>1986</v>
      </c>
      <c r="G7" s="5" t="s">
        <v>1987</v>
      </c>
      <c r="H7" s="20" t="s">
        <v>5</v>
      </c>
      <c r="I7" s="20" t="s">
        <v>1983</v>
      </c>
      <c r="J7" s="20" t="s">
        <v>1333</v>
      </c>
      <c r="K7" s="20" t="s">
        <v>98</v>
      </c>
      <c r="L7" s="21">
        <v>46293</v>
      </c>
      <c r="M7" s="17" t="str">
        <f t="shared" si="0"/>
        <v>暂时测不了</v>
      </c>
    </row>
    <row r="8" ht="160" customHeight="1" spans="1:13">
      <c r="A8" s="4" t="s">
        <v>1988</v>
      </c>
      <c r="B8" s="4" t="s">
        <v>1875</v>
      </c>
      <c r="C8" s="4" t="s">
        <v>1979</v>
      </c>
      <c r="D8" s="4" t="s">
        <v>94</v>
      </c>
      <c r="E8" s="4" t="s">
        <v>1989</v>
      </c>
      <c r="F8" s="4" t="s">
        <v>1990</v>
      </c>
      <c r="G8" s="4" t="s">
        <v>1991</v>
      </c>
      <c r="H8" s="20" t="s">
        <v>5</v>
      </c>
      <c r="I8" s="20" t="s">
        <v>1983</v>
      </c>
      <c r="J8" s="20" t="s">
        <v>1333</v>
      </c>
      <c r="K8" s="20" t="s">
        <v>98</v>
      </c>
      <c r="L8" s="21">
        <v>46293</v>
      </c>
      <c r="M8" s="17" t="str">
        <f t="shared" si="0"/>
        <v>暂时测不了</v>
      </c>
    </row>
    <row r="9" ht="160" customHeight="1" spans="1:13">
      <c r="A9" s="5" t="s">
        <v>1992</v>
      </c>
      <c r="B9" s="5" t="s">
        <v>1883</v>
      </c>
      <c r="C9" s="5" t="s">
        <v>1993</v>
      </c>
      <c r="D9" s="5" t="s">
        <v>94</v>
      </c>
      <c r="E9" s="5" t="s">
        <v>1994</v>
      </c>
      <c r="F9" s="5" t="s">
        <v>1995</v>
      </c>
      <c r="G9" s="5" t="s">
        <v>1996</v>
      </c>
      <c r="H9" s="20" t="s">
        <v>5</v>
      </c>
      <c r="I9" s="20" t="s">
        <v>1983</v>
      </c>
      <c r="J9" s="20" t="s">
        <v>1333</v>
      </c>
      <c r="K9" s="20" t="s">
        <v>98</v>
      </c>
      <c r="L9" s="21">
        <v>46293</v>
      </c>
      <c r="M9" s="17" t="str">
        <f t="shared" si="0"/>
        <v>暂时测不了</v>
      </c>
    </row>
    <row r="10" ht="160" customHeight="1" spans="1:13">
      <c r="A10" s="4" t="s">
        <v>1997</v>
      </c>
      <c r="B10" s="4" t="s">
        <v>1883</v>
      </c>
      <c r="C10" s="4" t="s">
        <v>1993</v>
      </c>
      <c r="D10" s="4" t="s">
        <v>94</v>
      </c>
      <c r="E10" s="4" t="s">
        <v>1998</v>
      </c>
      <c r="F10" s="4" t="s">
        <v>1999</v>
      </c>
      <c r="G10" s="4" t="s">
        <v>2000</v>
      </c>
      <c r="H10" s="20" t="s">
        <v>5</v>
      </c>
      <c r="I10" s="20" t="s">
        <v>1983</v>
      </c>
      <c r="J10" s="20" t="s">
        <v>1333</v>
      </c>
      <c r="K10" s="20" t="s">
        <v>98</v>
      </c>
      <c r="L10" s="21">
        <v>46293</v>
      </c>
      <c r="M10" s="17" t="str">
        <f t="shared" si="0"/>
        <v>暂时测不了</v>
      </c>
    </row>
    <row r="11" ht="160" customHeight="1" spans="1:13">
      <c r="A11" s="5" t="s">
        <v>2001</v>
      </c>
      <c r="B11" s="5" t="s">
        <v>1883</v>
      </c>
      <c r="C11" s="5" t="s">
        <v>1993</v>
      </c>
      <c r="D11" s="5" t="s">
        <v>94</v>
      </c>
      <c r="E11" s="5" t="s">
        <v>2002</v>
      </c>
      <c r="F11" s="5" t="s">
        <v>2003</v>
      </c>
      <c r="G11" s="5" t="s">
        <v>2004</v>
      </c>
      <c r="H11" s="20" t="s">
        <v>5</v>
      </c>
      <c r="I11" s="20" t="s">
        <v>1983</v>
      </c>
      <c r="J11" s="20" t="s">
        <v>1333</v>
      </c>
      <c r="K11" s="20" t="s">
        <v>98</v>
      </c>
      <c r="L11" s="21">
        <v>46293</v>
      </c>
      <c r="M11" s="17" t="str">
        <f t="shared" si="0"/>
        <v>暂时测不了</v>
      </c>
    </row>
    <row r="12" ht="160" customHeight="1" spans="1:13">
      <c r="A12" s="4" t="s">
        <v>2005</v>
      </c>
      <c r="B12" s="4" t="s">
        <v>1883</v>
      </c>
      <c r="C12" s="4" t="s">
        <v>1993</v>
      </c>
      <c r="D12" s="4" t="s">
        <v>100</v>
      </c>
      <c r="E12" s="4" t="s">
        <v>2006</v>
      </c>
      <c r="F12" s="4" t="s">
        <v>2007</v>
      </c>
      <c r="G12" s="4" t="s">
        <v>2008</v>
      </c>
      <c r="H12" s="20" t="s">
        <v>5</v>
      </c>
      <c r="I12" s="20" t="s">
        <v>1983</v>
      </c>
      <c r="J12" s="20" t="s">
        <v>1333</v>
      </c>
      <c r="K12" s="20" t="s">
        <v>98</v>
      </c>
      <c r="L12" s="21">
        <v>46293</v>
      </c>
      <c r="M12" s="17" t="str">
        <f t="shared" si="0"/>
        <v>暂时测不了</v>
      </c>
    </row>
    <row r="13" ht="160" customHeight="1" spans="1:13">
      <c r="A13" s="5" t="s">
        <v>2009</v>
      </c>
      <c r="B13" s="5" t="s">
        <v>1891</v>
      </c>
      <c r="C13" s="5" t="s">
        <v>2010</v>
      </c>
      <c r="D13" s="5" t="s">
        <v>94</v>
      </c>
      <c r="E13" s="5" t="s">
        <v>2011</v>
      </c>
      <c r="F13" s="5" t="s">
        <v>2012</v>
      </c>
      <c r="G13" s="5" t="s">
        <v>2013</v>
      </c>
      <c r="H13" s="20" t="s">
        <v>5</v>
      </c>
      <c r="I13" s="20" t="s">
        <v>1983</v>
      </c>
      <c r="J13" s="20" t="s">
        <v>1333</v>
      </c>
      <c r="K13" s="20" t="s">
        <v>98</v>
      </c>
      <c r="L13" s="21">
        <v>46293</v>
      </c>
      <c r="M13" s="17" t="str">
        <f t="shared" si="0"/>
        <v>暂时测不了</v>
      </c>
    </row>
    <row r="14" ht="160" customHeight="1" spans="1:13">
      <c r="A14" s="4" t="s">
        <v>2014</v>
      </c>
      <c r="B14" s="4" t="s">
        <v>1891</v>
      </c>
      <c r="C14" s="4" t="s">
        <v>2010</v>
      </c>
      <c r="D14" s="4" t="s">
        <v>94</v>
      </c>
      <c r="E14" s="4" t="s">
        <v>2015</v>
      </c>
      <c r="F14" s="4" t="s">
        <v>2016</v>
      </c>
      <c r="G14" s="4" t="s">
        <v>2017</v>
      </c>
      <c r="H14" s="20" t="s">
        <v>5</v>
      </c>
      <c r="I14" s="20" t="s">
        <v>1983</v>
      </c>
      <c r="J14" s="20" t="s">
        <v>1333</v>
      </c>
      <c r="K14" s="20" t="s">
        <v>98</v>
      </c>
      <c r="L14" s="21">
        <v>46293</v>
      </c>
      <c r="M14" s="17" t="str">
        <f t="shared" si="0"/>
        <v>暂时测不了</v>
      </c>
    </row>
    <row r="15" ht="160" customHeight="1" spans="1:13">
      <c r="A15" s="5" t="s">
        <v>2018</v>
      </c>
      <c r="B15" s="5" t="s">
        <v>1891</v>
      </c>
      <c r="C15" s="5" t="s">
        <v>2010</v>
      </c>
      <c r="D15" s="5" t="s">
        <v>94</v>
      </c>
      <c r="E15" s="5" t="s">
        <v>2019</v>
      </c>
      <c r="F15" s="5" t="s">
        <v>2020</v>
      </c>
      <c r="G15" s="5" t="s">
        <v>2021</v>
      </c>
      <c r="H15" s="20" t="s">
        <v>5</v>
      </c>
      <c r="I15" s="20" t="s">
        <v>1983</v>
      </c>
      <c r="J15" s="20" t="s">
        <v>1333</v>
      </c>
      <c r="K15" s="20" t="s">
        <v>98</v>
      </c>
      <c r="L15" s="21">
        <v>46293</v>
      </c>
      <c r="M15" s="17" t="str">
        <f t="shared" si="0"/>
        <v>暂时测不了</v>
      </c>
    </row>
    <row r="16" ht="160" customHeight="1" spans="1:13">
      <c r="A16" s="4" t="s">
        <v>2022</v>
      </c>
      <c r="B16" s="4" t="s">
        <v>1891</v>
      </c>
      <c r="C16" s="4" t="s">
        <v>2010</v>
      </c>
      <c r="D16" s="4" t="s">
        <v>94</v>
      </c>
      <c r="E16" s="4" t="s">
        <v>2023</v>
      </c>
      <c r="F16" s="4" t="s">
        <v>2024</v>
      </c>
      <c r="G16" s="4" t="s">
        <v>2025</v>
      </c>
      <c r="H16" s="20" t="s">
        <v>5</v>
      </c>
      <c r="I16" s="20" t="s">
        <v>1983</v>
      </c>
      <c r="J16" s="20" t="s">
        <v>1333</v>
      </c>
      <c r="K16" s="20" t="s">
        <v>98</v>
      </c>
      <c r="L16" s="21">
        <v>46293</v>
      </c>
      <c r="M16" s="17" t="str">
        <f t="shared" si="0"/>
        <v>暂时测不了</v>
      </c>
    </row>
    <row r="17" ht="160" customHeight="1" spans="1:13">
      <c r="A17" s="5" t="s">
        <v>2026</v>
      </c>
      <c r="B17" s="5" t="s">
        <v>1898</v>
      </c>
      <c r="C17" s="5" t="s">
        <v>2027</v>
      </c>
      <c r="D17" s="5" t="s">
        <v>94</v>
      </c>
      <c r="E17" s="5" t="s">
        <v>2028</v>
      </c>
      <c r="F17" s="5" t="s">
        <v>2029</v>
      </c>
      <c r="G17" s="5" t="s">
        <v>2030</v>
      </c>
      <c r="H17" s="20" t="s">
        <v>5</v>
      </c>
      <c r="I17" s="20" t="s">
        <v>2031</v>
      </c>
      <c r="J17" s="20" t="s">
        <v>1630</v>
      </c>
      <c r="K17" s="20" t="s">
        <v>98</v>
      </c>
      <c r="L17" s="21">
        <v>46293</v>
      </c>
      <c r="M17" s="17" t="str">
        <f t="shared" si="0"/>
        <v>暂时测不了</v>
      </c>
    </row>
    <row r="18" ht="160" customHeight="1" spans="1:13">
      <c r="A18" s="4" t="s">
        <v>2032</v>
      </c>
      <c r="B18" s="4" t="s">
        <v>1898</v>
      </c>
      <c r="C18" s="4" t="s">
        <v>2027</v>
      </c>
      <c r="D18" s="4" t="s">
        <v>94</v>
      </c>
      <c r="E18" s="4" t="s">
        <v>2033</v>
      </c>
      <c r="F18" s="4" t="s">
        <v>2034</v>
      </c>
      <c r="G18" s="4" t="s">
        <v>2035</v>
      </c>
      <c r="H18" s="20" t="s">
        <v>5</v>
      </c>
      <c r="I18" s="20" t="s">
        <v>1983</v>
      </c>
      <c r="J18" s="20" t="s">
        <v>1333</v>
      </c>
      <c r="K18" s="20" t="s">
        <v>98</v>
      </c>
      <c r="L18" s="21">
        <v>46293</v>
      </c>
      <c r="M18" s="17" t="str">
        <f t="shared" si="0"/>
        <v>暂时测不了</v>
      </c>
    </row>
    <row r="19" ht="160" customHeight="1" spans="1:13">
      <c r="A19" s="5" t="s">
        <v>2036</v>
      </c>
      <c r="B19" s="5" t="s">
        <v>1898</v>
      </c>
      <c r="C19" s="5" t="s">
        <v>2027</v>
      </c>
      <c r="D19" s="5" t="s">
        <v>100</v>
      </c>
      <c r="E19" s="5" t="s">
        <v>2037</v>
      </c>
      <c r="F19" s="5" t="s">
        <v>2038</v>
      </c>
      <c r="G19" s="5" t="s">
        <v>2039</v>
      </c>
      <c r="H19" s="20" t="s">
        <v>5</v>
      </c>
      <c r="I19" s="20" t="s">
        <v>1983</v>
      </c>
      <c r="J19" s="20" t="s">
        <v>1333</v>
      </c>
      <c r="K19" s="20" t="s">
        <v>98</v>
      </c>
      <c r="L19" s="21">
        <v>46293</v>
      </c>
      <c r="M19" s="17" t="str">
        <f t="shared" si="0"/>
        <v>暂时测不了</v>
      </c>
    </row>
    <row r="20" ht="160" customHeight="1" spans="1:13">
      <c r="A20" s="4" t="s">
        <v>2040</v>
      </c>
      <c r="B20" s="4" t="s">
        <v>1898</v>
      </c>
      <c r="C20" s="4" t="s">
        <v>2027</v>
      </c>
      <c r="D20" s="4" t="s">
        <v>94</v>
      </c>
      <c r="E20" s="4" t="s">
        <v>2041</v>
      </c>
      <c r="F20" s="4" t="s">
        <v>2042</v>
      </c>
      <c r="G20" s="4" t="s">
        <v>2043</v>
      </c>
      <c r="H20" s="20" t="s">
        <v>5</v>
      </c>
      <c r="I20" s="20" t="s">
        <v>1983</v>
      </c>
      <c r="J20" s="20" t="s">
        <v>1333</v>
      </c>
      <c r="K20" s="20" t="s">
        <v>98</v>
      </c>
      <c r="L20" s="21">
        <v>46293</v>
      </c>
      <c r="M20" s="17" t="str">
        <f t="shared" si="0"/>
        <v>暂时测不了</v>
      </c>
    </row>
    <row r="21" ht="160" customHeight="1" spans="1:13">
      <c r="A21" s="5" t="s">
        <v>2044</v>
      </c>
      <c r="B21" s="5" t="s">
        <v>1905</v>
      </c>
      <c r="C21" s="5" t="s">
        <v>2045</v>
      </c>
      <c r="D21" s="5" t="s">
        <v>94</v>
      </c>
      <c r="E21" s="5" t="s">
        <v>2046</v>
      </c>
      <c r="F21" s="5" t="s">
        <v>2047</v>
      </c>
      <c r="G21" s="5" t="s">
        <v>2048</v>
      </c>
      <c r="H21" s="20" t="s">
        <v>5</v>
      </c>
      <c r="I21" s="20" t="s">
        <v>2049</v>
      </c>
      <c r="J21" s="20" t="s">
        <v>1333</v>
      </c>
      <c r="K21" s="20" t="s">
        <v>98</v>
      </c>
      <c r="L21" s="21">
        <v>46293</v>
      </c>
      <c r="M21" s="17" t="str">
        <f t="shared" si="0"/>
        <v>暂时测不了</v>
      </c>
    </row>
    <row r="22" ht="160" customHeight="1" spans="1:13">
      <c r="A22" s="4" t="s">
        <v>2050</v>
      </c>
      <c r="B22" s="4" t="s">
        <v>1905</v>
      </c>
      <c r="C22" s="4" t="s">
        <v>2045</v>
      </c>
      <c r="D22" s="4" t="s">
        <v>94</v>
      </c>
      <c r="E22" s="4" t="s">
        <v>2051</v>
      </c>
      <c r="F22" s="4" t="s">
        <v>2052</v>
      </c>
      <c r="G22" s="4" t="s">
        <v>2053</v>
      </c>
      <c r="H22" s="20" t="s">
        <v>5</v>
      </c>
      <c r="I22" s="20" t="s">
        <v>2049</v>
      </c>
      <c r="J22" s="20" t="s">
        <v>1333</v>
      </c>
      <c r="K22" s="20" t="s">
        <v>98</v>
      </c>
      <c r="L22" s="21">
        <v>46293</v>
      </c>
      <c r="M22" s="17" t="str">
        <f t="shared" si="0"/>
        <v>暂时测不了</v>
      </c>
    </row>
    <row r="23" ht="160" customHeight="1" spans="1:13">
      <c r="A23" s="5" t="s">
        <v>2054</v>
      </c>
      <c r="B23" s="5" t="s">
        <v>1905</v>
      </c>
      <c r="C23" s="5" t="s">
        <v>2045</v>
      </c>
      <c r="D23" s="5" t="s">
        <v>94</v>
      </c>
      <c r="E23" s="5" t="s">
        <v>2055</v>
      </c>
      <c r="F23" s="5" t="s">
        <v>2056</v>
      </c>
      <c r="G23" s="5" t="s">
        <v>2057</v>
      </c>
      <c r="H23" s="20" t="s">
        <v>5</v>
      </c>
      <c r="I23" s="20" t="s">
        <v>2049</v>
      </c>
      <c r="J23" s="20" t="s">
        <v>1333</v>
      </c>
      <c r="K23" s="20" t="s">
        <v>98</v>
      </c>
      <c r="L23" s="21">
        <v>46293</v>
      </c>
      <c r="M23" s="17" t="str">
        <f t="shared" si="0"/>
        <v>暂时测不了</v>
      </c>
    </row>
    <row r="24" ht="160" customHeight="1" spans="1:13">
      <c r="A24" s="4" t="s">
        <v>2058</v>
      </c>
      <c r="B24" s="4" t="s">
        <v>1905</v>
      </c>
      <c r="C24" s="4" t="s">
        <v>2045</v>
      </c>
      <c r="D24" s="4" t="s">
        <v>94</v>
      </c>
      <c r="E24" s="4" t="s">
        <v>2059</v>
      </c>
      <c r="F24" s="4" t="s">
        <v>2060</v>
      </c>
      <c r="G24" s="4" t="s">
        <v>2061</v>
      </c>
      <c r="H24" s="20" t="s">
        <v>5</v>
      </c>
      <c r="I24" s="20" t="s">
        <v>2049</v>
      </c>
      <c r="J24" s="20" t="s">
        <v>1333</v>
      </c>
      <c r="K24" s="20" t="s">
        <v>98</v>
      </c>
      <c r="L24" s="21">
        <v>46293</v>
      </c>
      <c r="M24" s="17" t="str">
        <f t="shared" si="0"/>
        <v>暂时测不了</v>
      </c>
    </row>
    <row r="25" ht="160" customHeight="1" spans="1:13">
      <c r="A25" s="5" t="s">
        <v>2062</v>
      </c>
      <c r="B25" s="5" t="s">
        <v>1912</v>
      </c>
      <c r="C25" s="5" t="s">
        <v>2063</v>
      </c>
      <c r="D25" s="5" t="s">
        <v>94</v>
      </c>
      <c r="E25" s="5" t="s">
        <v>2064</v>
      </c>
      <c r="F25" s="5" t="s">
        <v>2065</v>
      </c>
      <c r="G25" s="5" t="s">
        <v>2066</v>
      </c>
      <c r="H25" s="20" t="s">
        <v>5</v>
      </c>
      <c r="I25" s="20" t="s">
        <v>2067</v>
      </c>
      <c r="J25" s="20" t="s">
        <v>2068</v>
      </c>
      <c r="K25" s="20" t="s">
        <v>98</v>
      </c>
      <c r="L25" s="21">
        <v>46293</v>
      </c>
      <c r="M25" s="17" t="str">
        <f t="shared" si="0"/>
        <v>暂时测不了</v>
      </c>
    </row>
    <row r="26" ht="160" customHeight="1" spans="1:13">
      <c r="A26" s="4" t="s">
        <v>2069</v>
      </c>
      <c r="B26" s="4" t="s">
        <v>1912</v>
      </c>
      <c r="C26" s="4" t="s">
        <v>2063</v>
      </c>
      <c r="D26" s="4" t="s">
        <v>94</v>
      </c>
      <c r="E26" s="4" t="s">
        <v>2070</v>
      </c>
      <c r="F26" s="4" t="s">
        <v>2071</v>
      </c>
      <c r="G26" s="4" t="s">
        <v>2072</v>
      </c>
      <c r="H26" s="20" t="s">
        <v>5</v>
      </c>
      <c r="I26" s="20" t="s">
        <v>2073</v>
      </c>
      <c r="J26" s="20" t="s">
        <v>1333</v>
      </c>
      <c r="K26" s="20" t="s">
        <v>98</v>
      </c>
      <c r="L26" s="21">
        <v>46293</v>
      </c>
      <c r="M26" s="17" t="str">
        <f t="shared" si="0"/>
        <v>暂时测不了</v>
      </c>
    </row>
    <row r="27" ht="160" customHeight="1" spans="1:13">
      <c r="A27" s="5" t="s">
        <v>2074</v>
      </c>
      <c r="B27" s="5" t="s">
        <v>1927</v>
      </c>
      <c r="C27" s="5" t="s">
        <v>2075</v>
      </c>
      <c r="D27" s="5" t="s">
        <v>100</v>
      </c>
      <c r="E27" s="5" t="s">
        <v>2076</v>
      </c>
      <c r="F27" s="5" t="s">
        <v>2077</v>
      </c>
      <c r="G27" s="5" t="s">
        <v>2078</v>
      </c>
      <c r="H27" s="20" t="s">
        <v>5</v>
      </c>
      <c r="I27" s="20" t="s">
        <v>2079</v>
      </c>
      <c r="J27" s="20" t="s">
        <v>1333</v>
      </c>
      <c r="K27" s="20" t="s">
        <v>98</v>
      </c>
      <c r="L27" s="21">
        <v>46293</v>
      </c>
      <c r="M27" s="17" t="str">
        <f t="shared" si="0"/>
        <v>暂时测不了</v>
      </c>
    </row>
    <row r="28" ht="160" customHeight="1" spans="1:13">
      <c r="A28" s="4" t="s">
        <v>2080</v>
      </c>
      <c r="B28" s="4" t="s">
        <v>1927</v>
      </c>
      <c r="C28" s="4" t="s">
        <v>2075</v>
      </c>
      <c r="D28" s="4" t="s">
        <v>94</v>
      </c>
      <c r="E28" s="4" t="s">
        <v>2081</v>
      </c>
      <c r="F28" s="4" t="s">
        <v>2082</v>
      </c>
      <c r="G28" s="4" t="s">
        <v>2083</v>
      </c>
      <c r="H28" s="20" t="s">
        <v>5</v>
      </c>
      <c r="I28" s="20" t="s">
        <v>2084</v>
      </c>
      <c r="J28" s="20" t="s">
        <v>2085</v>
      </c>
      <c r="K28" s="20" t="s">
        <v>98</v>
      </c>
      <c r="L28" s="21">
        <v>46293</v>
      </c>
      <c r="M28" s="17" t="str">
        <f t="shared" si="0"/>
        <v>暂时测不了</v>
      </c>
    </row>
    <row r="29" ht="160" customHeight="1" spans="1:13">
      <c r="A29" s="5" t="s">
        <v>2086</v>
      </c>
      <c r="B29" s="5" t="s">
        <v>1927</v>
      </c>
      <c r="C29" s="5" t="s">
        <v>2087</v>
      </c>
      <c r="D29" s="5" t="s">
        <v>100</v>
      </c>
      <c r="E29" s="5" t="s">
        <v>2088</v>
      </c>
      <c r="F29" s="5" t="s">
        <v>2089</v>
      </c>
      <c r="G29" s="5" t="s">
        <v>2090</v>
      </c>
      <c r="H29" s="20" t="s">
        <v>5</v>
      </c>
      <c r="I29" s="20" t="s">
        <v>2091</v>
      </c>
      <c r="J29" s="20" t="s">
        <v>2092</v>
      </c>
      <c r="K29" s="20" t="s">
        <v>98</v>
      </c>
      <c r="L29" s="21">
        <v>46293</v>
      </c>
      <c r="M29" s="17" t="str">
        <f t="shared" si="0"/>
        <v>暂时测不了</v>
      </c>
    </row>
    <row r="30" ht="160" customHeight="1" spans="1:13">
      <c r="A30" s="4" t="s">
        <v>2093</v>
      </c>
      <c r="B30" s="4" t="s">
        <v>1920</v>
      </c>
      <c r="C30" s="4" t="s">
        <v>2094</v>
      </c>
      <c r="D30" s="4" t="s">
        <v>94</v>
      </c>
      <c r="E30" s="4" t="s">
        <v>2095</v>
      </c>
      <c r="F30" s="4" t="s">
        <v>2096</v>
      </c>
      <c r="G30" s="4" t="s">
        <v>2097</v>
      </c>
      <c r="H30" s="20" t="s">
        <v>5</v>
      </c>
      <c r="I30" s="20" t="s">
        <v>2079</v>
      </c>
      <c r="J30" s="20" t="s">
        <v>1333</v>
      </c>
      <c r="K30" s="20" t="s">
        <v>98</v>
      </c>
      <c r="L30" s="21">
        <v>46293</v>
      </c>
      <c r="M30" s="17" t="str">
        <f t="shared" si="0"/>
        <v>暂时测不了</v>
      </c>
    </row>
    <row r="31" ht="160" customHeight="1" spans="1:13">
      <c r="A31" s="5" t="s">
        <v>2098</v>
      </c>
      <c r="B31" s="5" t="s">
        <v>1920</v>
      </c>
      <c r="C31" s="5" t="s">
        <v>2094</v>
      </c>
      <c r="D31" s="5" t="s">
        <v>94</v>
      </c>
      <c r="E31" s="5" t="s">
        <v>2099</v>
      </c>
      <c r="F31" s="5" t="s">
        <v>2100</v>
      </c>
      <c r="G31" s="5" t="s">
        <v>2101</v>
      </c>
      <c r="H31" s="20" t="s">
        <v>5</v>
      </c>
      <c r="I31" s="20" t="s">
        <v>2079</v>
      </c>
      <c r="J31" s="20" t="s">
        <v>1333</v>
      </c>
      <c r="K31" s="20" t="s">
        <v>98</v>
      </c>
      <c r="L31" s="21">
        <v>46293</v>
      </c>
      <c r="M31" s="17" t="str">
        <f t="shared" si="0"/>
        <v>暂时测不了</v>
      </c>
    </row>
    <row r="32" ht="160" customHeight="1" spans="1:13">
      <c r="A32" s="4" t="s">
        <v>2102</v>
      </c>
      <c r="B32" s="4" t="s">
        <v>1920</v>
      </c>
      <c r="C32" s="4" t="s">
        <v>2094</v>
      </c>
      <c r="D32" s="4" t="s">
        <v>100</v>
      </c>
      <c r="E32" s="4" t="s">
        <v>2103</v>
      </c>
      <c r="F32" s="4" t="s">
        <v>2104</v>
      </c>
      <c r="G32" s="4" t="s">
        <v>2105</v>
      </c>
      <c r="H32" s="20" t="s">
        <v>15</v>
      </c>
      <c r="I32" s="20" t="s">
        <v>2106</v>
      </c>
      <c r="J32" s="20" t="s">
        <v>2107</v>
      </c>
      <c r="K32" s="20" t="s">
        <v>98</v>
      </c>
      <c r="L32" s="21">
        <v>46293</v>
      </c>
      <c r="M32" s="17" t="str">
        <f t="shared" si="0"/>
        <v>记录齐全</v>
      </c>
    </row>
    <row r="33" ht="160" customHeight="1" spans="1:13">
      <c r="A33" s="5" t="s">
        <v>2108</v>
      </c>
      <c r="B33" s="5" t="s">
        <v>1920</v>
      </c>
      <c r="C33" s="5" t="s">
        <v>2094</v>
      </c>
      <c r="D33" s="5" t="s">
        <v>100</v>
      </c>
      <c r="E33" s="5" t="s">
        <v>2109</v>
      </c>
      <c r="F33" s="5" t="s">
        <v>2110</v>
      </c>
      <c r="G33" s="5" t="s">
        <v>2111</v>
      </c>
      <c r="H33" s="20" t="s">
        <v>5</v>
      </c>
      <c r="I33" s="20" t="s">
        <v>2079</v>
      </c>
      <c r="J33" s="20" t="s">
        <v>1333</v>
      </c>
      <c r="K33" s="20" t="s">
        <v>98</v>
      </c>
      <c r="L33" s="21">
        <v>46293</v>
      </c>
      <c r="M33" s="17" t="str">
        <f t="shared" si="0"/>
        <v>暂时测不了</v>
      </c>
    </row>
    <row r="34" ht="160" customHeight="1" spans="1:13">
      <c r="A34" s="4" t="s">
        <v>1086</v>
      </c>
      <c r="B34" s="4" t="s">
        <v>1920</v>
      </c>
      <c r="C34" s="4" t="s">
        <v>2094</v>
      </c>
      <c r="D34" s="4" t="s">
        <v>100</v>
      </c>
      <c r="E34" s="4" t="s">
        <v>2112</v>
      </c>
      <c r="F34" s="4" t="s">
        <v>2113</v>
      </c>
      <c r="G34" s="4" t="s">
        <v>2114</v>
      </c>
      <c r="H34" s="20" t="s">
        <v>4</v>
      </c>
      <c r="I34" s="20" t="s">
        <v>2115</v>
      </c>
      <c r="J34" s="20" t="s">
        <v>2116</v>
      </c>
      <c r="K34" s="20" t="s">
        <v>98</v>
      </c>
      <c r="L34" s="21">
        <v>46293</v>
      </c>
      <c r="M34" s="17" t="str">
        <f t="shared" si="0"/>
        <v>有问题</v>
      </c>
    </row>
    <row r="35" ht="160" customHeight="1" spans="1:13">
      <c r="A35" s="5" t="s">
        <v>2117</v>
      </c>
      <c r="B35" s="5" t="s">
        <v>1920</v>
      </c>
      <c r="C35" s="5" t="s">
        <v>2094</v>
      </c>
      <c r="D35" s="5" t="s">
        <v>94</v>
      </c>
      <c r="E35" s="5" t="s">
        <v>2118</v>
      </c>
      <c r="F35" s="5" t="s">
        <v>2119</v>
      </c>
      <c r="G35" s="5" t="s">
        <v>2120</v>
      </c>
      <c r="H35" s="20" t="s">
        <v>5</v>
      </c>
      <c r="I35" s="20" t="s">
        <v>2079</v>
      </c>
      <c r="J35" s="20" t="s">
        <v>1333</v>
      </c>
      <c r="K35" s="20" t="s">
        <v>98</v>
      </c>
      <c r="L35" s="21">
        <v>46293</v>
      </c>
      <c r="M35" s="17" t="str">
        <f t="shared" si="0"/>
        <v>暂时测不了</v>
      </c>
    </row>
    <row r="36" ht="160" customHeight="1" spans="1:13">
      <c r="A36" s="4" t="s">
        <v>2121</v>
      </c>
      <c r="B36" s="4" t="s">
        <v>1927</v>
      </c>
      <c r="C36" s="4" t="s">
        <v>2122</v>
      </c>
      <c r="D36" s="4" t="s">
        <v>100</v>
      </c>
      <c r="E36" s="4" t="s">
        <v>2123</v>
      </c>
      <c r="F36" s="4" t="s">
        <v>2124</v>
      </c>
      <c r="G36" s="4" t="s">
        <v>2125</v>
      </c>
      <c r="H36" s="20" t="s">
        <v>5</v>
      </c>
      <c r="I36" s="20" t="s">
        <v>2126</v>
      </c>
      <c r="J36" s="20" t="s">
        <v>1333</v>
      </c>
      <c r="K36" s="20" t="s">
        <v>98</v>
      </c>
      <c r="L36" s="21">
        <v>46293</v>
      </c>
      <c r="M36" s="17" t="str">
        <f t="shared" si="0"/>
        <v>暂时测不了</v>
      </c>
    </row>
    <row r="37" ht="160" customHeight="1" spans="1:13">
      <c r="A37" s="5" t="s">
        <v>2127</v>
      </c>
      <c r="B37" s="5" t="s">
        <v>1927</v>
      </c>
      <c r="C37" s="5" t="s">
        <v>2128</v>
      </c>
      <c r="D37" s="5" t="s">
        <v>94</v>
      </c>
      <c r="E37" s="5" t="s">
        <v>2129</v>
      </c>
      <c r="F37" s="5" t="s">
        <v>2130</v>
      </c>
      <c r="G37" s="5" t="s">
        <v>2131</v>
      </c>
      <c r="H37" s="20" t="s">
        <v>5</v>
      </c>
      <c r="I37" s="20" t="s">
        <v>2079</v>
      </c>
      <c r="J37" s="20" t="s">
        <v>1333</v>
      </c>
      <c r="K37" s="20" t="s">
        <v>98</v>
      </c>
      <c r="L37" s="21">
        <v>46293</v>
      </c>
      <c r="M37" s="17" t="str">
        <f t="shared" si="0"/>
        <v>暂时测不了</v>
      </c>
    </row>
    <row r="38" ht="160" customHeight="1" spans="1:13">
      <c r="A38" s="4" t="s">
        <v>2132</v>
      </c>
      <c r="B38" s="4" t="s">
        <v>1927</v>
      </c>
      <c r="C38" s="4" t="s">
        <v>2122</v>
      </c>
      <c r="D38" s="4" t="s">
        <v>100</v>
      </c>
      <c r="E38" s="4" t="s">
        <v>2133</v>
      </c>
      <c r="F38" s="4" t="s">
        <v>2134</v>
      </c>
      <c r="G38" s="4" t="s">
        <v>2135</v>
      </c>
      <c r="H38" s="20" t="s">
        <v>5</v>
      </c>
      <c r="I38" s="20" t="s">
        <v>2079</v>
      </c>
      <c r="J38" s="20" t="s">
        <v>1333</v>
      </c>
      <c r="K38" s="20" t="s">
        <v>98</v>
      </c>
      <c r="L38" s="21">
        <v>46293</v>
      </c>
      <c r="M38" s="17" t="str">
        <f t="shared" si="0"/>
        <v>暂时测不了</v>
      </c>
    </row>
    <row r="39" ht="160" customHeight="1" spans="1:13">
      <c r="A39" s="5" t="s">
        <v>2136</v>
      </c>
      <c r="B39" s="5" t="s">
        <v>1934</v>
      </c>
      <c r="C39" s="5" t="s">
        <v>2137</v>
      </c>
      <c r="D39" s="5" t="s">
        <v>94</v>
      </c>
      <c r="E39" s="5" t="s">
        <v>2138</v>
      </c>
      <c r="F39" s="5" t="s">
        <v>2139</v>
      </c>
      <c r="G39" s="5" t="s">
        <v>2140</v>
      </c>
      <c r="H39" s="20" t="s">
        <v>5</v>
      </c>
      <c r="I39" s="20" t="s">
        <v>2126</v>
      </c>
      <c r="J39" s="20" t="s">
        <v>1333</v>
      </c>
      <c r="K39" s="20" t="s">
        <v>98</v>
      </c>
      <c r="L39" s="21">
        <v>46293</v>
      </c>
      <c r="M39" s="17" t="str">
        <f t="shared" si="0"/>
        <v>暂时测不了</v>
      </c>
    </row>
    <row r="40" ht="160" customHeight="1" spans="1:13">
      <c r="A40" s="4" t="s">
        <v>2141</v>
      </c>
      <c r="B40" s="4" t="s">
        <v>1934</v>
      </c>
      <c r="C40" s="4" t="s">
        <v>2137</v>
      </c>
      <c r="D40" s="4" t="s">
        <v>94</v>
      </c>
      <c r="E40" s="4" t="s">
        <v>2142</v>
      </c>
      <c r="F40" s="4" t="s">
        <v>2143</v>
      </c>
      <c r="G40" s="4" t="s">
        <v>2144</v>
      </c>
      <c r="H40" s="20" t="s">
        <v>5</v>
      </c>
      <c r="I40" s="20" t="s">
        <v>2126</v>
      </c>
      <c r="J40" s="20" t="s">
        <v>1333</v>
      </c>
      <c r="K40" s="20" t="s">
        <v>98</v>
      </c>
      <c r="L40" s="21">
        <v>46293</v>
      </c>
      <c r="M40" s="17" t="str">
        <f t="shared" si="0"/>
        <v>暂时测不了</v>
      </c>
    </row>
    <row r="41" ht="160" customHeight="1" spans="1:13">
      <c r="A41" s="5" t="s">
        <v>2145</v>
      </c>
      <c r="B41" s="5" t="s">
        <v>1934</v>
      </c>
      <c r="C41" s="5" t="s">
        <v>2137</v>
      </c>
      <c r="D41" s="5" t="s">
        <v>100</v>
      </c>
      <c r="E41" s="5" t="s">
        <v>2146</v>
      </c>
      <c r="F41" s="5" t="s">
        <v>2147</v>
      </c>
      <c r="G41" s="5" t="s">
        <v>2148</v>
      </c>
      <c r="H41" s="20" t="s">
        <v>5</v>
      </c>
      <c r="I41" s="20" t="s">
        <v>2126</v>
      </c>
      <c r="J41" s="20" t="s">
        <v>1333</v>
      </c>
      <c r="K41" s="20" t="s">
        <v>98</v>
      </c>
      <c r="L41" s="21">
        <v>46293</v>
      </c>
      <c r="M41" s="17" t="str">
        <f t="shared" si="0"/>
        <v>暂时测不了</v>
      </c>
    </row>
    <row r="42" ht="160" customHeight="1" spans="1:13">
      <c r="A42" s="4" t="s">
        <v>2149</v>
      </c>
      <c r="B42" s="4" t="s">
        <v>1934</v>
      </c>
      <c r="C42" s="4" t="s">
        <v>2137</v>
      </c>
      <c r="D42" s="4" t="s">
        <v>100</v>
      </c>
      <c r="E42" s="4" t="s">
        <v>2150</v>
      </c>
      <c r="F42" s="4" t="s">
        <v>2151</v>
      </c>
      <c r="G42" s="4" t="s">
        <v>2152</v>
      </c>
      <c r="H42" s="20" t="s">
        <v>5</v>
      </c>
      <c r="I42" s="20" t="s">
        <v>2126</v>
      </c>
      <c r="J42" s="20" t="s">
        <v>1333</v>
      </c>
      <c r="K42" s="20" t="s">
        <v>98</v>
      </c>
      <c r="L42" s="21">
        <v>46293</v>
      </c>
      <c r="M42" s="17" t="str">
        <f t="shared" si="0"/>
        <v>暂时测不了</v>
      </c>
    </row>
    <row r="43" ht="160" customHeight="1" spans="1:13">
      <c r="A43" s="5" t="s">
        <v>2153</v>
      </c>
      <c r="B43" s="5" t="s">
        <v>1934</v>
      </c>
      <c r="C43" s="5" t="s">
        <v>2137</v>
      </c>
      <c r="D43" s="5" t="s">
        <v>94</v>
      </c>
      <c r="E43" s="5" t="s">
        <v>2154</v>
      </c>
      <c r="F43" s="5" t="s">
        <v>2155</v>
      </c>
      <c r="G43" s="5" t="s">
        <v>2156</v>
      </c>
      <c r="H43" s="20" t="s">
        <v>5</v>
      </c>
      <c r="I43" s="20" t="s">
        <v>2126</v>
      </c>
      <c r="J43" s="20" t="s">
        <v>1333</v>
      </c>
      <c r="K43" s="20" t="s">
        <v>98</v>
      </c>
      <c r="L43" s="21">
        <v>46293</v>
      </c>
      <c r="M43" s="17" t="str">
        <f t="shared" si="0"/>
        <v>暂时测不了</v>
      </c>
    </row>
    <row r="44" ht="160" customHeight="1" spans="1:13">
      <c r="A44" s="4" t="s">
        <v>2157</v>
      </c>
      <c r="B44" s="4" t="s">
        <v>1934</v>
      </c>
      <c r="C44" s="4" t="s">
        <v>2158</v>
      </c>
      <c r="D44" s="4" t="s">
        <v>100</v>
      </c>
      <c r="E44" s="4" t="s">
        <v>2159</v>
      </c>
      <c r="F44" s="4" t="s">
        <v>2160</v>
      </c>
      <c r="G44" s="4" t="s">
        <v>2161</v>
      </c>
      <c r="H44" s="20" t="s">
        <v>5</v>
      </c>
      <c r="I44" s="20" t="s">
        <v>2126</v>
      </c>
      <c r="J44" s="20" t="s">
        <v>1333</v>
      </c>
      <c r="K44" s="20" t="s">
        <v>98</v>
      </c>
      <c r="L44" s="21">
        <v>46293</v>
      </c>
      <c r="M44" s="17" t="str">
        <f t="shared" si="0"/>
        <v>暂时测不了</v>
      </c>
    </row>
    <row r="45" ht="160" customHeight="1" spans="1:13">
      <c r="A45" s="5" t="s">
        <v>2162</v>
      </c>
      <c r="B45" s="5" t="s">
        <v>1941</v>
      </c>
      <c r="C45" s="5" t="s">
        <v>2163</v>
      </c>
      <c r="D45" s="5" t="s">
        <v>94</v>
      </c>
      <c r="E45" s="5" t="s">
        <v>2164</v>
      </c>
      <c r="F45" s="5" t="s">
        <v>2165</v>
      </c>
      <c r="G45" s="5" t="s">
        <v>2166</v>
      </c>
      <c r="H45" s="20" t="s">
        <v>15</v>
      </c>
      <c r="I45" s="20" t="s">
        <v>2167</v>
      </c>
      <c r="J45" s="20" t="s">
        <v>2168</v>
      </c>
      <c r="K45" s="20" t="s">
        <v>98</v>
      </c>
      <c r="L45" s="21">
        <v>46293</v>
      </c>
      <c r="M45" s="17" t="str">
        <f t="shared" si="0"/>
        <v>记录齐全</v>
      </c>
    </row>
    <row r="46" ht="160" customHeight="1" spans="1:13">
      <c r="A46" s="4" t="s">
        <v>2169</v>
      </c>
      <c r="B46" s="4" t="s">
        <v>1941</v>
      </c>
      <c r="C46" s="4" t="s">
        <v>2163</v>
      </c>
      <c r="D46" s="4" t="s">
        <v>94</v>
      </c>
      <c r="E46" s="4" t="s">
        <v>2170</v>
      </c>
      <c r="F46" s="4" t="s">
        <v>2171</v>
      </c>
      <c r="G46" s="4" t="s">
        <v>2172</v>
      </c>
      <c r="H46" s="20" t="s">
        <v>5</v>
      </c>
      <c r="I46" s="20" t="s">
        <v>2049</v>
      </c>
      <c r="J46" s="20" t="s">
        <v>1333</v>
      </c>
      <c r="K46" s="20" t="s">
        <v>98</v>
      </c>
      <c r="L46" s="21">
        <v>46293</v>
      </c>
      <c r="M46" s="17" t="str">
        <f t="shared" si="0"/>
        <v>暂时测不了</v>
      </c>
    </row>
    <row r="47" ht="160" customHeight="1" spans="1:13">
      <c r="A47" s="5" t="s">
        <v>2173</v>
      </c>
      <c r="B47" s="5" t="s">
        <v>1941</v>
      </c>
      <c r="C47" s="5" t="s">
        <v>2163</v>
      </c>
      <c r="D47" s="5" t="s">
        <v>94</v>
      </c>
      <c r="E47" s="5" t="s">
        <v>2174</v>
      </c>
      <c r="F47" s="5" t="s">
        <v>2175</v>
      </c>
      <c r="G47" s="5" t="s">
        <v>2176</v>
      </c>
      <c r="H47" s="20" t="s">
        <v>5</v>
      </c>
      <c r="I47" s="20" t="s">
        <v>2049</v>
      </c>
      <c r="J47" s="20" t="s">
        <v>1333</v>
      </c>
      <c r="K47" s="20" t="s">
        <v>98</v>
      </c>
      <c r="L47" s="21">
        <v>46293</v>
      </c>
      <c r="M47" s="17" t="str">
        <f t="shared" si="0"/>
        <v>暂时测不了</v>
      </c>
    </row>
    <row r="48" ht="160" customHeight="1" spans="1:13">
      <c r="A48" s="4" t="s">
        <v>2177</v>
      </c>
      <c r="B48" s="4" t="s">
        <v>1941</v>
      </c>
      <c r="C48" s="4" t="s">
        <v>2178</v>
      </c>
      <c r="D48" s="4" t="s">
        <v>94</v>
      </c>
      <c r="E48" s="4" t="s">
        <v>2179</v>
      </c>
      <c r="F48" s="4" t="s">
        <v>2180</v>
      </c>
      <c r="G48" s="4" t="s">
        <v>2181</v>
      </c>
      <c r="H48" s="20" t="s">
        <v>5</v>
      </c>
      <c r="I48" s="20" t="s">
        <v>1983</v>
      </c>
      <c r="J48" s="20" t="s">
        <v>1333</v>
      </c>
      <c r="K48" s="20" t="s">
        <v>98</v>
      </c>
      <c r="L48" s="21">
        <v>46293</v>
      </c>
      <c r="M48" s="17" t="str">
        <f t="shared" si="0"/>
        <v>暂时测不了</v>
      </c>
    </row>
    <row r="49" ht="160" customHeight="1" spans="1:13">
      <c r="A49" s="5" t="s">
        <v>2182</v>
      </c>
      <c r="B49" s="5" t="s">
        <v>1941</v>
      </c>
      <c r="C49" s="5" t="s">
        <v>2178</v>
      </c>
      <c r="D49" s="5" t="s">
        <v>94</v>
      </c>
      <c r="E49" s="5" t="s">
        <v>2183</v>
      </c>
      <c r="F49" s="5" t="s">
        <v>2184</v>
      </c>
      <c r="G49" s="5" t="s">
        <v>2185</v>
      </c>
      <c r="H49" s="20" t="s">
        <v>5</v>
      </c>
      <c r="I49" s="20" t="s">
        <v>1983</v>
      </c>
      <c r="J49" s="20" t="s">
        <v>1333</v>
      </c>
      <c r="K49" s="20" t="s">
        <v>98</v>
      </c>
      <c r="L49" s="21">
        <v>46293</v>
      </c>
      <c r="M49" s="17" t="str">
        <f t="shared" si="0"/>
        <v>暂时测不了</v>
      </c>
    </row>
    <row r="50" ht="160" customHeight="1" spans="1:13">
      <c r="A50" s="4" t="s">
        <v>2186</v>
      </c>
      <c r="B50" s="4" t="s">
        <v>1941</v>
      </c>
      <c r="C50" s="4" t="s">
        <v>2178</v>
      </c>
      <c r="D50" s="4" t="s">
        <v>94</v>
      </c>
      <c r="E50" s="4" t="s">
        <v>2187</v>
      </c>
      <c r="F50" s="4" t="s">
        <v>2188</v>
      </c>
      <c r="G50" s="4" t="s">
        <v>2189</v>
      </c>
      <c r="H50" s="20" t="s">
        <v>5</v>
      </c>
      <c r="I50" s="20" t="s">
        <v>1983</v>
      </c>
      <c r="J50" s="20" t="s">
        <v>1333</v>
      </c>
      <c r="K50" s="20" t="s">
        <v>98</v>
      </c>
      <c r="L50" s="21">
        <v>46293</v>
      </c>
      <c r="M50" s="17" t="str">
        <f t="shared" si="0"/>
        <v>暂时测不了</v>
      </c>
    </row>
    <row r="51" ht="160" customHeight="1" spans="1:13">
      <c r="A51" s="5" t="s">
        <v>2190</v>
      </c>
      <c r="B51" s="5" t="s">
        <v>1948</v>
      </c>
      <c r="C51" s="5" t="s">
        <v>2191</v>
      </c>
      <c r="D51" s="5" t="s">
        <v>100</v>
      </c>
      <c r="E51" s="5" t="s">
        <v>2192</v>
      </c>
      <c r="F51" s="5" t="s">
        <v>2193</v>
      </c>
      <c r="G51" s="5" t="s">
        <v>2194</v>
      </c>
      <c r="H51" s="20" t="s">
        <v>5</v>
      </c>
      <c r="I51" s="20" t="s">
        <v>2195</v>
      </c>
      <c r="J51" s="20" t="s">
        <v>1333</v>
      </c>
      <c r="K51" s="20" t="s">
        <v>98</v>
      </c>
      <c r="L51" s="21">
        <v>46293</v>
      </c>
      <c r="M51" s="17" t="str">
        <f t="shared" si="0"/>
        <v>暂时测不了</v>
      </c>
    </row>
    <row r="52" ht="160" customHeight="1" spans="1:13">
      <c r="A52" s="4" t="s">
        <v>2196</v>
      </c>
      <c r="B52" s="4" t="s">
        <v>1948</v>
      </c>
      <c r="C52" s="4" t="s">
        <v>2191</v>
      </c>
      <c r="D52" s="4" t="s">
        <v>100</v>
      </c>
      <c r="E52" s="4" t="s">
        <v>2197</v>
      </c>
      <c r="F52" s="4" t="s">
        <v>2198</v>
      </c>
      <c r="G52" s="4" t="s">
        <v>2199</v>
      </c>
      <c r="H52" s="20" t="s">
        <v>5</v>
      </c>
      <c r="I52" s="20" t="s">
        <v>2195</v>
      </c>
      <c r="J52" s="20" t="s">
        <v>1333</v>
      </c>
      <c r="K52" s="20" t="s">
        <v>98</v>
      </c>
      <c r="L52" s="21">
        <v>46293</v>
      </c>
      <c r="M52" s="17" t="str">
        <f t="shared" si="0"/>
        <v>暂时测不了</v>
      </c>
    </row>
    <row r="53" ht="160" customHeight="1" spans="1:13">
      <c r="A53" s="5" t="s">
        <v>2200</v>
      </c>
      <c r="B53" s="5" t="s">
        <v>1948</v>
      </c>
      <c r="C53" s="5" t="s">
        <v>2191</v>
      </c>
      <c r="D53" s="5" t="s">
        <v>100</v>
      </c>
      <c r="E53" s="5" t="s">
        <v>2201</v>
      </c>
      <c r="F53" s="5" t="s">
        <v>2202</v>
      </c>
      <c r="G53" s="5" t="s">
        <v>2203</v>
      </c>
      <c r="H53" s="20" t="s">
        <v>5</v>
      </c>
      <c r="I53" s="20" t="s">
        <v>1983</v>
      </c>
      <c r="J53" s="20" t="s">
        <v>1333</v>
      </c>
      <c r="K53" s="20" t="s">
        <v>98</v>
      </c>
      <c r="L53" s="21">
        <v>46293</v>
      </c>
      <c r="M53" s="17" t="str">
        <f t="shared" si="0"/>
        <v>暂时测不了</v>
      </c>
    </row>
  </sheetData>
  <mergeCells count="2">
    <mergeCell ref="A3:M3"/>
    <mergeCell ref="A4:M4"/>
  </mergeCells>
  <conditionalFormatting sqref="H6:H53">
    <cfRule type="cellIs" dxfId="3" priority="1" operator="equal">
      <formula>"通过"</formula>
    </cfRule>
    <cfRule type="cellIs" dxfId="0" priority="2" operator="equal">
      <formula>"有问题"</formula>
    </cfRule>
    <cfRule type="cellIs" dxfId="4" priority="3" operator="equal">
      <formula>"暂时测不了"</formula>
    </cfRule>
    <cfRule type="cellIs" dxfId="2" priority="4" operator="equal">
      <formula>"还没测"</formula>
    </cfRule>
    <cfRule type="cellIs" dxfId="4" priority="5" operator="equal">
      <formula>"待补证据"</formula>
    </cfRule>
    <cfRule type="cellIs" dxfId="7" priority="6" operator="equal">
      <formula>"进行中"</formula>
    </cfRule>
  </conditionalFormatting>
  <conditionalFormatting sqref="M6:M53">
    <cfRule type="cellIs" dxfId="3" priority="7" operator="equal">
      <formula>"通过"</formula>
    </cfRule>
    <cfRule type="cellIs" dxfId="0" priority="8" operator="equal">
      <formula>"有问题"</formula>
    </cfRule>
    <cfRule type="cellIs" dxfId="4" priority="9" operator="equal">
      <formula>"暂时测不了"</formula>
    </cfRule>
    <cfRule type="cellIs" dxfId="2" priority="10" operator="equal">
      <formula>"还没测"</formula>
    </cfRule>
    <cfRule type="cellIs" dxfId="4" priority="11" operator="equal">
      <formula>"待补证据"</formula>
    </cfRule>
    <cfRule type="cellIs" dxfId="7" priority="12" operator="equal">
      <formula>"进行中"</formula>
    </cfRule>
  </conditionalFormatting>
  <dataValidations count="1">
    <dataValidation type="list" sqref="H6:H53">
      <formula1>"还没测,通过,有问题,暂时测不了"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891B2"/>
  </sheetPr>
  <dimension ref="A1:M69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2" customWidth="1"/>
    <col min="2" max="2" width="24" customWidth="1"/>
    <col min="3" max="3" width="17" customWidth="1"/>
    <col min="4" max="4" width="34" customWidth="1"/>
    <col min="5" max="5" width="62" customWidth="1"/>
    <col min="6" max="6" width="67" customWidth="1"/>
    <col min="7" max="7" width="45" customWidth="1"/>
    <col min="8" max="8" width="16" customWidth="1"/>
    <col min="9" max="10" width="40" customWidth="1"/>
    <col min="11" max="11" width="18" customWidth="1"/>
    <col min="12" max="12" width="16" customWidth="1"/>
    <col min="13" max="13" width="19" customWidth="1"/>
  </cols>
  <sheetData>
    <row r="1" ht="16.5" spans="1:1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ht="32" customHeight="1" spans="1:13">
      <c r="A2" s="16" t="s">
        <v>2204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38" customHeight="1" spans="1:13">
      <c r="A3" s="17" t="s">
        <v>2205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38" customHeight="1" spans="1:13">
      <c r="A4" s="17" t="s">
        <v>2206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34" customHeight="1" spans="1:13">
      <c r="A5" s="18" t="s">
        <v>84</v>
      </c>
      <c r="B5" s="18" t="s">
        <v>13</v>
      </c>
      <c r="C5" s="18" t="s">
        <v>85</v>
      </c>
      <c r="D5" s="18" t="s">
        <v>2207</v>
      </c>
      <c r="E5" s="18" t="s">
        <v>2208</v>
      </c>
      <c r="F5" s="18" t="s">
        <v>87</v>
      </c>
      <c r="G5" s="18" t="s">
        <v>2209</v>
      </c>
      <c r="H5" s="18" t="s">
        <v>88</v>
      </c>
      <c r="I5" s="18" t="s">
        <v>2210</v>
      </c>
      <c r="J5" s="18" t="s">
        <v>2211</v>
      </c>
      <c r="K5" s="18" t="s">
        <v>90</v>
      </c>
      <c r="L5" s="18" t="s">
        <v>91</v>
      </c>
      <c r="M5" s="18" t="s">
        <v>1977</v>
      </c>
    </row>
    <row r="6" ht="160" customHeight="1" spans="1:13">
      <c r="A6" s="19" t="s">
        <v>2212</v>
      </c>
      <c r="B6" s="19" t="s">
        <v>2213</v>
      </c>
      <c r="C6" s="19" t="s">
        <v>94</v>
      </c>
      <c r="D6" s="5" t="s">
        <v>2214</v>
      </c>
      <c r="E6" s="5" t="s">
        <v>2215</v>
      </c>
      <c r="F6" s="5" t="s">
        <v>2216</v>
      </c>
      <c r="G6" s="5" t="s">
        <v>2217</v>
      </c>
      <c r="H6" s="20" t="s">
        <v>5</v>
      </c>
      <c r="I6" s="20" t="s">
        <v>2126</v>
      </c>
      <c r="J6" s="20" t="s">
        <v>1333</v>
      </c>
      <c r="K6" s="20" t="s">
        <v>98</v>
      </c>
      <c r="L6" s="21">
        <v>46293</v>
      </c>
      <c r="M6" s="17" t="str">
        <f t="shared" ref="M6:M69" si="0">IF(H6="通过",IF(COUNTBLANK(I6:L6)=0,"记录齐全","待补证据"),H6)</f>
        <v>暂时测不了</v>
      </c>
    </row>
    <row r="7" ht="160" customHeight="1" spans="1:13">
      <c r="A7" s="19" t="s">
        <v>2218</v>
      </c>
      <c r="B7" s="19" t="s">
        <v>2213</v>
      </c>
      <c r="C7" s="19" t="s">
        <v>94</v>
      </c>
      <c r="D7" s="5" t="s">
        <v>2219</v>
      </c>
      <c r="E7" s="5" t="s">
        <v>2220</v>
      </c>
      <c r="F7" s="5" t="s">
        <v>2221</v>
      </c>
      <c r="G7" s="5" t="s">
        <v>2222</v>
      </c>
      <c r="H7" s="20" t="s">
        <v>5</v>
      </c>
      <c r="I7" s="20" t="s">
        <v>2223</v>
      </c>
      <c r="J7" s="20" t="s">
        <v>2224</v>
      </c>
      <c r="K7" s="20" t="s">
        <v>98</v>
      </c>
      <c r="L7" s="21">
        <v>46293</v>
      </c>
      <c r="M7" s="17" t="str">
        <f t="shared" si="0"/>
        <v>暂时测不了</v>
      </c>
    </row>
    <row r="8" ht="160" customHeight="1" spans="1:13">
      <c r="A8" s="19" t="s">
        <v>2225</v>
      </c>
      <c r="B8" s="19" t="s">
        <v>2213</v>
      </c>
      <c r="C8" s="19" t="s">
        <v>94</v>
      </c>
      <c r="D8" s="5" t="s">
        <v>2226</v>
      </c>
      <c r="E8" s="5" t="s">
        <v>2227</v>
      </c>
      <c r="F8" s="5" t="s">
        <v>2228</v>
      </c>
      <c r="G8" s="5" t="s">
        <v>2229</v>
      </c>
      <c r="H8" s="20" t="s">
        <v>5</v>
      </c>
      <c r="I8" s="20" t="s">
        <v>2126</v>
      </c>
      <c r="J8" s="20" t="s">
        <v>1333</v>
      </c>
      <c r="K8" s="20" t="s">
        <v>98</v>
      </c>
      <c r="L8" s="21">
        <v>46293</v>
      </c>
      <c r="M8" s="17" t="str">
        <f t="shared" si="0"/>
        <v>暂时测不了</v>
      </c>
    </row>
    <row r="9" ht="160" customHeight="1" spans="1:13">
      <c r="A9" s="19" t="s">
        <v>2230</v>
      </c>
      <c r="B9" s="19" t="s">
        <v>2213</v>
      </c>
      <c r="C9" s="19" t="s">
        <v>94</v>
      </c>
      <c r="D9" s="5" t="s">
        <v>2231</v>
      </c>
      <c r="E9" s="5" t="s">
        <v>2232</v>
      </c>
      <c r="F9" s="5" t="s">
        <v>2233</v>
      </c>
      <c r="G9" s="5" t="s">
        <v>2234</v>
      </c>
      <c r="H9" s="20" t="s">
        <v>5</v>
      </c>
      <c r="I9" s="20" t="s">
        <v>2126</v>
      </c>
      <c r="J9" s="20" t="s">
        <v>1333</v>
      </c>
      <c r="K9" s="20" t="s">
        <v>98</v>
      </c>
      <c r="L9" s="21">
        <v>46293</v>
      </c>
      <c r="M9" s="17" t="str">
        <f t="shared" si="0"/>
        <v>暂时测不了</v>
      </c>
    </row>
    <row r="10" ht="160" customHeight="1" spans="1:13">
      <c r="A10" s="19" t="s">
        <v>2235</v>
      </c>
      <c r="B10" s="19" t="s">
        <v>2213</v>
      </c>
      <c r="C10" s="19" t="s">
        <v>94</v>
      </c>
      <c r="D10" s="5" t="s">
        <v>2236</v>
      </c>
      <c r="E10" s="5" t="s">
        <v>2237</v>
      </c>
      <c r="F10" s="5" t="s">
        <v>2238</v>
      </c>
      <c r="G10" s="5" t="s">
        <v>2239</v>
      </c>
      <c r="H10" s="20" t="s">
        <v>5</v>
      </c>
      <c r="I10" s="20" t="s">
        <v>2126</v>
      </c>
      <c r="J10" s="20" t="s">
        <v>1333</v>
      </c>
      <c r="K10" s="20" t="s">
        <v>98</v>
      </c>
      <c r="L10" s="21">
        <v>46293</v>
      </c>
      <c r="M10" s="17" t="str">
        <f t="shared" si="0"/>
        <v>暂时测不了</v>
      </c>
    </row>
    <row r="11" ht="160" customHeight="1" spans="1:13">
      <c r="A11" s="19" t="s">
        <v>2240</v>
      </c>
      <c r="B11" s="19" t="s">
        <v>2213</v>
      </c>
      <c r="C11" s="19" t="s">
        <v>100</v>
      </c>
      <c r="D11" s="5" t="s">
        <v>2241</v>
      </c>
      <c r="E11" s="5" t="s">
        <v>2242</v>
      </c>
      <c r="F11" s="5" t="s">
        <v>2243</v>
      </c>
      <c r="G11" s="5" t="s">
        <v>2244</v>
      </c>
      <c r="H11" s="20" t="s">
        <v>5</v>
      </c>
      <c r="I11" s="20" t="s">
        <v>2126</v>
      </c>
      <c r="J11" s="20" t="s">
        <v>1333</v>
      </c>
      <c r="K11" s="20" t="s">
        <v>98</v>
      </c>
      <c r="L11" s="21">
        <v>46293</v>
      </c>
      <c r="M11" s="17" t="str">
        <f t="shared" si="0"/>
        <v>暂时测不了</v>
      </c>
    </row>
    <row r="12" ht="130" customHeight="1" spans="1:13">
      <c r="A12" s="22" t="s">
        <v>2245</v>
      </c>
      <c r="B12" s="22" t="s">
        <v>2246</v>
      </c>
      <c r="C12" s="22" t="s">
        <v>94</v>
      </c>
      <c r="D12" s="23" t="s">
        <v>2247</v>
      </c>
      <c r="E12" s="23" t="s">
        <v>2248</v>
      </c>
      <c r="F12" s="23" t="s">
        <v>2249</v>
      </c>
      <c r="G12" s="23" t="s">
        <v>2250</v>
      </c>
      <c r="H12" s="20" t="s">
        <v>15</v>
      </c>
      <c r="I12" s="20" t="s">
        <v>2251</v>
      </c>
      <c r="J12" s="20" t="s">
        <v>2252</v>
      </c>
      <c r="K12" s="20" t="s">
        <v>98</v>
      </c>
      <c r="L12" s="21">
        <v>46292</v>
      </c>
      <c r="M12" s="17" t="str">
        <f t="shared" si="0"/>
        <v>记录齐全</v>
      </c>
    </row>
    <row r="13" ht="130" customHeight="1" spans="1:13">
      <c r="A13" s="22" t="s">
        <v>2253</v>
      </c>
      <c r="B13" s="22" t="s">
        <v>2246</v>
      </c>
      <c r="C13" s="22" t="s">
        <v>100</v>
      </c>
      <c r="D13" s="23" t="s">
        <v>2254</v>
      </c>
      <c r="E13" s="23" t="s">
        <v>2255</v>
      </c>
      <c r="F13" s="23" t="s">
        <v>2256</v>
      </c>
      <c r="G13" s="23" t="s">
        <v>2257</v>
      </c>
      <c r="H13" s="20" t="s">
        <v>15</v>
      </c>
      <c r="I13" s="20" t="s">
        <v>2258</v>
      </c>
      <c r="J13" s="20" t="s">
        <v>2259</v>
      </c>
      <c r="K13" s="20" t="s">
        <v>98</v>
      </c>
      <c r="L13" s="21">
        <v>46292</v>
      </c>
      <c r="M13" s="17" t="str">
        <f t="shared" si="0"/>
        <v>记录齐全</v>
      </c>
    </row>
    <row r="14" ht="130" customHeight="1" spans="1:13">
      <c r="A14" s="22" t="s">
        <v>2260</v>
      </c>
      <c r="B14" s="22" t="s">
        <v>2246</v>
      </c>
      <c r="C14" s="22" t="s">
        <v>94</v>
      </c>
      <c r="D14" s="23" t="s">
        <v>2261</v>
      </c>
      <c r="E14" s="23" t="s">
        <v>2262</v>
      </c>
      <c r="F14" s="23" t="s">
        <v>2263</v>
      </c>
      <c r="G14" s="23" t="s">
        <v>2264</v>
      </c>
      <c r="H14" s="20" t="s">
        <v>15</v>
      </c>
      <c r="I14" s="20" t="s">
        <v>2265</v>
      </c>
      <c r="J14" s="20" t="s">
        <v>2266</v>
      </c>
      <c r="K14" s="20" t="s">
        <v>98</v>
      </c>
      <c r="L14" s="21">
        <v>46292</v>
      </c>
      <c r="M14" s="17" t="str">
        <f t="shared" si="0"/>
        <v>记录齐全</v>
      </c>
    </row>
    <row r="15" ht="130" customHeight="1" spans="1:13">
      <c r="A15" s="22" t="s">
        <v>2267</v>
      </c>
      <c r="B15" s="22" t="s">
        <v>2246</v>
      </c>
      <c r="C15" s="22" t="s">
        <v>94</v>
      </c>
      <c r="D15" s="23" t="s">
        <v>2268</v>
      </c>
      <c r="E15" s="23" t="s">
        <v>2269</v>
      </c>
      <c r="F15" s="23" t="s">
        <v>2270</v>
      </c>
      <c r="G15" s="23" t="s">
        <v>2271</v>
      </c>
      <c r="H15" s="20" t="s">
        <v>15</v>
      </c>
      <c r="I15" s="20" t="s">
        <v>2272</v>
      </c>
      <c r="J15" s="20" t="s">
        <v>2273</v>
      </c>
      <c r="K15" s="20" t="s">
        <v>98</v>
      </c>
      <c r="L15" s="21">
        <v>46292</v>
      </c>
      <c r="M15" s="17" t="str">
        <f t="shared" si="0"/>
        <v>记录齐全</v>
      </c>
    </row>
    <row r="16" ht="160" customHeight="1" spans="1:13">
      <c r="A16" s="22" t="s">
        <v>2274</v>
      </c>
      <c r="B16" s="22" t="s">
        <v>2246</v>
      </c>
      <c r="C16" s="22" t="s">
        <v>100</v>
      </c>
      <c r="D16" s="23" t="s">
        <v>2275</v>
      </c>
      <c r="E16" s="23" t="s">
        <v>2276</v>
      </c>
      <c r="F16" s="23" t="s">
        <v>2277</v>
      </c>
      <c r="G16" s="23" t="s">
        <v>2278</v>
      </c>
      <c r="H16" s="20" t="s">
        <v>5</v>
      </c>
      <c r="I16" s="20" t="s">
        <v>2126</v>
      </c>
      <c r="J16" s="20" t="s">
        <v>1333</v>
      </c>
      <c r="K16" s="20" t="s">
        <v>98</v>
      </c>
      <c r="L16" s="21">
        <v>46293</v>
      </c>
      <c r="M16" s="17" t="str">
        <f t="shared" si="0"/>
        <v>暂时测不了</v>
      </c>
    </row>
    <row r="17" ht="160" customHeight="1" spans="1:13">
      <c r="A17" s="22" t="s">
        <v>2279</v>
      </c>
      <c r="B17" s="22" t="s">
        <v>2246</v>
      </c>
      <c r="C17" s="22" t="s">
        <v>94</v>
      </c>
      <c r="D17" s="23" t="s">
        <v>2280</v>
      </c>
      <c r="E17" s="23" t="s">
        <v>2281</v>
      </c>
      <c r="F17" s="23" t="s">
        <v>2282</v>
      </c>
      <c r="G17" s="23" t="s">
        <v>2283</v>
      </c>
      <c r="H17" s="20" t="s">
        <v>5</v>
      </c>
      <c r="I17" s="20" t="s">
        <v>2126</v>
      </c>
      <c r="J17" s="20" t="s">
        <v>1333</v>
      </c>
      <c r="K17" s="20" t="s">
        <v>98</v>
      </c>
      <c r="L17" s="21">
        <v>46293</v>
      </c>
      <c r="M17" s="17" t="str">
        <f t="shared" si="0"/>
        <v>暂时测不了</v>
      </c>
    </row>
    <row r="18" ht="160" customHeight="1" spans="1:13">
      <c r="A18" s="22" t="s">
        <v>2284</v>
      </c>
      <c r="B18" s="22" t="s">
        <v>2246</v>
      </c>
      <c r="C18" s="22" t="s">
        <v>94</v>
      </c>
      <c r="D18" s="23" t="s">
        <v>2285</v>
      </c>
      <c r="E18" s="23" t="s">
        <v>2286</v>
      </c>
      <c r="F18" s="23" t="s">
        <v>2287</v>
      </c>
      <c r="G18" s="23" t="s">
        <v>2288</v>
      </c>
      <c r="H18" s="20" t="s">
        <v>5</v>
      </c>
      <c r="I18" s="20" t="s">
        <v>2126</v>
      </c>
      <c r="J18" s="20" t="s">
        <v>1333</v>
      </c>
      <c r="K18" s="20" t="s">
        <v>98</v>
      </c>
      <c r="L18" s="21">
        <v>46293</v>
      </c>
      <c r="M18" s="17" t="str">
        <f t="shared" si="0"/>
        <v>暂时测不了</v>
      </c>
    </row>
    <row r="19" ht="130" customHeight="1" spans="1:13">
      <c r="A19" s="22" t="s">
        <v>916</v>
      </c>
      <c r="B19" s="22" t="s">
        <v>2246</v>
      </c>
      <c r="C19" s="22" t="s">
        <v>94</v>
      </c>
      <c r="D19" s="23" t="s">
        <v>2289</v>
      </c>
      <c r="E19" s="23" t="s">
        <v>2290</v>
      </c>
      <c r="F19" s="23" t="s">
        <v>2291</v>
      </c>
      <c r="G19" s="23" t="s">
        <v>2292</v>
      </c>
      <c r="H19" s="20" t="s">
        <v>15</v>
      </c>
      <c r="I19" s="20" t="s">
        <v>2293</v>
      </c>
      <c r="J19" s="20" t="s">
        <v>2294</v>
      </c>
      <c r="K19" s="20" t="s">
        <v>98</v>
      </c>
      <c r="L19" s="21">
        <v>46293</v>
      </c>
      <c r="M19" s="17" t="str">
        <f t="shared" si="0"/>
        <v>记录齐全</v>
      </c>
    </row>
    <row r="20" ht="130" customHeight="1" spans="1:13">
      <c r="A20" s="22" t="s">
        <v>2295</v>
      </c>
      <c r="B20" s="22" t="s">
        <v>2246</v>
      </c>
      <c r="C20" s="22" t="s">
        <v>100</v>
      </c>
      <c r="D20" s="23" t="s">
        <v>2296</v>
      </c>
      <c r="E20" s="23" t="s">
        <v>2297</v>
      </c>
      <c r="F20" s="23" t="s">
        <v>2298</v>
      </c>
      <c r="G20" s="23" t="s">
        <v>2299</v>
      </c>
      <c r="H20" s="20" t="s">
        <v>15</v>
      </c>
      <c r="I20" s="20" t="s">
        <v>2300</v>
      </c>
      <c r="J20" s="20" t="s">
        <v>2301</v>
      </c>
      <c r="K20" s="20" t="s">
        <v>98</v>
      </c>
      <c r="L20" s="21">
        <v>46292</v>
      </c>
      <c r="M20" s="17" t="str">
        <f t="shared" si="0"/>
        <v>记录齐全</v>
      </c>
    </row>
    <row r="21" ht="160" customHeight="1" spans="1:13">
      <c r="A21" s="22" t="s">
        <v>2302</v>
      </c>
      <c r="B21" s="22" t="s">
        <v>2246</v>
      </c>
      <c r="C21" s="22" t="s">
        <v>94</v>
      </c>
      <c r="D21" s="23" t="s">
        <v>2303</v>
      </c>
      <c r="E21" s="23" t="s">
        <v>2304</v>
      </c>
      <c r="F21" s="23" t="s">
        <v>2305</v>
      </c>
      <c r="G21" s="23" t="s">
        <v>2306</v>
      </c>
      <c r="H21" s="20" t="s">
        <v>5</v>
      </c>
      <c r="I21" s="20" t="s">
        <v>2307</v>
      </c>
      <c r="J21" s="20" t="s">
        <v>1834</v>
      </c>
      <c r="K21" s="20" t="s">
        <v>98</v>
      </c>
      <c r="L21" s="21">
        <v>46293</v>
      </c>
      <c r="M21" s="17" t="str">
        <f t="shared" si="0"/>
        <v>暂时测不了</v>
      </c>
    </row>
    <row r="22" ht="160" customHeight="1" spans="1:13">
      <c r="A22" s="22" t="s">
        <v>2308</v>
      </c>
      <c r="B22" s="22" t="s">
        <v>2246</v>
      </c>
      <c r="C22" s="22" t="s">
        <v>100</v>
      </c>
      <c r="D22" s="23" t="s">
        <v>2309</v>
      </c>
      <c r="E22" s="23" t="s">
        <v>2310</v>
      </c>
      <c r="F22" s="23" t="s">
        <v>2311</v>
      </c>
      <c r="G22" s="23" t="s">
        <v>2312</v>
      </c>
      <c r="H22" s="20" t="s">
        <v>5</v>
      </c>
      <c r="I22" s="20" t="s">
        <v>2126</v>
      </c>
      <c r="J22" s="20" t="s">
        <v>1333</v>
      </c>
      <c r="K22" s="20" t="s">
        <v>98</v>
      </c>
      <c r="L22" s="21">
        <v>46293</v>
      </c>
      <c r="M22" s="17" t="str">
        <f t="shared" si="0"/>
        <v>暂时测不了</v>
      </c>
    </row>
    <row r="23" ht="160" customHeight="1" spans="1:13">
      <c r="A23" s="22" t="s">
        <v>2313</v>
      </c>
      <c r="B23" s="22" t="s">
        <v>2246</v>
      </c>
      <c r="C23" s="22" t="s">
        <v>94</v>
      </c>
      <c r="D23" s="23" t="s">
        <v>2314</v>
      </c>
      <c r="E23" s="23" t="s">
        <v>2315</v>
      </c>
      <c r="F23" s="23" t="s">
        <v>2316</v>
      </c>
      <c r="G23" s="23" t="s">
        <v>2317</v>
      </c>
      <c r="H23" s="20" t="s">
        <v>5</v>
      </c>
      <c r="I23" s="20" t="s">
        <v>2318</v>
      </c>
      <c r="J23" s="20" t="s">
        <v>2319</v>
      </c>
      <c r="K23" s="20" t="s">
        <v>98</v>
      </c>
      <c r="L23" s="21">
        <v>46293</v>
      </c>
      <c r="M23" s="17" t="str">
        <f t="shared" si="0"/>
        <v>暂时测不了</v>
      </c>
    </row>
    <row r="24" ht="160" customHeight="1" spans="1:13">
      <c r="A24" s="22" t="s">
        <v>2320</v>
      </c>
      <c r="B24" s="22" t="s">
        <v>2246</v>
      </c>
      <c r="C24" s="22" t="s">
        <v>94</v>
      </c>
      <c r="D24" s="23" t="s">
        <v>2321</v>
      </c>
      <c r="E24" s="23" t="s">
        <v>2322</v>
      </c>
      <c r="F24" s="23" t="s">
        <v>2323</v>
      </c>
      <c r="G24" s="23" t="s">
        <v>2324</v>
      </c>
      <c r="H24" s="20" t="s">
        <v>4</v>
      </c>
      <c r="I24" s="20" t="s">
        <v>2325</v>
      </c>
      <c r="J24" s="20" t="s">
        <v>2224</v>
      </c>
      <c r="K24" s="20" t="s">
        <v>98</v>
      </c>
      <c r="L24" s="21">
        <v>46293</v>
      </c>
      <c r="M24" s="17" t="str">
        <f t="shared" si="0"/>
        <v>有问题</v>
      </c>
    </row>
    <row r="25" ht="160" customHeight="1" spans="1:13">
      <c r="A25" s="22" t="s">
        <v>2326</v>
      </c>
      <c r="B25" s="22" t="s">
        <v>2246</v>
      </c>
      <c r="C25" s="22" t="s">
        <v>100</v>
      </c>
      <c r="D25" s="23" t="s">
        <v>2327</v>
      </c>
      <c r="E25" s="23" t="s">
        <v>2328</v>
      </c>
      <c r="F25" s="23" t="s">
        <v>2329</v>
      </c>
      <c r="G25" s="23" t="s">
        <v>2330</v>
      </c>
      <c r="H25" s="20" t="s">
        <v>5</v>
      </c>
      <c r="I25" s="20" t="s">
        <v>2331</v>
      </c>
      <c r="J25" s="20" t="s">
        <v>1333</v>
      </c>
      <c r="K25" s="20" t="s">
        <v>98</v>
      </c>
      <c r="L25" s="21">
        <v>46293</v>
      </c>
      <c r="M25" s="17" t="str">
        <f t="shared" si="0"/>
        <v>暂时测不了</v>
      </c>
    </row>
    <row r="26" ht="160" customHeight="1" spans="1:13">
      <c r="A26" s="24" t="s">
        <v>2332</v>
      </c>
      <c r="B26" s="24" t="s">
        <v>2333</v>
      </c>
      <c r="C26" s="24" t="s">
        <v>94</v>
      </c>
      <c r="D26" s="25" t="s">
        <v>2334</v>
      </c>
      <c r="E26" s="25" t="s">
        <v>2335</v>
      </c>
      <c r="F26" s="25" t="s">
        <v>2336</v>
      </c>
      <c r="G26" s="25" t="s">
        <v>2337</v>
      </c>
      <c r="H26" s="20" t="s">
        <v>5</v>
      </c>
      <c r="I26" s="20" t="s">
        <v>2331</v>
      </c>
      <c r="J26" s="20" t="s">
        <v>1333</v>
      </c>
      <c r="K26" s="20" t="s">
        <v>98</v>
      </c>
      <c r="L26" s="21">
        <v>46293</v>
      </c>
      <c r="M26" s="17" t="str">
        <f t="shared" si="0"/>
        <v>暂时测不了</v>
      </c>
    </row>
    <row r="27" ht="130" customHeight="1" spans="1:13">
      <c r="A27" s="24" t="s">
        <v>2338</v>
      </c>
      <c r="B27" s="24" t="s">
        <v>2333</v>
      </c>
      <c r="C27" s="24" t="s">
        <v>100</v>
      </c>
      <c r="D27" s="25" t="s">
        <v>2339</v>
      </c>
      <c r="E27" s="25" t="s">
        <v>2340</v>
      </c>
      <c r="F27" s="25" t="s">
        <v>2341</v>
      </c>
      <c r="G27" s="25" t="s">
        <v>2342</v>
      </c>
      <c r="H27" s="20" t="s">
        <v>15</v>
      </c>
      <c r="I27" s="20" t="s">
        <v>2343</v>
      </c>
      <c r="J27" s="20" t="s">
        <v>2344</v>
      </c>
      <c r="K27" s="20" t="s">
        <v>98</v>
      </c>
      <c r="L27" s="21">
        <v>46292</v>
      </c>
      <c r="M27" s="17" t="str">
        <f t="shared" si="0"/>
        <v>记录齐全</v>
      </c>
    </row>
    <row r="28" ht="130" customHeight="1" spans="1:13">
      <c r="A28" s="24" t="s">
        <v>2345</v>
      </c>
      <c r="B28" s="24" t="s">
        <v>2333</v>
      </c>
      <c r="C28" s="24" t="s">
        <v>94</v>
      </c>
      <c r="D28" s="25" t="s">
        <v>2346</v>
      </c>
      <c r="E28" s="25" t="s">
        <v>2347</v>
      </c>
      <c r="F28" s="25" t="s">
        <v>2348</v>
      </c>
      <c r="G28" s="25" t="s">
        <v>2349</v>
      </c>
      <c r="H28" s="20" t="s">
        <v>15</v>
      </c>
      <c r="I28" s="20" t="s">
        <v>2350</v>
      </c>
      <c r="J28" s="20" t="s">
        <v>2351</v>
      </c>
      <c r="K28" s="20" t="s">
        <v>98</v>
      </c>
      <c r="L28" s="21">
        <v>46292</v>
      </c>
      <c r="M28" s="17" t="str">
        <f t="shared" si="0"/>
        <v>记录齐全</v>
      </c>
    </row>
    <row r="29" ht="130" customHeight="1" spans="1:13">
      <c r="A29" s="24" t="s">
        <v>2352</v>
      </c>
      <c r="B29" s="24" t="s">
        <v>2333</v>
      </c>
      <c r="C29" s="24" t="s">
        <v>100</v>
      </c>
      <c r="D29" s="25" t="s">
        <v>2353</v>
      </c>
      <c r="E29" s="25" t="s">
        <v>2354</v>
      </c>
      <c r="F29" s="25" t="s">
        <v>2355</v>
      </c>
      <c r="G29" s="25" t="s">
        <v>2356</v>
      </c>
      <c r="H29" s="20" t="s">
        <v>15</v>
      </c>
      <c r="I29" s="20" t="s">
        <v>2357</v>
      </c>
      <c r="J29" s="20" t="s">
        <v>2358</v>
      </c>
      <c r="K29" s="20" t="s">
        <v>98</v>
      </c>
      <c r="L29" s="21">
        <v>46292</v>
      </c>
      <c r="M29" s="17" t="str">
        <f t="shared" si="0"/>
        <v>记录齐全</v>
      </c>
    </row>
    <row r="30" ht="130" customHeight="1" spans="1:13">
      <c r="A30" s="24" t="s">
        <v>2359</v>
      </c>
      <c r="B30" s="24" t="s">
        <v>2333</v>
      </c>
      <c r="C30" s="24" t="s">
        <v>94</v>
      </c>
      <c r="D30" s="25" t="s">
        <v>2360</v>
      </c>
      <c r="E30" s="25" t="s">
        <v>2361</v>
      </c>
      <c r="F30" s="25" t="s">
        <v>2362</v>
      </c>
      <c r="G30" s="25" t="s">
        <v>2363</v>
      </c>
      <c r="H30" s="20" t="s">
        <v>15</v>
      </c>
      <c r="I30" s="20" t="s">
        <v>2364</v>
      </c>
      <c r="J30" s="20" t="s">
        <v>2365</v>
      </c>
      <c r="K30" s="20" t="s">
        <v>98</v>
      </c>
      <c r="L30" s="21">
        <v>46292</v>
      </c>
      <c r="M30" s="17" t="str">
        <f t="shared" si="0"/>
        <v>记录齐全</v>
      </c>
    </row>
    <row r="31" ht="160" customHeight="1" spans="1:13">
      <c r="A31" s="24" t="s">
        <v>2366</v>
      </c>
      <c r="B31" s="24" t="s">
        <v>2333</v>
      </c>
      <c r="C31" s="24" t="s">
        <v>94</v>
      </c>
      <c r="D31" s="25" t="s">
        <v>2367</v>
      </c>
      <c r="E31" s="25" t="s">
        <v>2368</v>
      </c>
      <c r="F31" s="25" t="s">
        <v>2369</v>
      </c>
      <c r="G31" s="25" t="s">
        <v>2370</v>
      </c>
      <c r="H31" s="20" t="s">
        <v>5</v>
      </c>
      <c r="I31" s="20" t="s">
        <v>2331</v>
      </c>
      <c r="J31" s="20" t="s">
        <v>1333</v>
      </c>
      <c r="K31" s="20" t="s">
        <v>98</v>
      </c>
      <c r="L31" s="21">
        <v>46293</v>
      </c>
      <c r="M31" s="17" t="str">
        <f t="shared" si="0"/>
        <v>暂时测不了</v>
      </c>
    </row>
    <row r="32" ht="160" customHeight="1" spans="1:13">
      <c r="A32" s="24" t="s">
        <v>2371</v>
      </c>
      <c r="B32" s="24" t="s">
        <v>2333</v>
      </c>
      <c r="C32" s="24" t="s">
        <v>94</v>
      </c>
      <c r="D32" s="25" t="s">
        <v>2372</v>
      </c>
      <c r="E32" s="25" t="s">
        <v>2373</v>
      </c>
      <c r="F32" s="25" t="s">
        <v>2374</v>
      </c>
      <c r="G32" s="25" t="s">
        <v>2375</v>
      </c>
      <c r="H32" s="20" t="s">
        <v>5</v>
      </c>
      <c r="I32" s="20" t="s">
        <v>2331</v>
      </c>
      <c r="J32" s="20" t="s">
        <v>1333</v>
      </c>
      <c r="K32" s="20" t="s">
        <v>98</v>
      </c>
      <c r="L32" s="21">
        <v>46293</v>
      </c>
      <c r="M32" s="17" t="str">
        <f t="shared" si="0"/>
        <v>暂时测不了</v>
      </c>
    </row>
    <row r="33" ht="160" customHeight="1" spans="1:13">
      <c r="A33" s="24" t="s">
        <v>2376</v>
      </c>
      <c r="B33" s="24" t="s">
        <v>2333</v>
      </c>
      <c r="C33" s="24" t="s">
        <v>100</v>
      </c>
      <c r="D33" s="25" t="s">
        <v>2377</v>
      </c>
      <c r="E33" s="25" t="s">
        <v>2378</v>
      </c>
      <c r="F33" s="25" t="s">
        <v>2379</v>
      </c>
      <c r="G33" s="25" t="s">
        <v>2380</v>
      </c>
      <c r="H33" s="20" t="s">
        <v>5</v>
      </c>
      <c r="I33" s="20" t="s">
        <v>2331</v>
      </c>
      <c r="J33" s="20" t="s">
        <v>1333</v>
      </c>
      <c r="K33" s="20" t="s">
        <v>98</v>
      </c>
      <c r="L33" s="21">
        <v>46293</v>
      </c>
      <c r="M33" s="17" t="str">
        <f t="shared" si="0"/>
        <v>暂时测不了</v>
      </c>
    </row>
    <row r="34" ht="160" customHeight="1" spans="1:13">
      <c r="A34" s="24" t="s">
        <v>2381</v>
      </c>
      <c r="B34" s="24" t="s">
        <v>2333</v>
      </c>
      <c r="C34" s="24" t="s">
        <v>100</v>
      </c>
      <c r="D34" s="25" t="s">
        <v>2382</v>
      </c>
      <c r="E34" s="25" t="s">
        <v>2383</v>
      </c>
      <c r="F34" s="25" t="s">
        <v>2384</v>
      </c>
      <c r="G34" s="25" t="s">
        <v>2385</v>
      </c>
      <c r="H34" s="20" t="s">
        <v>5</v>
      </c>
      <c r="I34" s="20" t="s">
        <v>2331</v>
      </c>
      <c r="J34" s="20" t="s">
        <v>1333</v>
      </c>
      <c r="K34" s="20" t="s">
        <v>98</v>
      </c>
      <c r="L34" s="21">
        <v>46293</v>
      </c>
      <c r="M34" s="17" t="str">
        <f t="shared" si="0"/>
        <v>暂时测不了</v>
      </c>
    </row>
    <row r="35" ht="160" customHeight="1" spans="1:13">
      <c r="A35" s="24" t="s">
        <v>2386</v>
      </c>
      <c r="B35" s="24" t="s">
        <v>2333</v>
      </c>
      <c r="C35" s="24" t="s">
        <v>94</v>
      </c>
      <c r="D35" s="25" t="s">
        <v>2387</v>
      </c>
      <c r="E35" s="25" t="s">
        <v>2388</v>
      </c>
      <c r="F35" s="25" t="s">
        <v>2389</v>
      </c>
      <c r="G35" s="25" t="s">
        <v>2390</v>
      </c>
      <c r="H35" s="20" t="s">
        <v>5</v>
      </c>
      <c r="I35" s="20" t="s">
        <v>2331</v>
      </c>
      <c r="J35" s="20" t="s">
        <v>1333</v>
      </c>
      <c r="K35" s="20" t="s">
        <v>98</v>
      </c>
      <c r="L35" s="21">
        <v>46293</v>
      </c>
      <c r="M35" s="17" t="str">
        <f t="shared" si="0"/>
        <v>暂时测不了</v>
      </c>
    </row>
    <row r="36" ht="160" customHeight="1" spans="1:13">
      <c r="A36" s="26" t="s">
        <v>2391</v>
      </c>
      <c r="B36" s="26" t="s">
        <v>2392</v>
      </c>
      <c r="C36" s="26" t="s">
        <v>94</v>
      </c>
      <c r="D36" s="27" t="s">
        <v>2393</v>
      </c>
      <c r="E36" s="27" t="s">
        <v>2394</v>
      </c>
      <c r="F36" s="27" t="s">
        <v>2395</v>
      </c>
      <c r="G36" s="27" t="s">
        <v>2396</v>
      </c>
      <c r="H36" s="20" t="s">
        <v>5</v>
      </c>
      <c r="I36" s="20" t="s">
        <v>2331</v>
      </c>
      <c r="J36" s="20" t="s">
        <v>1333</v>
      </c>
      <c r="K36" s="20" t="s">
        <v>98</v>
      </c>
      <c r="L36" s="21">
        <v>46293</v>
      </c>
      <c r="M36" s="17" t="str">
        <f t="shared" si="0"/>
        <v>暂时测不了</v>
      </c>
    </row>
    <row r="37" ht="130" customHeight="1" spans="1:13">
      <c r="A37" s="26" t="s">
        <v>2397</v>
      </c>
      <c r="B37" s="26" t="s">
        <v>2392</v>
      </c>
      <c r="C37" s="26" t="s">
        <v>94</v>
      </c>
      <c r="D37" s="27" t="s">
        <v>2398</v>
      </c>
      <c r="E37" s="27" t="s">
        <v>2399</v>
      </c>
      <c r="F37" s="27" t="s">
        <v>2400</v>
      </c>
      <c r="G37" s="27" t="s">
        <v>2401</v>
      </c>
      <c r="H37" s="20" t="s">
        <v>15</v>
      </c>
      <c r="I37" s="20" t="s">
        <v>2402</v>
      </c>
      <c r="J37" s="20" t="s">
        <v>2403</v>
      </c>
      <c r="K37" s="20" t="s">
        <v>98</v>
      </c>
      <c r="L37" s="21">
        <v>46292</v>
      </c>
      <c r="M37" s="17" t="str">
        <f t="shared" si="0"/>
        <v>记录齐全</v>
      </c>
    </row>
    <row r="38" ht="160" customHeight="1" spans="1:13">
      <c r="A38" s="26" t="s">
        <v>2404</v>
      </c>
      <c r="B38" s="26" t="s">
        <v>2392</v>
      </c>
      <c r="C38" s="26" t="s">
        <v>94</v>
      </c>
      <c r="D38" s="27" t="s">
        <v>2405</v>
      </c>
      <c r="E38" s="27" t="s">
        <v>2406</v>
      </c>
      <c r="F38" s="27" t="s">
        <v>2407</v>
      </c>
      <c r="G38" s="27" t="s">
        <v>2408</v>
      </c>
      <c r="H38" s="20" t="s">
        <v>5</v>
      </c>
      <c r="I38" s="20" t="s">
        <v>2331</v>
      </c>
      <c r="J38" s="20" t="s">
        <v>1333</v>
      </c>
      <c r="K38" s="20" t="s">
        <v>98</v>
      </c>
      <c r="L38" s="21">
        <v>46293</v>
      </c>
      <c r="M38" s="17" t="str">
        <f t="shared" si="0"/>
        <v>暂时测不了</v>
      </c>
    </row>
    <row r="39" ht="160" customHeight="1" spans="1:13">
      <c r="A39" s="26" t="s">
        <v>2409</v>
      </c>
      <c r="B39" s="26" t="s">
        <v>2392</v>
      </c>
      <c r="C39" s="26" t="s">
        <v>94</v>
      </c>
      <c r="D39" s="27" t="s">
        <v>2410</v>
      </c>
      <c r="E39" s="27" t="s">
        <v>2411</v>
      </c>
      <c r="F39" s="27" t="s">
        <v>2412</v>
      </c>
      <c r="G39" s="27" t="s">
        <v>2413</v>
      </c>
      <c r="H39" s="20" t="s">
        <v>5</v>
      </c>
      <c r="I39" s="20" t="s">
        <v>2331</v>
      </c>
      <c r="J39" s="20" t="s">
        <v>1333</v>
      </c>
      <c r="K39" s="20" t="s">
        <v>98</v>
      </c>
      <c r="L39" s="21">
        <v>46293</v>
      </c>
      <c r="M39" s="17" t="str">
        <f t="shared" si="0"/>
        <v>暂时测不了</v>
      </c>
    </row>
    <row r="40" ht="160" customHeight="1" spans="1:13">
      <c r="A40" s="26" t="s">
        <v>2414</v>
      </c>
      <c r="B40" s="26" t="s">
        <v>2392</v>
      </c>
      <c r="C40" s="26" t="s">
        <v>100</v>
      </c>
      <c r="D40" s="27" t="s">
        <v>2415</v>
      </c>
      <c r="E40" s="27" t="s">
        <v>2416</v>
      </c>
      <c r="F40" s="27" t="s">
        <v>2417</v>
      </c>
      <c r="G40" s="27" t="s">
        <v>2418</v>
      </c>
      <c r="H40" s="20" t="s">
        <v>5</v>
      </c>
      <c r="I40" s="20" t="s">
        <v>2331</v>
      </c>
      <c r="J40" s="20" t="s">
        <v>1333</v>
      </c>
      <c r="K40" s="20" t="s">
        <v>98</v>
      </c>
      <c r="L40" s="21">
        <v>46293</v>
      </c>
      <c r="M40" s="17" t="str">
        <f t="shared" si="0"/>
        <v>暂时测不了</v>
      </c>
    </row>
    <row r="41" ht="160" customHeight="1" spans="1:13">
      <c r="A41" s="26" t="s">
        <v>2419</v>
      </c>
      <c r="B41" s="26" t="s">
        <v>2392</v>
      </c>
      <c r="C41" s="26" t="s">
        <v>94</v>
      </c>
      <c r="D41" s="27" t="s">
        <v>2420</v>
      </c>
      <c r="E41" s="27" t="s">
        <v>2421</v>
      </c>
      <c r="F41" s="27" t="s">
        <v>2422</v>
      </c>
      <c r="G41" s="27" t="s">
        <v>2423</v>
      </c>
      <c r="H41" s="20" t="s">
        <v>5</v>
      </c>
      <c r="I41" s="20" t="s">
        <v>2331</v>
      </c>
      <c r="J41" s="20" t="s">
        <v>1333</v>
      </c>
      <c r="K41" s="20" t="s">
        <v>98</v>
      </c>
      <c r="L41" s="21">
        <v>46293</v>
      </c>
      <c r="M41" s="17" t="str">
        <f t="shared" si="0"/>
        <v>暂时测不了</v>
      </c>
    </row>
    <row r="42" ht="130" customHeight="1" spans="1:13">
      <c r="A42" s="26" t="s">
        <v>2424</v>
      </c>
      <c r="B42" s="26" t="s">
        <v>2392</v>
      </c>
      <c r="C42" s="26" t="s">
        <v>94</v>
      </c>
      <c r="D42" s="27" t="s">
        <v>2425</v>
      </c>
      <c r="E42" s="27" t="s">
        <v>2426</v>
      </c>
      <c r="F42" s="27" t="s">
        <v>2427</v>
      </c>
      <c r="G42" s="27" t="s">
        <v>2428</v>
      </c>
      <c r="H42" s="20" t="s">
        <v>15</v>
      </c>
      <c r="I42" s="20" t="s">
        <v>2429</v>
      </c>
      <c r="J42" s="20" t="s">
        <v>2430</v>
      </c>
      <c r="K42" s="20" t="s">
        <v>98</v>
      </c>
      <c r="L42" s="21">
        <v>46292</v>
      </c>
      <c r="M42" s="17" t="str">
        <f t="shared" si="0"/>
        <v>记录齐全</v>
      </c>
    </row>
    <row r="43" ht="160" customHeight="1" spans="1:13">
      <c r="A43" s="26" t="s">
        <v>2431</v>
      </c>
      <c r="B43" s="26" t="s">
        <v>2392</v>
      </c>
      <c r="C43" s="26" t="s">
        <v>100</v>
      </c>
      <c r="D43" s="27" t="s">
        <v>2432</v>
      </c>
      <c r="E43" s="27" t="s">
        <v>2433</v>
      </c>
      <c r="F43" s="27" t="s">
        <v>2434</v>
      </c>
      <c r="G43" s="27" t="s">
        <v>2435</v>
      </c>
      <c r="H43" s="20" t="s">
        <v>5</v>
      </c>
      <c r="I43" s="20" t="s">
        <v>2331</v>
      </c>
      <c r="J43" s="20" t="s">
        <v>1333</v>
      </c>
      <c r="K43" s="20" t="s">
        <v>98</v>
      </c>
      <c r="L43" s="21">
        <v>46293</v>
      </c>
      <c r="M43" s="17" t="str">
        <f t="shared" si="0"/>
        <v>暂时测不了</v>
      </c>
    </row>
    <row r="44" ht="160" customHeight="1" spans="1:13">
      <c r="A44" s="26" t="s">
        <v>2436</v>
      </c>
      <c r="B44" s="26" t="s">
        <v>2392</v>
      </c>
      <c r="C44" s="26" t="s">
        <v>94</v>
      </c>
      <c r="D44" s="27" t="s">
        <v>2437</v>
      </c>
      <c r="E44" s="27" t="s">
        <v>2438</v>
      </c>
      <c r="F44" s="27" t="s">
        <v>2439</v>
      </c>
      <c r="G44" s="27" t="s">
        <v>2440</v>
      </c>
      <c r="H44" s="20" t="s">
        <v>5</v>
      </c>
      <c r="I44" s="20" t="s">
        <v>2331</v>
      </c>
      <c r="J44" s="20" t="s">
        <v>1333</v>
      </c>
      <c r="K44" s="20" t="s">
        <v>98</v>
      </c>
      <c r="L44" s="21">
        <v>46293</v>
      </c>
      <c r="M44" s="17" t="str">
        <f t="shared" si="0"/>
        <v>暂时测不了</v>
      </c>
    </row>
    <row r="45" ht="160" customHeight="1" spans="1:13">
      <c r="A45" s="26" t="s">
        <v>2441</v>
      </c>
      <c r="B45" s="26" t="s">
        <v>2392</v>
      </c>
      <c r="C45" s="26" t="s">
        <v>100</v>
      </c>
      <c r="D45" s="27" t="s">
        <v>2442</v>
      </c>
      <c r="E45" s="27" t="s">
        <v>2443</v>
      </c>
      <c r="F45" s="27" t="s">
        <v>2444</v>
      </c>
      <c r="G45" s="27" t="s">
        <v>2445</v>
      </c>
      <c r="H45" s="20" t="s">
        <v>5</v>
      </c>
      <c r="I45" s="20" t="s">
        <v>2331</v>
      </c>
      <c r="J45" s="20" t="s">
        <v>1333</v>
      </c>
      <c r="K45" s="20" t="s">
        <v>98</v>
      </c>
      <c r="L45" s="21">
        <v>46293</v>
      </c>
      <c r="M45" s="17" t="str">
        <f t="shared" si="0"/>
        <v>暂时测不了</v>
      </c>
    </row>
    <row r="46" ht="160" customHeight="1" spans="1:13">
      <c r="A46" s="28" t="s">
        <v>2446</v>
      </c>
      <c r="B46" s="28" t="s">
        <v>2447</v>
      </c>
      <c r="C46" s="28" t="s">
        <v>94</v>
      </c>
      <c r="D46" s="29" t="s">
        <v>2448</v>
      </c>
      <c r="E46" s="29" t="s">
        <v>2449</v>
      </c>
      <c r="F46" s="29" t="s">
        <v>2450</v>
      </c>
      <c r="G46" s="29" t="s">
        <v>2451</v>
      </c>
      <c r="H46" s="20" t="s">
        <v>5</v>
      </c>
      <c r="I46" s="20" t="s">
        <v>2331</v>
      </c>
      <c r="J46" s="20" t="s">
        <v>1333</v>
      </c>
      <c r="K46" s="20" t="s">
        <v>98</v>
      </c>
      <c r="L46" s="21">
        <v>46293</v>
      </c>
      <c r="M46" s="17" t="str">
        <f t="shared" si="0"/>
        <v>暂时测不了</v>
      </c>
    </row>
    <row r="47" ht="160" customHeight="1" spans="1:13">
      <c r="A47" s="28" t="s">
        <v>2452</v>
      </c>
      <c r="B47" s="28" t="s">
        <v>2447</v>
      </c>
      <c r="C47" s="28" t="s">
        <v>94</v>
      </c>
      <c r="D47" s="29" t="s">
        <v>2453</v>
      </c>
      <c r="E47" s="29" t="s">
        <v>2454</v>
      </c>
      <c r="F47" s="29" t="s">
        <v>2455</v>
      </c>
      <c r="G47" s="29" t="s">
        <v>2456</v>
      </c>
      <c r="H47" s="20" t="s">
        <v>15</v>
      </c>
      <c r="I47" s="20" t="s">
        <v>2457</v>
      </c>
      <c r="J47" s="20" t="s">
        <v>2458</v>
      </c>
      <c r="K47" s="20" t="s">
        <v>98</v>
      </c>
      <c r="L47" s="21">
        <v>46293</v>
      </c>
      <c r="M47" s="17" t="str">
        <f t="shared" si="0"/>
        <v>记录齐全</v>
      </c>
    </row>
    <row r="48" ht="130" customHeight="1" spans="1:13">
      <c r="A48" s="28" t="s">
        <v>2459</v>
      </c>
      <c r="B48" s="28" t="s">
        <v>2447</v>
      </c>
      <c r="C48" s="28" t="s">
        <v>100</v>
      </c>
      <c r="D48" s="29" t="s">
        <v>2460</v>
      </c>
      <c r="E48" s="29" t="s">
        <v>2461</v>
      </c>
      <c r="F48" s="29" t="s">
        <v>2462</v>
      </c>
      <c r="G48" s="29" t="s">
        <v>2463</v>
      </c>
      <c r="H48" s="20" t="s">
        <v>15</v>
      </c>
      <c r="I48" s="20" t="s">
        <v>2464</v>
      </c>
      <c r="J48" s="20" t="s">
        <v>2465</v>
      </c>
      <c r="K48" s="20" t="s">
        <v>98</v>
      </c>
      <c r="L48" s="21">
        <v>46292</v>
      </c>
      <c r="M48" s="17" t="str">
        <f t="shared" si="0"/>
        <v>记录齐全</v>
      </c>
    </row>
    <row r="49" ht="160" customHeight="1" spans="1:13">
      <c r="A49" s="28" t="s">
        <v>2466</v>
      </c>
      <c r="B49" s="28" t="s">
        <v>2447</v>
      </c>
      <c r="C49" s="28" t="s">
        <v>94</v>
      </c>
      <c r="D49" s="29" t="s">
        <v>2467</v>
      </c>
      <c r="E49" s="29" t="s">
        <v>2468</v>
      </c>
      <c r="F49" s="29" t="s">
        <v>2469</v>
      </c>
      <c r="G49" s="29" t="s">
        <v>2470</v>
      </c>
      <c r="H49" s="20" t="s">
        <v>5</v>
      </c>
      <c r="I49" s="20" t="s">
        <v>2331</v>
      </c>
      <c r="J49" s="20" t="s">
        <v>1333</v>
      </c>
      <c r="K49" s="20" t="s">
        <v>98</v>
      </c>
      <c r="L49" s="21">
        <v>46293</v>
      </c>
      <c r="M49" s="17" t="str">
        <f t="shared" si="0"/>
        <v>暂时测不了</v>
      </c>
    </row>
    <row r="50" ht="160" customHeight="1" spans="1:13">
      <c r="A50" s="28" t="s">
        <v>2471</v>
      </c>
      <c r="B50" s="28" t="s">
        <v>2447</v>
      </c>
      <c r="C50" s="28" t="s">
        <v>94</v>
      </c>
      <c r="D50" s="29" t="s">
        <v>2472</v>
      </c>
      <c r="E50" s="29" t="s">
        <v>2473</v>
      </c>
      <c r="F50" s="29" t="s">
        <v>2474</v>
      </c>
      <c r="G50" s="29" t="s">
        <v>2475</v>
      </c>
      <c r="H50" s="20" t="s">
        <v>5</v>
      </c>
      <c r="I50" s="20" t="s">
        <v>2331</v>
      </c>
      <c r="J50" s="20" t="s">
        <v>1333</v>
      </c>
      <c r="K50" s="20" t="s">
        <v>98</v>
      </c>
      <c r="L50" s="21">
        <v>46293</v>
      </c>
      <c r="M50" s="17" t="str">
        <f t="shared" si="0"/>
        <v>暂时测不了</v>
      </c>
    </row>
    <row r="51" ht="160" customHeight="1" spans="1:13">
      <c r="A51" s="28" t="s">
        <v>2476</v>
      </c>
      <c r="B51" s="28" t="s">
        <v>2447</v>
      </c>
      <c r="C51" s="28" t="s">
        <v>94</v>
      </c>
      <c r="D51" s="29" t="s">
        <v>2477</v>
      </c>
      <c r="E51" s="29" t="s">
        <v>2478</v>
      </c>
      <c r="F51" s="29" t="s">
        <v>2479</v>
      </c>
      <c r="G51" s="29" t="s">
        <v>2480</v>
      </c>
      <c r="H51" s="20" t="s">
        <v>5</v>
      </c>
      <c r="I51" s="20" t="s">
        <v>2331</v>
      </c>
      <c r="J51" s="20" t="s">
        <v>1333</v>
      </c>
      <c r="K51" s="20" t="s">
        <v>98</v>
      </c>
      <c r="L51" s="21">
        <v>46293</v>
      </c>
      <c r="M51" s="17" t="str">
        <f t="shared" si="0"/>
        <v>暂时测不了</v>
      </c>
    </row>
    <row r="52" ht="160" customHeight="1" spans="1:13">
      <c r="A52" s="28" t="s">
        <v>2481</v>
      </c>
      <c r="B52" s="28" t="s">
        <v>2447</v>
      </c>
      <c r="C52" s="28" t="s">
        <v>94</v>
      </c>
      <c r="D52" s="29" t="s">
        <v>2482</v>
      </c>
      <c r="E52" s="29" t="s">
        <v>2483</v>
      </c>
      <c r="F52" s="29" t="s">
        <v>2484</v>
      </c>
      <c r="G52" s="29" t="s">
        <v>2485</v>
      </c>
      <c r="H52" s="20" t="s">
        <v>5</v>
      </c>
      <c r="I52" s="20" t="s">
        <v>2331</v>
      </c>
      <c r="J52" s="20" t="s">
        <v>1333</v>
      </c>
      <c r="K52" s="20" t="s">
        <v>98</v>
      </c>
      <c r="L52" s="21">
        <v>46293</v>
      </c>
      <c r="M52" s="17" t="str">
        <f t="shared" si="0"/>
        <v>暂时测不了</v>
      </c>
    </row>
    <row r="53" ht="94" customHeight="1" spans="1:13">
      <c r="A53" s="28" t="s">
        <v>2486</v>
      </c>
      <c r="B53" s="28" t="s">
        <v>2447</v>
      </c>
      <c r="C53" s="28" t="s">
        <v>94</v>
      </c>
      <c r="D53" s="29" t="s">
        <v>2487</v>
      </c>
      <c r="E53" s="29" t="s">
        <v>2488</v>
      </c>
      <c r="F53" s="29" t="s">
        <v>2489</v>
      </c>
      <c r="G53" s="29" t="s">
        <v>2490</v>
      </c>
      <c r="H53" s="20" t="s">
        <v>15</v>
      </c>
      <c r="I53" s="20" t="s">
        <v>2491</v>
      </c>
      <c r="J53" s="20" t="s">
        <v>2492</v>
      </c>
      <c r="K53" s="20" t="s">
        <v>1692</v>
      </c>
      <c r="L53" s="21" t="s">
        <v>1693</v>
      </c>
      <c r="M53" s="17" t="str">
        <f t="shared" si="0"/>
        <v>记录齐全</v>
      </c>
    </row>
    <row r="54" ht="160" customHeight="1" spans="1:13">
      <c r="A54" s="28" t="s">
        <v>2493</v>
      </c>
      <c r="B54" s="28" t="s">
        <v>2447</v>
      </c>
      <c r="C54" s="28" t="s">
        <v>94</v>
      </c>
      <c r="D54" s="29" t="s">
        <v>2494</v>
      </c>
      <c r="E54" s="29" t="s">
        <v>2495</v>
      </c>
      <c r="F54" s="29" t="s">
        <v>2496</v>
      </c>
      <c r="G54" s="29" t="s">
        <v>2497</v>
      </c>
      <c r="H54" s="20" t="s">
        <v>5</v>
      </c>
      <c r="I54" s="20" t="s">
        <v>2331</v>
      </c>
      <c r="J54" s="20" t="s">
        <v>1333</v>
      </c>
      <c r="K54" s="20" t="s">
        <v>98</v>
      </c>
      <c r="L54" s="21">
        <v>46293</v>
      </c>
      <c r="M54" s="17" t="str">
        <f t="shared" si="0"/>
        <v>暂时测不了</v>
      </c>
    </row>
    <row r="55" ht="160" customHeight="1" spans="1:13">
      <c r="A55" s="28" t="s">
        <v>2498</v>
      </c>
      <c r="B55" s="28" t="s">
        <v>2447</v>
      </c>
      <c r="C55" s="28" t="s">
        <v>94</v>
      </c>
      <c r="D55" s="29" t="s">
        <v>2499</v>
      </c>
      <c r="E55" s="29" t="s">
        <v>2500</v>
      </c>
      <c r="F55" s="29" t="s">
        <v>2501</v>
      </c>
      <c r="G55" s="29" t="s">
        <v>2502</v>
      </c>
      <c r="H55" s="20" t="s">
        <v>5</v>
      </c>
      <c r="I55" s="20" t="s">
        <v>2331</v>
      </c>
      <c r="J55" s="20" t="s">
        <v>1333</v>
      </c>
      <c r="K55" s="20" t="s">
        <v>98</v>
      </c>
      <c r="L55" s="21">
        <v>46293</v>
      </c>
      <c r="M55" s="17" t="str">
        <f t="shared" si="0"/>
        <v>暂时测不了</v>
      </c>
    </row>
    <row r="56" ht="160" customHeight="1" spans="1:13">
      <c r="A56" s="28" t="s">
        <v>2503</v>
      </c>
      <c r="B56" s="28" t="s">
        <v>2447</v>
      </c>
      <c r="C56" s="28" t="s">
        <v>94</v>
      </c>
      <c r="D56" s="29" t="s">
        <v>2504</v>
      </c>
      <c r="E56" s="29" t="s">
        <v>2505</v>
      </c>
      <c r="F56" s="29" t="s">
        <v>2506</v>
      </c>
      <c r="G56" s="29" t="s">
        <v>2507</v>
      </c>
      <c r="H56" s="20" t="s">
        <v>5</v>
      </c>
      <c r="I56" s="20" t="s">
        <v>2331</v>
      </c>
      <c r="J56" s="20" t="s">
        <v>1333</v>
      </c>
      <c r="K56" s="20" t="s">
        <v>98</v>
      </c>
      <c r="L56" s="21">
        <v>46293</v>
      </c>
      <c r="M56" s="17" t="str">
        <f t="shared" si="0"/>
        <v>暂时测不了</v>
      </c>
    </row>
    <row r="57" ht="160" customHeight="1" spans="1:13">
      <c r="A57" s="28" t="s">
        <v>2508</v>
      </c>
      <c r="B57" s="28" t="s">
        <v>2447</v>
      </c>
      <c r="C57" s="28" t="s">
        <v>94</v>
      </c>
      <c r="D57" s="29" t="s">
        <v>2509</v>
      </c>
      <c r="E57" s="29" t="s">
        <v>2510</v>
      </c>
      <c r="F57" s="29" t="s">
        <v>2511</v>
      </c>
      <c r="G57" s="29" t="s">
        <v>2512</v>
      </c>
      <c r="H57" s="20" t="s">
        <v>5</v>
      </c>
      <c r="I57" s="20" t="s">
        <v>2331</v>
      </c>
      <c r="J57" s="20" t="s">
        <v>1333</v>
      </c>
      <c r="K57" s="20" t="s">
        <v>98</v>
      </c>
      <c r="L57" s="21">
        <v>46293</v>
      </c>
      <c r="M57" s="17" t="str">
        <f t="shared" si="0"/>
        <v>暂时测不了</v>
      </c>
    </row>
    <row r="58" ht="160" customHeight="1" spans="1:13">
      <c r="A58" s="28" t="s">
        <v>2513</v>
      </c>
      <c r="B58" s="28" t="s">
        <v>2447</v>
      </c>
      <c r="C58" s="28" t="s">
        <v>94</v>
      </c>
      <c r="D58" s="29" t="s">
        <v>2514</v>
      </c>
      <c r="E58" s="29" t="s">
        <v>2515</v>
      </c>
      <c r="F58" s="29" t="s">
        <v>2516</v>
      </c>
      <c r="G58" s="29" t="s">
        <v>2517</v>
      </c>
      <c r="H58" s="20" t="s">
        <v>5</v>
      </c>
      <c r="I58" s="20" t="s">
        <v>2331</v>
      </c>
      <c r="J58" s="20" t="s">
        <v>1333</v>
      </c>
      <c r="K58" s="20" t="s">
        <v>98</v>
      </c>
      <c r="L58" s="21">
        <v>46293</v>
      </c>
      <c r="M58" s="17" t="str">
        <f t="shared" si="0"/>
        <v>暂时测不了</v>
      </c>
    </row>
    <row r="59" ht="130" customHeight="1" spans="1:13">
      <c r="A59" s="28" t="s">
        <v>2518</v>
      </c>
      <c r="B59" s="28" t="s">
        <v>2447</v>
      </c>
      <c r="C59" s="28" t="s">
        <v>94</v>
      </c>
      <c r="D59" s="29" t="s">
        <v>2519</v>
      </c>
      <c r="E59" s="29" t="s">
        <v>2520</v>
      </c>
      <c r="F59" s="29" t="s">
        <v>2521</v>
      </c>
      <c r="G59" s="29" t="s">
        <v>2522</v>
      </c>
      <c r="H59" s="20" t="s">
        <v>15</v>
      </c>
      <c r="I59" s="20" t="s">
        <v>2523</v>
      </c>
      <c r="J59" s="20" t="s">
        <v>2524</v>
      </c>
      <c r="K59" s="20" t="s">
        <v>98</v>
      </c>
      <c r="L59" s="21">
        <v>46292</v>
      </c>
      <c r="M59" s="17" t="str">
        <f t="shared" si="0"/>
        <v>记录齐全</v>
      </c>
    </row>
    <row r="60" ht="94" customHeight="1" spans="1:13">
      <c r="A60" s="28" t="s">
        <v>2525</v>
      </c>
      <c r="B60" s="28" t="s">
        <v>2447</v>
      </c>
      <c r="C60" s="28" t="s">
        <v>94</v>
      </c>
      <c r="D60" s="29" t="s">
        <v>2526</v>
      </c>
      <c r="E60" s="29" t="s">
        <v>2527</v>
      </c>
      <c r="F60" s="29" t="s">
        <v>2528</v>
      </c>
      <c r="G60" s="29" t="s">
        <v>2529</v>
      </c>
      <c r="H60" s="20" t="s">
        <v>15</v>
      </c>
      <c r="I60" s="20" t="s">
        <v>2530</v>
      </c>
      <c r="J60" s="20" t="s">
        <v>2531</v>
      </c>
      <c r="K60" s="20" t="s">
        <v>1692</v>
      </c>
      <c r="L60" s="21" t="s">
        <v>1693</v>
      </c>
      <c r="M60" s="17" t="str">
        <f t="shared" si="0"/>
        <v>记录齐全</v>
      </c>
    </row>
    <row r="61" ht="160" customHeight="1" spans="1:13">
      <c r="A61" s="28" t="s">
        <v>2532</v>
      </c>
      <c r="B61" s="28" t="s">
        <v>2447</v>
      </c>
      <c r="C61" s="28" t="s">
        <v>100</v>
      </c>
      <c r="D61" s="29" t="s">
        <v>2533</v>
      </c>
      <c r="E61" s="29" t="s">
        <v>2534</v>
      </c>
      <c r="F61" s="29" t="s">
        <v>2535</v>
      </c>
      <c r="G61" s="29" t="s">
        <v>2536</v>
      </c>
      <c r="H61" s="20" t="s">
        <v>5</v>
      </c>
      <c r="I61" s="20" t="s">
        <v>2331</v>
      </c>
      <c r="J61" s="20" t="s">
        <v>1333</v>
      </c>
      <c r="K61" s="20" t="s">
        <v>98</v>
      </c>
      <c r="L61" s="21">
        <v>46293</v>
      </c>
      <c r="M61" s="17" t="str">
        <f t="shared" si="0"/>
        <v>暂时测不了</v>
      </c>
    </row>
    <row r="62" ht="160" customHeight="1" spans="1:13">
      <c r="A62" s="30" t="s">
        <v>2537</v>
      </c>
      <c r="B62" s="30" t="s">
        <v>2538</v>
      </c>
      <c r="C62" s="30" t="s">
        <v>94</v>
      </c>
      <c r="D62" s="31" t="s">
        <v>2539</v>
      </c>
      <c r="E62" s="31" t="s">
        <v>2540</v>
      </c>
      <c r="F62" s="31" t="s">
        <v>2541</v>
      </c>
      <c r="G62" s="31" t="s">
        <v>2542</v>
      </c>
      <c r="H62" s="20" t="s">
        <v>15</v>
      </c>
      <c r="I62" s="20" t="s">
        <v>2543</v>
      </c>
      <c r="J62" s="20" t="s">
        <v>2544</v>
      </c>
      <c r="K62" s="20" t="s">
        <v>98</v>
      </c>
      <c r="L62" s="21">
        <v>46293</v>
      </c>
      <c r="M62" s="17" t="str">
        <f t="shared" si="0"/>
        <v>记录齐全</v>
      </c>
    </row>
    <row r="63" ht="160" customHeight="1" spans="1:13">
      <c r="A63" s="30" t="s">
        <v>2545</v>
      </c>
      <c r="B63" s="30" t="s">
        <v>2538</v>
      </c>
      <c r="C63" s="30" t="s">
        <v>94</v>
      </c>
      <c r="D63" s="31" t="s">
        <v>2546</v>
      </c>
      <c r="E63" s="31" t="s">
        <v>2547</v>
      </c>
      <c r="F63" s="31" t="s">
        <v>2548</v>
      </c>
      <c r="G63" s="31" t="s">
        <v>2549</v>
      </c>
      <c r="H63" s="20" t="s">
        <v>15</v>
      </c>
      <c r="I63" s="20" t="s">
        <v>2543</v>
      </c>
      <c r="J63" s="20" t="s">
        <v>2544</v>
      </c>
      <c r="K63" s="20" t="s">
        <v>98</v>
      </c>
      <c r="L63" s="21">
        <v>46293</v>
      </c>
      <c r="M63" s="17" t="str">
        <f t="shared" si="0"/>
        <v>记录齐全</v>
      </c>
    </row>
    <row r="64" ht="160" customHeight="1" spans="1:13">
      <c r="A64" s="30" t="s">
        <v>2550</v>
      </c>
      <c r="B64" s="30" t="s">
        <v>2538</v>
      </c>
      <c r="C64" s="30" t="s">
        <v>100</v>
      </c>
      <c r="D64" s="31" t="s">
        <v>2551</v>
      </c>
      <c r="E64" s="31" t="s">
        <v>2552</v>
      </c>
      <c r="F64" s="31" t="s">
        <v>2553</v>
      </c>
      <c r="G64" s="31" t="s">
        <v>2554</v>
      </c>
      <c r="H64" s="20" t="s">
        <v>5</v>
      </c>
      <c r="I64" s="20" t="s">
        <v>2126</v>
      </c>
      <c r="J64" s="20" t="s">
        <v>1333</v>
      </c>
      <c r="K64" s="20" t="s">
        <v>98</v>
      </c>
      <c r="L64" s="21">
        <v>46293</v>
      </c>
      <c r="M64" s="17" t="str">
        <f t="shared" si="0"/>
        <v>暂时测不了</v>
      </c>
    </row>
    <row r="65" ht="160" customHeight="1" spans="1:13">
      <c r="A65" s="30" t="s">
        <v>2555</v>
      </c>
      <c r="B65" s="30" t="s">
        <v>2538</v>
      </c>
      <c r="C65" s="30" t="s">
        <v>94</v>
      </c>
      <c r="D65" s="31" t="s">
        <v>2556</v>
      </c>
      <c r="E65" s="31" t="s">
        <v>2557</v>
      </c>
      <c r="F65" s="31" t="s">
        <v>2558</v>
      </c>
      <c r="G65" s="31" t="s">
        <v>2559</v>
      </c>
      <c r="H65" s="20" t="s">
        <v>5</v>
      </c>
      <c r="I65" s="20" t="s">
        <v>2126</v>
      </c>
      <c r="J65" s="20" t="s">
        <v>1333</v>
      </c>
      <c r="K65" s="20" t="s">
        <v>98</v>
      </c>
      <c r="L65" s="21">
        <v>46293</v>
      </c>
      <c r="M65" s="17" t="str">
        <f t="shared" si="0"/>
        <v>暂时测不了</v>
      </c>
    </row>
    <row r="66" ht="160" customHeight="1" spans="1:13">
      <c r="A66" s="32" t="s">
        <v>2560</v>
      </c>
      <c r="B66" s="32" t="s">
        <v>2561</v>
      </c>
      <c r="C66" s="32" t="s">
        <v>94</v>
      </c>
      <c r="D66" s="33" t="s">
        <v>2562</v>
      </c>
      <c r="E66" s="33" t="s">
        <v>2563</v>
      </c>
      <c r="F66" s="33" t="s">
        <v>2564</v>
      </c>
      <c r="G66" s="33" t="s">
        <v>2565</v>
      </c>
      <c r="H66" s="20" t="s">
        <v>5</v>
      </c>
      <c r="I66" s="20" t="s">
        <v>2126</v>
      </c>
      <c r="J66" s="20" t="s">
        <v>1333</v>
      </c>
      <c r="K66" s="20" t="s">
        <v>98</v>
      </c>
      <c r="L66" s="21">
        <v>46293</v>
      </c>
      <c r="M66" s="17" t="str">
        <f t="shared" si="0"/>
        <v>暂时测不了</v>
      </c>
    </row>
    <row r="67" ht="160" customHeight="1" spans="1:13">
      <c r="A67" s="32" t="s">
        <v>2566</v>
      </c>
      <c r="B67" s="32" t="s">
        <v>2561</v>
      </c>
      <c r="C67" s="32" t="s">
        <v>94</v>
      </c>
      <c r="D67" s="33" t="s">
        <v>2567</v>
      </c>
      <c r="E67" s="33" t="s">
        <v>2568</v>
      </c>
      <c r="F67" s="33" t="s">
        <v>2569</v>
      </c>
      <c r="G67" s="33" t="s">
        <v>2570</v>
      </c>
      <c r="H67" s="20" t="s">
        <v>5</v>
      </c>
      <c r="I67" s="20" t="s">
        <v>2126</v>
      </c>
      <c r="J67" s="20" t="s">
        <v>1333</v>
      </c>
      <c r="K67" s="20" t="s">
        <v>98</v>
      </c>
      <c r="L67" s="21">
        <v>46293</v>
      </c>
      <c r="M67" s="17" t="str">
        <f t="shared" si="0"/>
        <v>暂时测不了</v>
      </c>
    </row>
    <row r="68" ht="160" customHeight="1" spans="1:13">
      <c r="A68" s="32" t="s">
        <v>2571</v>
      </c>
      <c r="B68" s="32" t="s">
        <v>2561</v>
      </c>
      <c r="C68" s="32" t="s">
        <v>100</v>
      </c>
      <c r="D68" s="33" t="s">
        <v>2572</v>
      </c>
      <c r="E68" s="33" t="s">
        <v>2573</v>
      </c>
      <c r="F68" s="33" t="s">
        <v>2574</v>
      </c>
      <c r="G68" s="33" t="s">
        <v>2575</v>
      </c>
      <c r="H68" s="20" t="s">
        <v>5</v>
      </c>
      <c r="I68" s="20" t="s">
        <v>2126</v>
      </c>
      <c r="J68" s="20" t="s">
        <v>1333</v>
      </c>
      <c r="K68" s="20" t="s">
        <v>98</v>
      </c>
      <c r="L68" s="21">
        <v>46293</v>
      </c>
      <c r="M68" s="17" t="str">
        <f t="shared" si="0"/>
        <v>暂时测不了</v>
      </c>
    </row>
    <row r="69" ht="130" customHeight="1" spans="1:13">
      <c r="A69" s="32" t="s">
        <v>938</v>
      </c>
      <c r="B69" s="32" t="s">
        <v>2561</v>
      </c>
      <c r="C69" s="32" t="s">
        <v>94</v>
      </c>
      <c r="D69" s="33" t="s">
        <v>2576</v>
      </c>
      <c r="E69" s="33" t="s">
        <v>2577</v>
      </c>
      <c r="F69" s="33" t="s">
        <v>2578</v>
      </c>
      <c r="G69" s="33" t="s">
        <v>2579</v>
      </c>
      <c r="H69" s="20" t="s">
        <v>4</v>
      </c>
      <c r="I69" s="20" t="s">
        <v>2580</v>
      </c>
      <c r="J69" s="20" t="s">
        <v>2581</v>
      </c>
      <c r="K69" s="20" t="s">
        <v>98</v>
      </c>
      <c r="L69" s="21">
        <v>46292</v>
      </c>
      <c r="M69" s="17" t="str">
        <f t="shared" si="0"/>
        <v>有问题</v>
      </c>
    </row>
  </sheetData>
  <mergeCells count="2">
    <mergeCell ref="A3:M3"/>
    <mergeCell ref="A4:M4"/>
  </mergeCells>
  <conditionalFormatting sqref="H6:H69">
    <cfRule type="cellIs" dxfId="2" priority="1" operator="equal">
      <formula>"还没测"</formula>
    </cfRule>
    <cfRule type="cellIs" dxfId="3" priority="2" operator="equal">
      <formula>"通过"</formula>
    </cfRule>
    <cfRule type="cellIs" dxfId="3" priority="3" operator="equal">
      <formula>"记录齐全"</formula>
    </cfRule>
    <cfRule type="cellIs" dxfId="0" priority="4" operator="equal">
      <formula>"有问题"</formula>
    </cfRule>
    <cfRule type="cellIs" dxfId="4" priority="5" operator="equal">
      <formula>"暂时测不了"</formula>
    </cfRule>
    <cfRule type="cellIs" dxfId="4" priority="6" operator="equal">
      <formula>"待补证据"</formula>
    </cfRule>
    <cfRule type="cellIs" dxfId="7" priority="7" operator="equal">
      <formula>"进行中"</formula>
    </cfRule>
  </conditionalFormatting>
  <conditionalFormatting sqref="M6:M69">
    <cfRule type="cellIs" dxfId="2" priority="8" operator="equal">
      <formula>"还没测"</formula>
    </cfRule>
    <cfRule type="cellIs" dxfId="3" priority="9" operator="equal">
      <formula>"通过"</formula>
    </cfRule>
    <cfRule type="cellIs" dxfId="3" priority="10" operator="equal">
      <formula>"记录齐全"</formula>
    </cfRule>
    <cfRule type="cellIs" dxfId="0" priority="11" operator="equal">
      <formula>"有问题"</formula>
    </cfRule>
    <cfRule type="cellIs" dxfId="4" priority="12" operator="equal">
      <formula>"暂时测不了"</formula>
    </cfRule>
    <cfRule type="cellIs" dxfId="4" priority="13" operator="equal">
      <formula>"待补证据"</formula>
    </cfRule>
    <cfRule type="cellIs" dxfId="7" priority="14" operator="equal">
      <formula>"进行中"</formula>
    </cfRule>
  </conditionalFormatting>
  <dataValidations count="1">
    <dataValidation type="list" sqref="H6:H69">
      <formula1>"还没测,通过,有问题,暂时测不了"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</sheetPr>
  <dimension ref="A1:G151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4" customWidth="1"/>
    <col min="2" max="2" width="23" customWidth="1"/>
    <col min="3" max="3" width="47" customWidth="1"/>
    <col min="4" max="4" width="62" customWidth="1"/>
    <col min="5" max="5" width="18" customWidth="1"/>
    <col min="6" max="6" width="48" customWidth="1"/>
    <col min="7" max="7" width="58" customWidth="1"/>
  </cols>
  <sheetData>
    <row r="1" ht="38" customHeight="1" spans="1:7">
      <c r="A1" s="1" t="s">
        <v>2582</v>
      </c>
      <c r="B1" s="1"/>
      <c r="C1" s="1"/>
      <c r="D1" s="1"/>
      <c r="E1" s="1"/>
      <c r="F1" s="1"/>
      <c r="G1" s="1"/>
    </row>
    <row r="2" ht="42" customHeight="1" spans="1:7">
      <c r="A2" s="2" t="s">
        <v>2583</v>
      </c>
      <c r="B2" s="2"/>
      <c r="C2" s="2"/>
      <c r="D2" s="2"/>
      <c r="E2" s="2"/>
      <c r="F2" s="2"/>
      <c r="G2" s="2"/>
    </row>
    <row r="4" ht="32" customHeight="1" spans="1:7">
      <c r="A4" s="3" t="s">
        <v>2584</v>
      </c>
      <c r="B4" s="3" t="s">
        <v>2585</v>
      </c>
      <c r="C4" s="3" t="s">
        <v>2586</v>
      </c>
      <c r="D4" s="3" t="s">
        <v>2587</v>
      </c>
      <c r="E4" s="3" t="s">
        <v>2588</v>
      </c>
      <c r="F4" s="3" t="s">
        <v>2589</v>
      </c>
      <c r="G4" s="3" t="s">
        <v>2590</v>
      </c>
    </row>
    <row r="5" ht="94" customHeight="1" spans="1:7">
      <c r="A5" s="4" t="s">
        <v>2591</v>
      </c>
      <c r="B5" s="4" t="s">
        <v>2592</v>
      </c>
      <c r="C5" s="4" t="s">
        <v>2593</v>
      </c>
      <c r="D5" s="4" t="s">
        <v>2594</v>
      </c>
      <c r="E5" s="4" t="s">
        <v>15</v>
      </c>
      <c r="F5" s="4" t="s">
        <v>2595</v>
      </c>
      <c r="G5" s="4" t="s">
        <v>2596</v>
      </c>
    </row>
    <row r="6" ht="94" customHeight="1" spans="1:7">
      <c r="A6" s="5" t="s">
        <v>2597</v>
      </c>
      <c r="B6" s="5" t="s">
        <v>2598</v>
      </c>
      <c r="C6" s="5" t="s">
        <v>2599</v>
      </c>
      <c r="D6" s="5" t="s">
        <v>2600</v>
      </c>
      <c r="E6" s="5" t="s">
        <v>15</v>
      </c>
      <c r="F6" s="5" t="s">
        <v>2601</v>
      </c>
      <c r="G6" s="5" t="s">
        <v>2602</v>
      </c>
    </row>
    <row r="7" ht="94" customHeight="1" spans="1:7">
      <c r="A7" s="4" t="s">
        <v>2603</v>
      </c>
      <c r="B7" s="4" t="s">
        <v>2604</v>
      </c>
      <c r="C7" s="4" t="s">
        <v>2605</v>
      </c>
      <c r="D7" s="4" t="s">
        <v>2606</v>
      </c>
      <c r="E7" s="4" t="s">
        <v>15</v>
      </c>
      <c r="F7" s="4" t="s">
        <v>2607</v>
      </c>
      <c r="G7" s="4" t="s">
        <v>2608</v>
      </c>
    </row>
    <row r="8" ht="94" customHeight="1" spans="1:7">
      <c r="A8" s="5" t="s">
        <v>2609</v>
      </c>
      <c r="B8" s="5" t="s">
        <v>2610</v>
      </c>
      <c r="C8" s="5" t="s">
        <v>2611</v>
      </c>
      <c r="D8" s="5" t="s">
        <v>2612</v>
      </c>
      <c r="E8" s="5" t="s">
        <v>15</v>
      </c>
      <c r="F8" s="5" t="s">
        <v>2613</v>
      </c>
      <c r="G8" s="5" t="s">
        <v>2614</v>
      </c>
    </row>
    <row r="9" ht="94" customHeight="1" spans="1:7">
      <c r="A9" s="4" t="s">
        <v>2615</v>
      </c>
      <c r="B9" s="4" t="s">
        <v>2616</v>
      </c>
      <c r="C9" s="4" t="s">
        <v>2617</v>
      </c>
      <c r="D9" s="4" t="s">
        <v>2618</v>
      </c>
      <c r="E9" s="4" t="s">
        <v>15</v>
      </c>
      <c r="F9" s="4" t="s">
        <v>2619</v>
      </c>
      <c r="G9" s="4" t="s">
        <v>2620</v>
      </c>
    </row>
    <row r="10" ht="94" customHeight="1" spans="1:7">
      <c r="A10" s="5" t="s">
        <v>2621</v>
      </c>
      <c r="B10" s="5" t="s">
        <v>2622</v>
      </c>
      <c r="C10" s="5" t="s">
        <v>2623</v>
      </c>
      <c r="D10" s="5" t="s">
        <v>2624</v>
      </c>
      <c r="E10" s="5" t="s">
        <v>15</v>
      </c>
      <c r="F10" s="5" t="s">
        <v>2625</v>
      </c>
      <c r="G10" s="5" t="s">
        <v>2626</v>
      </c>
    </row>
    <row r="11" ht="94" customHeight="1" spans="1:7">
      <c r="A11" s="4" t="s">
        <v>2627</v>
      </c>
      <c r="B11" s="4" t="s">
        <v>2628</v>
      </c>
      <c r="C11" s="4" t="s">
        <v>2629</v>
      </c>
      <c r="D11" s="4" t="s">
        <v>2630</v>
      </c>
      <c r="E11" s="4" t="s">
        <v>15</v>
      </c>
      <c r="F11" s="4" t="s">
        <v>2631</v>
      </c>
      <c r="G11" s="4" t="s">
        <v>2632</v>
      </c>
    </row>
    <row r="12" ht="94" customHeight="1" spans="1:7">
      <c r="A12" s="5" t="s">
        <v>2633</v>
      </c>
      <c r="B12" s="5" t="s">
        <v>2634</v>
      </c>
      <c r="C12" s="5" t="s">
        <v>2635</v>
      </c>
      <c r="D12" s="5" t="s">
        <v>2636</v>
      </c>
      <c r="E12" s="5" t="s">
        <v>15</v>
      </c>
      <c r="F12" s="5" t="s">
        <v>2637</v>
      </c>
      <c r="G12" s="5" t="s">
        <v>2638</v>
      </c>
    </row>
    <row r="13" ht="94" customHeight="1" spans="1:7">
      <c r="A13" s="4" t="s">
        <v>2639</v>
      </c>
      <c r="B13" s="4" t="s">
        <v>2640</v>
      </c>
      <c r="C13" s="4" t="s">
        <v>2641</v>
      </c>
      <c r="D13" s="4" t="s">
        <v>2642</v>
      </c>
      <c r="E13" s="4" t="s">
        <v>4</v>
      </c>
      <c r="F13" s="4" t="s">
        <v>2643</v>
      </c>
      <c r="G13" s="4" t="s">
        <v>2644</v>
      </c>
    </row>
    <row r="14" ht="94" customHeight="1" spans="1:7">
      <c r="A14" s="5" t="s">
        <v>2645</v>
      </c>
      <c r="B14" s="5" t="s">
        <v>838</v>
      </c>
      <c r="C14" s="5" t="s">
        <v>2646</v>
      </c>
      <c r="D14" s="5" t="s">
        <v>2647</v>
      </c>
      <c r="E14" s="5" t="s">
        <v>845</v>
      </c>
      <c r="F14" s="5" t="s">
        <v>2648</v>
      </c>
      <c r="G14" s="5" t="s">
        <v>2649</v>
      </c>
    </row>
    <row r="15" ht="94" customHeight="1" spans="1:7">
      <c r="A15" s="4" t="s">
        <v>2650</v>
      </c>
      <c r="B15" s="4" t="s">
        <v>2651</v>
      </c>
      <c r="C15" s="4" t="s">
        <v>2652</v>
      </c>
      <c r="D15" s="4" t="s">
        <v>2653</v>
      </c>
      <c r="E15" s="4" t="s">
        <v>15</v>
      </c>
      <c r="F15" s="4" t="s">
        <v>2654</v>
      </c>
      <c r="G15" s="4" t="s">
        <v>2655</v>
      </c>
    </row>
    <row r="16" ht="94" customHeight="1" spans="1:7">
      <c r="A16" s="5" t="s">
        <v>2656</v>
      </c>
      <c r="B16" s="5" t="s">
        <v>2657</v>
      </c>
      <c r="C16" s="5" t="s">
        <v>2658</v>
      </c>
      <c r="D16" s="5" t="s">
        <v>2659</v>
      </c>
      <c r="E16" s="5" t="s">
        <v>15</v>
      </c>
      <c r="F16" s="5" t="s">
        <v>2660</v>
      </c>
      <c r="G16" s="5" t="s">
        <v>2661</v>
      </c>
    </row>
    <row r="18" ht="44" customHeight="1" spans="1:7">
      <c r="A18" s="6" t="s">
        <v>2662</v>
      </c>
      <c r="B18" s="6"/>
      <c r="C18" s="6"/>
      <c r="D18" s="6"/>
      <c r="E18" s="6"/>
      <c r="F18" s="6"/>
      <c r="G18" s="6"/>
    </row>
    <row r="19" ht="44" customHeight="1" spans="1:7">
      <c r="A19" s="7" t="s">
        <v>2663</v>
      </c>
      <c r="B19" s="7"/>
      <c r="C19" s="7"/>
      <c r="D19" s="7"/>
      <c r="E19" s="7"/>
      <c r="F19" s="7"/>
      <c r="G19" s="7"/>
    </row>
    <row r="21" ht="34" customHeight="1" spans="1:7">
      <c r="A21" s="8" t="s">
        <v>2664</v>
      </c>
      <c r="B21" s="8"/>
      <c r="C21" s="8"/>
      <c r="D21" s="8"/>
      <c r="E21" s="8"/>
      <c r="F21" s="8"/>
      <c r="G21" s="8"/>
    </row>
    <row r="23" ht="32" customHeight="1" spans="1:7">
      <c r="A23" s="9" t="s">
        <v>2584</v>
      </c>
      <c r="B23" s="9" t="s">
        <v>2585</v>
      </c>
      <c r="C23" s="9" t="s">
        <v>2586</v>
      </c>
      <c r="D23" s="9" t="s">
        <v>2587</v>
      </c>
      <c r="E23" s="9" t="s">
        <v>2588</v>
      </c>
      <c r="F23" s="9" t="s">
        <v>2589</v>
      </c>
      <c r="G23" s="9" t="s">
        <v>2590</v>
      </c>
    </row>
    <row r="24" ht="112" customHeight="1" spans="1:7">
      <c r="A24" s="4" t="s">
        <v>2665</v>
      </c>
      <c r="B24" s="4" t="s">
        <v>2666</v>
      </c>
      <c r="C24" s="4" t="s">
        <v>2667</v>
      </c>
      <c r="D24" s="4" t="s">
        <v>2668</v>
      </c>
      <c r="E24" s="10" t="s">
        <v>15</v>
      </c>
      <c r="F24" s="4" t="s">
        <v>2669</v>
      </c>
      <c r="G24" s="4" t="s">
        <v>2670</v>
      </c>
    </row>
    <row r="25" ht="112" customHeight="1" spans="1:7">
      <c r="A25" s="5" t="s">
        <v>2671</v>
      </c>
      <c r="B25" s="5" t="s">
        <v>2672</v>
      </c>
      <c r="C25" s="5" t="s">
        <v>2673</v>
      </c>
      <c r="D25" s="5" t="s">
        <v>2674</v>
      </c>
      <c r="E25" s="10" t="s">
        <v>15</v>
      </c>
      <c r="F25" s="5" t="s">
        <v>2675</v>
      </c>
      <c r="G25" s="5" t="s">
        <v>2676</v>
      </c>
    </row>
    <row r="26" ht="112" customHeight="1" spans="1:7">
      <c r="A26" s="4" t="s">
        <v>2677</v>
      </c>
      <c r="B26" s="4" t="s">
        <v>2678</v>
      </c>
      <c r="C26" s="4" t="s">
        <v>2679</v>
      </c>
      <c r="D26" s="4" t="s">
        <v>2680</v>
      </c>
      <c r="E26" s="10" t="s">
        <v>15</v>
      </c>
      <c r="F26" s="4" t="s">
        <v>2669</v>
      </c>
      <c r="G26" s="4" t="s">
        <v>2681</v>
      </c>
    </row>
    <row r="27" ht="112" customHeight="1" spans="1:7">
      <c r="A27" s="5" t="s">
        <v>2682</v>
      </c>
      <c r="B27" s="5" t="s">
        <v>2683</v>
      </c>
      <c r="C27" s="5" t="s">
        <v>2684</v>
      </c>
      <c r="D27" s="5" t="s">
        <v>2685</v>
      </c>
      <c r="E27" s="10" t="s">
        <v>15</v>
      </c>
      <c r="F27" s="5" t="s">
        <v>2686</v>
      </c>
      <c r="G27" s="5" t="s">
        <v>2687</v>
      </c>
    </row>
    <row r="28" ht="112" customHeight="1" spans="1:7">
      <c r="A28" s="4" t="s">
        <v>2688</v>
      </c>
      <c r="B28" s="4" t="s">
        <v>2689</v>
      </c>
      <c r="C28" s="4" t="s">
        <v>2690</v>
      </c>
      <c r="D28" s="4" t="s">
        <v>2691</v>
      </c>
      <c r="E28" s="11" t="s">
        <v>5</v>
      </c>
      <c r="F28" s="4" t="s">
        <v>2692</v>
      </c>
      <c r="G28" s="4" t="s">
        <v>2693</v>
      </c>
    </row>
    <row r="30" ht="44" customHeight="1" spans="1:7">
      <c r="A30" s="6" t="s">
        <v>2694</v>
      </c>
      <c r="B30" s="6"/>
      <c r="C30" s="6"/>
      <c r="D30" s="6"/>
      <c r="E30" s="6"/>
      <c r="F30" s="6"/>
      <c r="G30" s="6"/>
    </row>
    <row r="32" ht="34" customHeight="1" spans="1:7">
      <c r="A32" s="8" t="s">
        <v>2695</v>
      </c>
      <c r="B32" s="8"/>
      <c r="C32" s="8"/>
      <c r="D32" s="8"/>
      <c r="E32" s="8"/>
      <c r="F32" s="8"/>
      <c r="G32" s="8"/>
    </row>
    <row r="34" ht="32" customHeight="1" spans="1:7">
      <c r="A34" s="9" t="s">
        <v>2584</v>
      </c>
      <c r="B34" s="9" t="s">
        <v>2585</v>
      </c>
      <c r="C34" s="9" t="s">
        <v>2586</v>
      </c>
      <c r="D34" s="9" t="s">
        <v>2587</v>
      </c>
      <c r="E34" s="9" t="s">
        <v>2588</v>
      </c>
      <c r="F34" s="9" t="s">
        <v>2696</v>
      </c>
      <c r="G34" s="9" t="s">
        <v>2590</v>
      </c>
    </row>
    <row r="35" ht="116" customHeight="1" spans="1:7">
      <c r="A35" s="4" t="s">
        <v>2697</v>
      </c>
      <c r="B35" s="4" t="s">
        <v>812</v>
      </c>
      <c r="C35" s="4" t="s">
        <v>2698</v>
      </c>
      <c r="D35" s="4" t="s">
        <v>2699</v>
      </c>
      <c r="E35" s="4" t="s">
        <v>15</v>
      </c>
      <c r="F35" s="4" t="s">
        <v>2700</v>
      </c>
      <c r="G35" s="4" t="s">
        <v>2701</v>
      </c>
    </row>
    <row r="36" ht="116" customHeight="1" spans="1:7">
      <c r="A36" s="5" t="s">
        <v>2702</v>
      </c>
      <c r="B36" s="5" t="s">
        <v>784</v>
      </c>
      <c r="C36" s="5" t="s">
        <v>2703</v>
      </c>
      <c r="D36" s="5" t="s">
        <v>2704</v>
      </c>
      <c r="E36" s="5" t="s">
        <v>2705</v>
      </c>
      <c r="F36" s="5" t="s">
        <v>2706</v>
      </c>
      <c r="G36" s="5" t="s">
        <v>2707</v>
      </c>
    </row>
    <row r="37" ht="116" customHeight="1" spans="1:7">
      <c r="A37" s="4" t="s">
        <v>2708</v>
      </c>
      <c r="B37" s="4" t="s">
        <v>820</v>
      </c>
      <c r="C37" s="4" t="s">
        <v>2709</v>
      </c>
      <c r="D37" s="4" t="s">
        <v>2710</v>
      </c>
      <c r="E37" s="4" t="s">
        <v>5</v>
      </c>
      <c r="F37" s="4" t="s">
        <v>2711</v>
      </c>
      <c r="G37" s="4" t="s">
        <v>2712</v>
      </c>
    </row>
    <row r="38" ht="116" customHeight="1" spans="1:7">
      <c r="A38" s="5" t="s">
        <v>2713</v>
      </c>
      <c r="B38" s="5" t="s">
        <v>2714</v>
      </c>
      <c r="C38" s="5" t="s">
        <v>2715</v>
      </c>
      <c r="D38" s="5" t="s">
        <v>2716</v>
      </c>
      <c r="E38" s="5" t="s">
        <v>2717</v>
      </c>
      <c r="F38" s="5" t="s">
        <v>2718</v>
      </c>
      <c r="G38" s="5" t="s">
        <v>2719</v>
      </c>
    </row>
    <row r="39" ht="116" customHeight="1" spans="1:7">
      <c r="A39" s="4" t="s">
        <v>2720</v>
      </c>
      <c r="B39" s="4" t="s">
        <v>2721</v>
      </c>
      <c r="C39" s="4" t="s">
        <v>2722</v>
      </c>
      <c r="D39" s="4" t="s">
        <v>2723</v>
      </c>
      <c r="E39" s="4" t="s">
        <v>15</v>
      </c>
      <c r="F39" s="4" t="s">
        <v>2724</v>
      </c>
      <c r="G39" s="4" t="s">
        <v>2725</v>
      </c>
    </row>
    <row r="40" ht="116" customHeight="1" spans="1:7">
      <c r="A40" s="5" t="s">
        <v>2726</v>
      </c>
      <c r="B40" s="5" t="s">
        <v>2727</v>
      </c>
      <c r="C40" s="5" t="s">
        <v>2728</v>
      </c>
      <c r="D40" s="5" t="s">
        <v>2729</v>
      </c>
      <c r="E40" s="5" t="s">
        <v>15</v>
      </c>
      <c r="F40" s="5" t="s">
        <v>2724</v>
      </c>
      <c r="G40" s="5" t="s">
        <v>2730</v>
      </c>
    </row>
    <row r="41" ht="116" customHeight="1" spans="1:7">
      <c r="A41" s="4" t="s">
        <v>2731</v>
      </c>
      <c r="B41" s="4" t="s">
        <v>2732</v>
      </c>
      <c r="C41" s="4" t="s">
        <v>2733</v>
      </c>
      <c r="D41" s="4" t="s">
        <v>2734</v>
      </c>
      <c r="E41" s="4" t="s">
        <v>15</v>
      </c>
      <c r="F41" s="4" t="s">
        <v>2735</v>
      </c>
      <c r="G41" s="4" t="s">
        <v>2736</v>
      </c>
    </row>
    <row r="42" ht="116" customHeight="1" spans="1:7">
      <c r="A42" s="5" t="s">
        <v>2737</v>
      </c>
      <c r="B42" s="5" t="s">
        <v>2738</v>
      </c>
      <c r="C42" s="5" t="s">
        <v>2739</v>
      </c>
      <c r="D42" s="5" t="s">
        <v>2740</v>
      </c>
      <c r="E42" s="5" t="s">
        <v>15</v>
      </c>
      <c r="F42" s="5" t="s">
        <v>2741</v>
      </c>
      <c r="G42" s="5" t="s">
        <v>2742</v>
      </c>
    </row>
    <row r="43" ht="116" customHeight="1" spans="1:7">
      <c r="A43" s="4" t="s">
        <v>2743</v>
      </c>
      <c r="B43" s="4" t="s">
        <v>2744</v>
      </c>
      <c r="C43" s="4" t="s">
        <v>2745</v>
      </c>
      <c r="D43" s="4" t="s">
        <v>2746</v>
      </c>
      <c r="E43" s="4" t="s">
        <v>2747</v>
      </c>
      <c r="F43" s="4" t="s">
        <v>2748</v>
      </c>
      <c r="G43" s="4" t="s">
        <v>2749</v>
      </c>
    </row>
    <row r="44" ht="116" customHeight="1" spans="1:7">
      <c r="A44" s="5" t="s">
        <v>2750</v>
      </c>
      <c r="B44" s="5" t="s">
        <v>2751</v>
      </c>
      <c r="C44" s="5" t="s">
        <v>2752</v>
      </c>
      <c r="D44" s="5" t="s">
        <v>2753</v>
      </c>
      <c r="E44" s="5" t="s">
        <v>2754</v>
      </c>
      <c r="F44" s="5" t="s">
        <v>2755</v>
      </c>
      <c r="G44" s="5" t="s">
        <v>2756</v>
      </c>
    </row>
    <row r="46" ht="44" customHeight="1" spans="1:7">
      <c r="A46" s="6" t="s">
        <v>2757</v>
      </c>
      <c r="B46" s="6"/>
      <c r="C46" s="6"/>
      <c r="D46" s="6"/>
      <c r="E46" s="6"/>
      <c r="F46" s="6"/>
      <c r="G46" s="6"/>
    </row>
    <row r="48" ht="34" customHeight="1" spans="1:7">
      <c r="A48" s="8" t="s">
        <v>2758</v>
      </c>
      <c r="B48" s="8"/>
      <c r="C48" s="8"/>
      <c r="D48" s="8"/>
      <c r="E48" s="8"/>
      <c r="F48" s="8"/>
      <c r="G48" s="8"/>
    </row>
    <row r="50" ht="32" customHeight="1" spans="1:7">
      <c r="A50" s="9" t="s">
        <v>2584</v>
      </c>
      <c r="B50" s="9" t="s">
        <v>2585</v>
      </c>
      <c r="C50" s="9" t="s">
        <v>2586</v>
      </c>
      <c r="D50" s="9" t="s">
        <v>2587</v>
      </c>
      <c r="E50" s="9" t="s">
        <v>2588</v>
      </c>
      <c r="F50" s="9" t="s">
        <v>2759</v>
      </c>
      <c r="G50" s="9" t="s">
        <v>2590</v>
      </c>
    </row>
    <row r="51" ht="110" customHeight="1" spans="1:7">
      <c r="A51" s="4" t="s">
        <v>2760</v>
      </c>
      <c r="B51" s="4" t="s">
        <v>2397</v>
      </c>
      <c r="C51" s="4" t="s">
        <v>2761</v>
      </c>
      <c r="D51" s="4" t="s">
        <v>2762</v>
      </c>
      <c r="E51" s="4" t="s">
        <v>15</v>
      </c>
      <c r="F51" s="4" t="s">
        <v>2763</v>
      </c>
      <c r="G51" s="4" t="s">
        <v>2764</v>
      </c>
    </row>
    <row r="52" ht="110" customHeight="1" spans="1:7">
      <c r="A52" s="5" t="s">
        <v>2765</v>
      </c>
      <c r="B52" s="5" t="s">
        <v>2267</v>
      </c>
      <c r="C52" s="5" t="s">
        <v>2766</v>
      </c>
      <c r="D52" s="5" t="s">
        <v>2767</v>
      </c>
      <c r="E52" s="5" t="s">
        <v>15</v>
      </c>
      <c r="F52" s="5" t="s">
        <v>2763</v>
      </c>
      <c r="G52" s="5" t="s">
        <v>2768</v>
      </c>
    </row>
    <row r="53" ht="110" customHeight="1" spans="1:7">
      <c r="A53" s="4" t="s">
        <v>2769</v>
      </c>
      <c r="B53" s="4" t="s">
        <v>2302</v>
      </c>
      <c r="C53" s="4" t="s">
        <v>2770</v>
      </c>
      <c r="D53" s="4" t="s">
        <v>2771</v>
      </c>
      <c r="E53" s="4" t="s">
        <v>15</v>
      </c>
      <c r="F53" s="4" t="s">
        <v>2763</v>
      </c>
      <c r="G53" s="4" t="s">
        <v>2772</v>
      </c>
    </row>
    <row r="54" ht="110" customHeight="1" spans="1:7">
      <c r="A54" s="5" t="s">
        <v>2773</v>
      </c>
      <c r="B54" s="5" t="s">
        <v>2774</v>
      </c>
      <c r="C54" s="5" t="s">
        <v>2775</v>
      </c>
      <c r="D54" s="5" t="s">
        <v>2776</v>
      </c>
      <c r="E54" s="5" t="s">
        <v>2747</v>
      </c>
      <c r="F54" s="5" t="s">
        <v>2777</v>
      </c>
      <c r="G54" s="5" t="s">
        <v>2778</v>
      </c>
    </row>
    <row r="55" ht="110" customHeight="1" spans="1:7">
      <c r="A55" s="4" t="s">
        <v>2779</v>
      </c>
      <c r="B55" s="4" t="s">
        <v>2780</v>
      </c>
      <c r="C55" s="4" t="s">
        <v>2781</v>
      </c>
      <c r="D55" s="4" t="s">
        <v>2782</v>
      </c>
      <c r="E55" s="4" t="s">
        <v>15</v>
      </c>
      <c r="F55" s="4" t="s">
        <v>2783</v>
      </c>
      <c r="G55" s="4" t="s">
        <v>2784</v>
      </c>
    </row>
    <row r="56" ht="110" customHeight="1" spans="1:7">
      <c r="A56" s="5" t="s">
        <v>2785</v>
      </c>
      <c r="B56" s="5" t="s">
        <v>2459</v>
      </c>
      <c r="C56" s="5" t="s">
        <v>2786</v>
      </c>
      <c r="D56" s="5" t="s">
        <v>2787</v>
      </c>
      <c r="E56" s="5" t="s">
        <v>15</v>
      </c>
      <c r="F56" s="5" t="s">
        <v>2788</v>
      </c>
      <c r="G56" s="5" t="s">
        <v>2789</v>
      </c>
    </row>
    <row r="57" ht="110" customHeight="1" spans="1:7">
      <c r="A57" s="4" t="s">
        <v>2790</v>
      </c>
      <c r="B57" s="4" t="s">
        <v>2525</v>
      </c>
      <c r="C57" s="4" t="s">
        <v>2791</v>
      </c>
      <c r="D57" s="4" t="s">
        <v>2792</v>
      </c>
      <c r="E57" s="4" t="s">
        <v>15</v>
      </c>
      <c r="F57" s="4" t="s">
        <v>2763</v>
      </c>
      <c r="G57" s="4" t="s">
        <v>2793</v>
      </c>
    </row>
    <row r="58" ht="110" customHeight="1" spans="1:7">
      <c r="A58" s="5" t="s">
        <v>2794</v>
      </c>
      <c r="B58" s="5" t="s">
        <v>2795</v>
      </c>
      <c r="C58" s="5" t="s">
        <v>2796</v>
      </c>
      <c r="D58" s="5" t="s">
        <v>2797</v>
      </c>
      <c r="E58" s="5" t="s">
        <v>15</v>
      </c>
      <c r="F58" s="5" t="s">
        <v>2798</v>
      </c>
      <c r="G58" s="5" t="s">
        <v>2799</v>
      </c>
    </row>
    <row r="59" ht="110" customHeight="1" spans="1:7">
      <c r="A59" s="4" t="s">
        <v>2800</v>
      </c>
      <c r="B59" s="4" t="s">
        <v>2801</v>
      </c>
      <c r="C59" s="4" t="s">
        <v>2802</v>
      </c>
      <c r="D59" s="4" t="s">
        <v>2803</v>
      </c>
      <c r="E59" s="4" t="s">
        <v>2747</v>
      </c>
      <c r="F59" s="4" t="s">
        <v>2763</v>
      </c>
      <c r="G59" s="4" t="s">
        <v>2804</v>
      </c>
    </row>
    <row r="60" ht="110" customHeight="1" spans="1:7">
      <c r="A60" s="5" t="s">
        <v>2805</v>
      </c>
      <c r="B60" s="5" t="s">
        <v>2806</v>
      </c>
      <c r="C60" s="5" t="s">
        <v>2807</v>
      </c>
      <c r="D60" s="5" t="s">
        <v>2808</v>
      </c>
      <c r="E60" s="5" t="s">
        <v>15</v>
      </c>
      <c r="F60" s="5" t="s">
        <v>2809</v>
      </c>
      <c r="G60" s="5" t="s">
        <v>2810</v>
      </c>
    </row>
    <row r="61" ht="110" customHeight="1" spans="1:7">
      <c r="A61" s="4" t="s">
        <v>2811</v>
      </c>
      <c r="B61" s="4" t="s">
        <v>2486</v>
      </c>
      <c r="C61" s="4" t="s">
        <v>2812</v>
      </c>
      <c r="D61" s="4" t="s">
        <v>2813</v>
      </c>
      <c r="E61" s="4" t="s">
        <v>15</v>
      </c>
      <c r="F61" s="4" t="s">
        <v>2814</v>
      </c>
      <c r="G61" s="4" t="s">
        <v>2815</v>
      </c>
    </row>
    <row r="62" ht="44" customHeight="1" spans="1:7">
      <c r="A62" s="6" t="s">
        <v>2816</v>
      </c>
      <c r="B62" s="6"/>
      <c r="C62" s="6"/>
      <c r="D62" s="6"/>
      <c r="E62" s="6"/>
      <c r="F62" s="6"/>
      <c r="G62" s="6"/>
    </row>
    <row r="64" ht="32" customHeight="1" spans="1:7">
      <c r="A64" t="s">
        <v>2817</v>
      </c>
    </row>
    <row r="65" ht="100" customHeight="1" spans="1:7">
      <c r="A65" s="12" t="s">
        <v>2818</v>
      </c>
      <c r="B65" s="12" t="s">
        <v>2819</v>
      </c>
      <c r="C65" s="12" t="s">
        <v>2820</v>
      </c>
      <c r="D65" s="12" t="s">
        <v>2821</v>
      </c>
      <c r="E65" s="12" t="s">
        <v>15</v>
      </c>
      <c r="F65" s="12" t="s">
        <v>2822</v>
      </c>
      <c r="G65" s="12" t="s">
        <v>2823</v>
      </c>
    </row>
    <row r="66" ht="100" customHeight="1" spans="1:7">
      <c r="A66" s="12" t="s">
        <v>2824</v>
      </c>
      <c r="B66" s="12" t="s">
        <v>2825</v>
      </c>
      <c r="C66" s="12" t="s">
        <v>2826</v>
      </c>
      <c r="D66" s="12" t="s">
        <v>2827</v>
      </c>
      <c r="E66" s="12" t="s">
        <v>15</v>
      </c>
      <c r="F66" s="12" t="s">
        <v>2828</v>
      </c>
      <c r="G66" s="12" t="s">
        <v>2829</v>
      </c>
    </row>
    <row r="67" ht="100" customHeight="1" spans="1:7">
      <c r="A67" s="12" t="s">
        <v>2830</v>
      </c>
      <c r="B67" s="12" t="s">
        <v>2831</v>
      </c>
      <c r="C67" s="12" t="s">
        <v>2832</v>
      </c>
      <c r="D67" s="12" t="s">
        <v>2833</v>
      </c>
      <c r="E67" s="12" t="s">
        <v>15</v>
      </c>
      <c r="F67" s="12" t="s">
        <v>2834</v>
      </c>
      <c r="G67" s="12" t="s">
        <v>2835</v>
      </c>
    </row>
    <row r="68" ht="100" customHeight="1" spans="1:7">
      <c r="A68" s="12" t="s">
        <v>2836</v>
      </c>
      <c r="B68" s="12" t="s">
        <v>2837</v>
      </c>
      <c r="C68" s="12" t="s">
        <v>2838</v>
      </c>
      <c r="D68" s="12" t="s">
        <v>2839</v>
      </c>
      <c r="E68" s="12" t="s">
        <v>15</v>
      </c>
      <c r="F68" s="12" t="s">
        <v>2840</v>
      </c>
      <c r="G68" s="12" t="s">
        <v>2841</v>
      </c>
    </row>
    <row r="69" ht="100" customHeight="1" spans="1:7">
      <c r="A69" s="12" t="s">
        <v>2842</v>
      </c>
      <c r="B69" s="12" t="s">
        <v>2843</v>
      </c>
      <c r="C69" s="12" t="s">
        <v>2844</v>
      </c>
      <c r="D69" s="12" t="s">
        <v>2845</v>
      </c>
      <c r="E69" s="12" t="s">
        <v>15</v>
      </c>
      <c r="F69" s="12" t="s">
        <v>2846</v>
      </c>
      <c r="G69" s="12" t="s">
        <v>2847</v>
      </c>
    </row>
    <row r="70" ht="100" customHeight="1" spans="1:7">
      <c r="A70" s="12" t="s">
        <v>2848</v>
      </c>
      <c r="B70" s="12" t="s">
        <v>2849</v>
      </c>
      <c r="C70" s="12" t="s">
        <v>2850</v>
      </c>
      <c r="D70" s="12" t="s">
        <v>2851</v>
      </c>
      <c r="E70" s="12" t="s">
        <v>15</v>
      </c>
      <c r="F70" s="12" t="s">
        <v>2852</v>
      </c>
      <c r="G70" s="12" t="s">
        <v>2853</v>
      </c>
    </row>
    <row r="71" ht="100" customHeight="1" spans="1:7">
      <c r="A71" s="12" t="s">
        <v>2854</v>
      </c>
      <c r="B71" s="12" t="s">
        <v>2855</v>
      </c>
      <c r="C71" s="12" t="s">
        <v>2856</v>
      </c>
      <c r="D71" s="12" t="s">
        <v>2857</v>
      </c>
      <c r="E71" s="12" t="s">
        <v>15</v>
      </c>
      <c r="F71" s="12" t="s">
        <v>2858</v>
      </c>
      <c r="G71" s="12" t="s">
        <v>2859</v>
      </c>
    </row>
    <row r="72" ht="100" customHeight="1" spans="1:7">
      <c r="A72" s="12" t="s">
        <v>2860</v>
      </c>
      <c r="B72" s="12" t="s">
        <v>2861</v>
      </c>
      <c r="C72" s="12" t="s">
        <v>2862</v>
      </c>
      <c r="D72" s="12" t="s">
        <v>2863</v>
      </c>
      <c r="E72" s="12" t="s">
        <v>4</v>
      </c>
      <c r="F72" s="12" t="s">
        <v>2864</v>
      </c>
      <c r="G72" s="12" t="s">
        <v>2865</v>
      </c>
    </row>
    <row r="73" ht="100" customHeight="1" spans="1:7">
      <c r="A73" s="12" t="s">
        <v>2866</v>
      </c>
      <c r="B73" s="12" t="s">
        <v>2867</v>
      </c>
      <c r="C73" s="12" t="s">
        <v>2868</v>
      </c>
      <c r="D73" s="12" t="s">
        <v>2869</v>
      </c>
      <c r="E73" s="12" t="s">
        <v>15</v>
      </c>
      <c r="F73" s="12" t="s">
        <v>2870</v>
      </c>
      <c r="G73" s="12" t="s">
        <v>2871</v>
      </c>
    </row>
    <row r="74" ht="100" customHeight="1" spans="1:7">
      <c r="A74" s="12" t="s">
        <v>2872</v>
      </c>
      <c r="B74" s="12" t="s">
        <v>2397</v>
      </c>
      <c r="C74" s="12" t="s">
        <v>2873</v>
      </c>
      <c r="D74" s="12" t="s">
        <v>2874</v>
      </c>
      <c r="E74" s="12" t="s">
        <v>15</v>
      </c>
      <c r="F74" s="12" t="s">
        <v>2875</v>
      </c>
      <c r="G74" s="12" t="s">
        <v>2876</v>
      </c>
    </row>
    <row r="75" ht="100" customHeight="1" spans="1:7">
      <c r="A75" s="12" t="s">
        <v>2877</v>
      </c>
      <c r="B75" s="12" t="s">
        <v>2878</v>
      </c>
      <c r="C75" s="12" t="s">
        <v>2879</v>
      </c>
      <c r="D75" s="12" t="s">
        <v>2880</v>
      </c>
      <c r="E75" s="12" t="s">
        <v>2881</v>
      </c>
      <c r="F75" s="12" t="s">
        <v>2882</v>
      </c>
      <c r="G75" s="12" t="s">
        <v>2883</v>
      </c>
    </row>
    <row r="76" ht="100" customHeight="1" spans="1:7">
      <c r="A76" s="12" t="s">
        <v>2884</v>
      </c>
      <c r="B76" s="12" t="s">
        <v>2885</v>
      </c>
      <c r="C76" s="12" t="s">
        <v>2886</v>
      </c>
      <c r="D76" s="12" t="s">
        <v>2887</v>
      </c>
      <c r="E76" s="12" t="s">
        <v>15</v>
      </c>
      <c r="F76" s="12" t="s">
        <v>2888</v>
      </c>
      <c r="G76" s="12" t="s">
        <v>2889</v>
      </c>
    </row>
    <row r="77" ht="100" customHeight="1" spans="1:7">
      <c r="A77" s="12" t="s">
        <v>2890</v>
      </c>
      <c r="B77" s="12" t="s">
        <v>2459</v>
      </c>
      <c r="C77" s="12" t="s">
        <v>2891</v>
      </c>
      <c r="D77" s="12" t="s">
        <v>2892</v>
      </c>
      <c r="E77" s="12" t="s">
        <v>15</v>
      </c>
      <c r="F77" s="12" t="s">
        <v>2893</v>
      </c>
      <c r="G77" s="12" t="s">
        <v>2894</v>
      </c>
    </row>
    <row r="78" ht="100" customHeight="1" spans="1:7">
      <c r="A78" s="12" t="s">
        <v>2895</v>
      </c>
      <c r="B78" s="12" t="s">
        <v>2896</v>
      </c>
      <c r="C78" s="12" t="s">
        <v>2897</v>
      </c>
      <c r="D78" s="12" t="s">
        <v>2898</v>
      </c>
      <c r="E78" s="12" t="s">
        <v>2881</v>
      </c>
      <c r="F78" s="12" t="s">
        <v>2899</v>
      </c>
      <c r="G78" s="12" t="s">
        <v>2900</v>
      </c>
    </row>
    <row r="79" ht="100" customHeight="1" spans="1:7">
      <c r="A79" s="12" t="s">
        <v>2901</v>
      </c>
      <c r="B79" s="12" t="s">
        <v>2902</v>
      </c>
      <c r="C79" s="12" t="s">
        <v>2903</v>
      </c>
      <c r="D79" s="12" t="s">
        <v>2904</v>
      </c>
      <c r="E79" s="12" t="s">
        <v>15</v>
      </c>
      <c r="F79" s="12" t="s">
        <v>127</v>
      </c>
      <c r="G79" s="12" t="s">
        <v>2905</v>
      </c>
    </row>
    <row r="80" ht="100" customHeight="1" spans="1:7">
      <c r="A80" s="12" t="s">
        <v>2906</v>
      </c>
      <c r="B80" s="12" t="s">
        <v>2907</v>
      </c>
      <c r="C80" s="12" t="s">
        <v>2908</v>
      </c>
      <c r="D80" s="12" t="s">
        <v>2909</v>
      </c>
      <c r="E80" s="12" t="s">
        <v>2881</v>
      </c>
      <c r="F80" s="12" t="s">
        <v>2910</v>
      </c>
      <c r="G80" s="12" t="s">
        <v>2911</v>
      </c>
    </row>
    <row r="81" ht="100" customHeight="1" spans="1:7">
      <c r="A81" s="12" t="s">
        <v>2912</v>
      </c>
      <c r="B81" s="12" t="s">
        <v>2913</v>
      </c>
      <c r="C81" s="12" t="s">
        <v>2914</v>
      </c>
      <c r="D81" s="12" t="s">
        <v>2915</v>
      </c>
      <c r="E81" s="12" t="s">
        <v>2881</v>
      </c>
      <c r="F81" s="12" t="s">
        <v>2916</v>
      </c>
      <c r="G81" s="12" t="s">
        <v>2917</v>
      </c>
    </row>
    <row r="82" ht="100" customHeight="1" spans="1:7">
      <c r="A82" s="12" t="s">
        <v>2918</v>
      </c>
      <c r="B82" s="12" t="s">
        <v>404</v>
      </c>
      <c r="C82" s="12" t="s">
        <v>2919</v>
      </c>
      <c r="D82" s="12" t="s">
        <v>2920</v>
      </c>
      <c r="E82" s="12" t="s">
        <v>4</v>
      </c>
      <c r="F82" s="12" t="s">
        <v>2921</v>
      </c>
      <c r="G82" s="12" t="s">
        <v>2922</v>
      </c>
    </row>
    <row r="83" ht="100" customHeight="1" spans="1:7">
      <c r="A83" s="12" t="s">
        <v>2923</v>
      </c>
      <c r="B83" s="12" t="s">
        <v>2924</v>
      </c>
      <c r="C83" s="12" t="s">
        <v>2925</v>
      </c>
      <c r="D83" s="12" t="s">
        <v>2926</v>
      </c>
      <c r="E83" s="12" t="s">
        <v>2881</v>
      </c>
      <c r="F83" s="12" t="s">
        <v>2927</v>
      </c>
      <c r="G83" s="12" t="s">
        <v>2928</v>
      </c>
    </row>
    <row r="84" ht="100" customHeight="1" spans="1:7">
      <c r="A84" s="12" t="s">
        <v>2929</v>
      </c>
      <c r="B84" s="12" t="s">
        <v>2930</v>
      </c>
      <c r="C84" s="12" t="s">
        <v>2931</v>
      </c>
      <c r="D84" s="12" t="s">
        <v>2932</v>
      </c>
      <c r="E84" s="12" t="s">
        <v>5</v>
      </c>
      <c r="F84" s="12" t="s">
        <v>2933</v>
      </c>
      <c r="G84" s="12" t="s">
        <v>2934</v>
      </c>
    </row>
    <row r="85" ht="100" customHeight="1" spans="1:7">
      <c r="A85" s="12" t="s">
        <v>2935</v>
      </c>
      <c r="B85" s="12" t="s">
        <v>2936</v>
      </c>
      <c r="C85" s="12" t="s">
        <v>2937</v>
      </c>
      <c r="D85" s="12" t="s">
        <v>2938</v>
      </c>
      <c r="E85" s="12" t="s">
        <v>2881</v>
      </c>
      <c r="F85" s="12" t="s">
        <v>2939</v>
      </c>
      <c r="G85" s="12" t="s">
        <v>2940</v>
      </c>
    </row>
    <row r="87" ht="45" customHeight="1" spans="1:7">
      <c r="A87" s="13" t="s">
        <v>2941</v>
      </c>
      <c r="B87" s="13"/>
      <c r="C87" s="13"/>
      <c r="D87" s="13"/>
      <c r="E87" s="13"/>
      <c r="F87" s="13"/>
      <c r="G87" s="13"/>
    </row>
    <row r="89" ht="100" customHeight="1" spans="1:7">
      <c r="A89" t="s">
        <v>2942</v>
      </c>
      <c r="B89" t="s">
        <v>2943</v>
      </c>
      <c r="C89" t="s">
        <v>2944</v>
      </c>
      <c r="D89" t="s">
        <v>2945</v>
      </c>
      <c r="E89" t="s">
        <v>4</v>
      </c>
      <c r="F89" t="s">
        <v>2946</v>
      </c>
      <c r="G89" t="s">
        <v>2947</v>
      </c>
    </row>
    <row r="90" ht="100" customHeight="1" spans="1:7">
      <c r="A90" t="s">
        <v>2948</v>
      </c>
      <c r="B90" t="s">
        <v>2949</v>
      </c>
      <c r="C90" t="s">
        <v>2950</v>
      </c>
      <c r="D90" t="s">
        <v>2951</v>
      </c>
      <c r="E90" t="s">
        <v>4</v>
      </c>
      <c r="F90" t="s">
        <v>2952</v>
      </c>
      <c r="G90" t="s">
        <v>2953</v>
      </c>
    </row>
    <row r="91" ht="100" customHeight="1" spans="1:7">
      <c r="A91" t="s">
        <v>2954</v>
      </c>
      <c r="B91" t="s">
        <v>2955</v>
      </c>
      <c r="C91" t="s">
        <v>2956</v>
      </c>
      <c r="D91" t="s">
        <v>2957</v>
      </c>
      <c r="E91" t="s">
        <v>15</v>
      </c>
      <c r="F91" t="s">
        <v>2958</v>
      </c>
      <c r="G91" t="s">
        <v>2959</v>
      </c>
    </row>
    <row r="92" ht="100" customHeight="1" spans="1:7">
      <c r="A92" t="s">
        <v>2960</v>
      </c>
      <c r="B92" t="s">
        <v>2961</v>
      </c>
      <c r="C92" t="s">
        <v>2962</v>
      </c>
      <c r="D92" t="s">
        <v>2963</v>
      </c>
      <c r="E92" t="s">
        <v>15</v>
      </c>
      <c r="F92" t="s">
        <v>2964</v>
      </c>
      <c r="G92" t="s">
        <v>2965</v>
      </c>
    </row>
    <row r="93" ht="100" customHeight="1" spans="1:7">
      <c r="A93" t="s">
        <v>2966</v>
      </c>
      <c r="B93" t="s">
        <v>2967</v>
      </c>
      <c r="C93" t="s">
        <v>2968</v>
      </c>
      <c r="D93" t="s">
        <v>2969</v>
      </c>
      <c r="E93" t="s">
        <v>2881</v>
      </c>
      <c r="F93" t="s">
        <v>2970</v>
      </c>
      <c r="G93" t="s">
        <v>2971</v>
      </c>
    </row>
    <row r="94" ht="100" customHeight="1" spans="1:7">
      <c r="A94" t="s">
        <v>2972</v>
      </c>
      <c r="B94" t="s">
        <v>2973</v>
      </c>
      <c r="C94" t="s">
        <v>2974</v>
      </c>
      <c r="D94" t="s">
        <v>2975</v>
      </c>
      <c r="E94" t="s">
        <v>15</v>
      </c>
      <c r="F94" t="s">
        <v>2976</v>
      </c>
      <c r="G94" t="s">
        <v>2977</v>
      </c>
    </row>
    <row r="95" ht="100" customHeight="1" spans="1:7">
      <c r="A95" t="s">
        <v>2978</v>
      </c>
      <c r="B95" t="s">
        <v>2979</v>
      </c>
      <c r="C95" t="s">
        <v>2980</v>
      </c>
      <c r="D95" t="s">
        <v>2981</v>
      </c>
      <c r="E95" t="s">
        <v>15</v>
      </c>
      <c r="F95" t="s">
        <v>2982</v>
      </c>
      <c r="G95" t="s">
        <v>2983</v>
      </c>
    </row>
    <row r="96" ht="100" customHeight="1" spans="1:7">
      <c r="A96" t="s">
        <v>2984</v>
      </c>
      <c r="B96" t="s">
        <v>2985</v>
      </c>
      <c r="C96" t="s">
        <v>2986</v>
      </c>
      <c r="D96" t="s">
        <v>2987</v>
      </c>
      <c r="E96" t="s">
        <v>4</v>
      </c>
      <c r="F96" t="s">
        <v>2988</v>
      </c>
      <c r="G96" t="s">
        <v>2989</v>
      </c>
    </row>
    <row r="97" ht="100" customHeight="1" spans="1:7">
      <c r="A97" t="s">
        <v>2990</v>
      </c>
      <c r="B97" t="s">
        <v>2991</v>
      </c>
      <c r="C97" t="s">
        <v>2992</v>
      </c>
      <c r="D97" t="s">
        <v>2993</v>
      </c>
      <c r="E97" t="s">
        <v>15</v>
      </c>
      <c r="F97" t="s">
        <v>2994</v>
      </c>
      <c r="G97" t="s">
        <v>2995</v>
      </c>
    </row>
    <row r="98" ht="100" customHeight="1" spans="1:7">
      <c r="A98" t="s">
        <v>2996</v>
      </c>
      <c r="B98" t="s">
        <v>2997</v>
      </c>
      <c r="C98" t="s">
        <v>2998</v>
      </c>
      <c r="D98" t="s">
        <v>2999</v>
      </c>
      <c r="E98" t="s">
        <v>2881</v>
      </c>
      <c r="F98" t="s">
        <v>3000</v>
      </c>
      <c r="G98" t="s">
        <v>3001</v>
      </c>
    </row>
    <row r="99" ht="100" customHeight="1" spans="1:7">
      <c r="A99" t="s">
        <v>3002</v>
      </c>
      <c r="B99" t="s">
        <v>3003</v>
      </c>
      <c r="C99" t="s">
        <v>3004</v>
      </c>
      <c r="D99" t="s">
        <v>3005</v>
      </c>
      <c r="E99" t="s">
        <v>15</v>
      </c>
      <c r="F99" t="s">
        <v>3006</v>
      </c>
      <c r="G99" t="s">
        <v>3007</v>
      </c>
    </row>
    <row r="100" ht="100" customHeight="1" spans="1:7">
      <c r="A100" t="s">
        <v>3008</v>
      </c>
      <c r="B100" t="s">
        <v>3009</v>
      </c>
      <c r="C100" t="s">
        <v>3010</v>
      </c>
      <c r="D100" t="s">
        <v>3011</v>
      </c>
      <c r="E100" t="s">
        <v>4</v>
      </c>
      <c r="F100" t="s">
        <v>3012</v>
      </c>
      <c r="G100" t="s">
        <v>3013</v>
      </c>
    </row>
    <row r="101" ht="100" customHeight="1" spans="1:7">
      <c r="A101" t="s">
        <v>3014</v>
      </c>
      <c r="B101" t="s">
        <v>2326</v>
      </c>
      <c r="C101" t="s">
        <v>3015</v>
      </c>
      <c r="D101" t="s">
        <v>3016</v>
      </c>
      <c r="E101" t="s">
        <v>2881</v>
      </c>
      <c r="F101" t="s">
        <v>3017</v>
      </c>
      <c r="G101" t="s">
        <v>3018</v>
      </c>
    </row>
    <row r="102" ht="100" customHeight="1" spans="1:7">
      <c r="A102" t="s">
        <v>3019</v>
      </c>
      <c r="B102" t="s">
        <v>3020</v>
      </c>
      <c r="C102" t="s">
        <v>3021</v>
      </c>
      <c r="D102" t="s">
        <v>3022</v>
      </c>
      <c r="E102" t="s">
        <v>15</v>
      </c>
      <c r="F102" t="s">
        <v>3023</v>
      </c>
      <c r="G102" t="s">
        <v>3024</v>
      </c>
    </row>
    <row r="103" ht="100" customHeight="1" spans="1:7">
      <c r="A103" t="s">
        <v>3025</v>
      </c>
      <c r="B103" t="s">
        <v>3026</v>
      </c>
      <c r="C103" t="s">
        <v>3027</v>
      </c>
      <c r="D103" t="s">
        <v>3028</v>
      </c>
      <c r="E103" t="s">
        <v>2881</v>
      </c>
      <c r="F103" t="s">
        <v>3029</v>
      </c>
      <c r="G103" t="s">
        <v>3030</v>
      </c>
    </row>
    <row r="104" ht="100" customHeight="1" spans="1:7">
      <c r="A104" t="s">
        <v>3031</v>
      </c>
      <c r="B104" t="s">
        <v>3032</v>
      </c>
      <c r="C104" t="s">
        <v>3033</v>
      </c>
      <c r="D104" t="s">
        <v>3034</v>
      </c>
      <c r="E104" t="s">
        <v>5</v>
      </c>
      <c r="F104" t="s">
        <v>3035</v>
      </c>
      <c r="G104" t="s">
        <v>3036</v>
      </c>
    </row>
    <row r="105" ht="100" customHeight="1" spans="1:7">
      <c r="A105" t="s">
        <v>3037</v>
      </c>
      <c r="B105" t="s">
        <v>3038</v>
      </c>
      <c r="C105" t="s">
        <v>3039</v>
      </c>
      <c r="D105" t="s">
        <v>3040</v>
      </c>
      <c r="E105" t="s">
        <v>3041</v>
      </c>
      <c r="F105" t="s">
        <v>3042</v>
      </c>
      <c r="G105" t="s">
        <v>3043</v>
      </c>
    </row>
    <row r="106" ht="110" customHeight="1" spans="1:7">
      <c r="A106" t="s">
        <v>3044</v>
      </c>
      <c r="B106" t="s">
        <v>3045</v>
      </c>
      <c r="C106" t="s">
        <v>3046</v>
      </c>
      <c r="D106" t="s">
        <v>3047</v>
      </c>
      <c r="E106" t="s">
        <v>15</v>
      </c>
      <c r="F106" t="s">
        <v>3048</v>
      </c>
      <c r="G106" t="s">
        <v>3049</v>
      </c>
    </row>
    <row r="107" ht="110" customHeight="1" spans="1:7">
      <c r="A107" t="s">
        <v>3050</v>
      </c>
      <c r="B107" t="s">
        <v>138</v>
      </c>
      <c r="C107" t="s">
        <v>3051</v>
      </c>
      <c r="D107" t="s">
        <v>3052</v>
      </c>
      <c r="E107" t="s">
        <v>4</v>
      </c>
      <c r="F107" t="s">
        <v>3053</v>
      </c>
      <c r="G107" t="s">
        <v>3054</v>
      </c>
    </row>
    <row r="108" ht="110" customHeight="1" spans="1:7">
      <c r="A108" t="s">
        <v>3055</v>
      </c>
      <c r="B108" t="s">
        <v>3056</v>
      </c>
      <c r="C108" t="s">
        <v>3057</v>
      </c>
      <c r="D108" t="s">
        <v>3058</v>
      </c>
      <c r="E108" t="s">
        <v>2881</v>
      </c>
      <c r="F108" t="s">
        <v>3059</v>
      </c>
      <c r="G108" t="s">
        <v>3060</v>
      </c>
    </row>
    <row r="109" ht="110" customHeight="1" spans="1:7">
      <c r="A109" t="s">
        <v>3061</v>
      </c>
      <c r="B109" t="s">
        <v>3062</v>
      </c>
      <c r="C109" t="s">
        <v>3063</v>
      </c>
      <c r="D109" t="s">
        <v>3064</v>
      </c>
      <c r="E109" t="s">
        <v>5</v>
      </c>
      <c r="F109" t="s">
        <v>3065</v>
      </c>
      <c r="G109" t="s">
        <v>3066</v>
      </c>
    </row>
    <row r="110" ht="110" customHeight="1" spans="1:7">
      <c r="A110" t="s">
        <v>3067</v>
      </c>
      <c r="B110" t="s">
        <v>3068</v>
      </c>
      <c r="C110" t="s">
        <v>3069</v>
      </c>
      <c r="D110" t="s">
        <v>3070</v>
      </c>
      <c r="E110" t="s">
        <v>15</v>
      </c>
      <c r="F110" t="s">
        <v>3071</v>
      </c>
      <c r="G110" t="s">
        <v>3072</v>
      </c>
    </row>
    <row r="111" ht="110" customHeight="1" spans="1:7">
      <c r="A111" t="s">
        <v>3073</v>
      </c>
      <c r="B111" t="s">
        <v>3074</v>
      </c>
      <c r="C111" t="s">
        <v>3075</v>
      </c>
      <c r="D111" t="s">
        <v>3076</v>
      </c>
      <c r="E111" t="s">
        <v>2881</v>
      </c>
      <c r="F111" t="s">
        <v>3077</v>
      </c>
      <c r="G111" t="s">
        <v>3078</v>
      </c>
    </row>
    <row r="112" ht="110" customHeight="1" spans="1:7">
      <c r="A112" t="s">
        <v>3079</v>
      </c>
      <c r="B112" t="s">
        <v>3080</v>
      </c>
      <c r="C112" t="s">
        <v>3081</v>
      </c>
      <c r="D112" t="s">
        <v>3082</v>
      </c>
      <c r="E112" t="s">
        <v>4</v>
      </c>
      <c r="F112" t="s">
        <v>3083</v>
      </c>
      <c r="G112" t="s">
        <v>3084</v>
      </c>
    </row>
    <row r="113" ht="110" customHeight="1" spans="1:7">
      <c r="A113" t="s">
        <v>3085</v>
      </c>
      <c r="B113" t="s">
        <v>3086</v>
      </c>
      <c r="C113" t="s">
        <v>3087</v>
      </c>
      <c r="D113" t="s">
        <v>3088</v>
      </c>
      <c r="E113" t="s">
        <v>15</v>
      </c>
      <c r="F113" t="s">
        <v>3089</v>
      </c>
      <c r="G113" t="s">
        <v>3090</v>
      </c>
    </row>
    <row r="114" ht="110" customHeight="1" spans="1:7">
      <c r="A114" t="s">
        <v>3091</v>
      </c>
      <c r="B114" t="s">
        <v>3092</v>
      </c>
      <c r="C114" t="s">
        <v>3093</v>
      </c>
      <c r="D114" t="s">
        <v>3094</v>
      </c>
      <c r="E114" t="s">
        <v>15</v>
      </c>
      <c r="F114" t="s">
        <v>3095</v>
      </c>
      <c r="G114" t="s">
        <v>3096</v>
      </c>
    </row>
    <row r="115" ht="110" customHeight="1" spans="1:7">
      <c r="A115" t="s">
        <v>3097</v>
      </c>
      <c r="B115" t="s">
        <v>3098</v>
      </c>
      <c r="C115" t="s">
        <v>3099</v>
      </c>
      <c r="D115" t="s">
        <v>3100</v>
      </c>
      <c r="E115" t="s">
        <v>4</v>
      </c>
      <c r="F115" t="s">
        <v>3101</v>
      </c>
      <c r="G115" t="s">
        <v>3102</v>
      </c>
    </row>
    <row r="116" ht="110" customHeight="1" spans="1:7">
      <c r="A116" t="s">
        <v>3103</v>
      </c>
      <c r="B116" t="s">
        <v>3104</v>
      </c>
      <c r="C116" t="s">
        <v>3105</v>
      </c>
      <c r="D116" t="s">
        <v>3106</v>
      </c>
      <c r="E116" t="s">
        <v>15</v>
      </c>
      <c r="F116" t="s">
        <v>3107</v>
      </c>
      <c r="G116" t="s">
        <v>3108</v>
      </c>
    </row>
    <row r="117" ht="110" customHeight="1" spans="1:7">
      <c r="A117" t="s">
        <v>3109</v>
      </c>
      <c r="B117" t="s">
        <v>3110</v>
      </c>
      <c r="C117" t="s">
        <v>3111</v>
      </c>
      <c r="D117" t="s">
        <v>3112</v>
      </c>
      <c r="E117" t="s">
        <v>4</v>
      </c>
      <c r="F117" t="s">
        <v>3113</v>
      </c>
      <c r="G117" t="s">
        <v>3114</v>
      </c>
    </row>
    <row r="118" ht="110" customHeight="1" spans="1:7">
      <c r="A118" t="s">
        <v>3115</v>
      </c>
      <c r="B118" t="s">
        <v>3116</v>
      </c>
      <c r="C118" t="s">
        <v>3117</v>
      </c>
      <c r="D118" t="s">
        <v>3118</v>
      </c>
      <c r="E118" t="s">
        <v>15</v>
      </c>
      <c r="F118" t="s">
        <v>3119</v>
      </c>
      <c r="G118" t="s">
        <v>3120</v>
      </c>
    </row>
    <row r="119" ht="110" customHeight="1" spans="1:7">
      <c r="A119" t="s">
        <v>3121</v>
      </c>
      <c r="B119" t="s">
        <v>3122</v>
      </c>
      <c r="C119" t="s">
        <v>3123</v>
      </c>
      <c r="D119" t="s">
        <v>3124</v>
      </c>
      <c r="E119" t="s">
        <v>4</v>
      </c>
      <c r="F119" t="s">
        <v>3125</v>
      </c>
      <c r="G119" t="s">
        <v>3126</v>
      </c>
    </row>
    <row r="120" ht="110" customHeight="1" spans="1:7">
      <c r="A120" t="s">
        <v>3127</v>
      </c>
      <c r="B120" t="s">
        <v>3128</v>
      </c>
      <c r="C120" t="s">
        <v>3129</v>
      </c>
      <c r="D120" t="s">
        <v>3130</v>
      </c>
      <c r="E120" t="s">
        <v>15</v>
      </c>
      <c r="F120" t="s">
        <v>3131</v>
      </c>
      <c r="G120" t="s">
        <v>3132</v>
      </c>
    </row>
    <row r="121" ht="110" customHeight="1" spans="1:7">
      <c r="A121" t="s">
        <v>3133</v>
      </c>
      <c r="B121" t="s">
        <v>3134</v>
      </c>
      <c r="C121" t="s">
        <v>3135</v>
      </c>
      <c r="D121" t="s">
        <v>3136</v>
      </c>
      <c r="E121" t="s">
        <v>4</v>
      </c>
      <c r="F121" t="s">
        <v>3137</v>
      </c>
      <c r="G121" t="s">
        <v>3138</v>
      </c>
    </row>
    <row r="122" ht="110" customHeight="1" spans="1:7">
      <c r="A122" t="s">
        <v>3139</v>
      </c>
      <c r="B122" t="s">
        <v>3140</v>
      </c>
      <c r="C122" t="s">
        <v>3141</v>
      </c>
      <c r="D122" t="s">
        <v>3142</v>
      </c>
      <c r="E122" t="s">
        <v>4</v>
      </c>
      <c r="F122" t="s">
        <v>3143</v>
      </c>
      <c r="G122" t="s">
        <v>3144</v>
      </c>
    </row>
    <row r="123" ht="110" customHeight="1" spans="1:7">
      <c r="A123" t="s">
        <v>3145</v>
      </c>
      <c r="B123" t="s">
        <v>3146</v>
      </c>
      <c r="C123" t="s">
        <v>3147</v>
      </c>
      <c r="D123" t="s">
        <v>3148</v>
      </c>
      <c r="E123" t="s">
        <v>15</v>
      </c>
      <c r="F123" t="s">
        <v>3149</v>
      </c>
      <c r="G123" t="s">
        <v>3150</v>
      </c>
    </row>
    <row r="124" ht="110" customHeight="1" spans="1:7">
      <c r="A124" t="s">
        <v>3151</v>
      </c>
      <c r="B124" t="s">
        <v>3152</v>
      </c>
      <c r="C124" t="s">
        <v>3153</v>
      </c>
      <c r="D124" t="s">
        <v>3154</v>
      </c>
      <c r="E124" t="s">
        <v>15</v>
      </c>
      <c r="F124" t="s">
        <v>3155</v>
      </c>
      <c r="G124" t="s">
        <v>3156</v>
      </c>
    </row>
    <row r="125" ht="110" customHeight="1" spans="1:7">
      <c r="A125" t="s">
        <v>3157</v>
      </c>
      <c r="B125" t="s">
        <v>3158</v>
      </c>
      <c r="C125" t="s">
        <v>3159</v>
      </c>
      <c r="D125" t="s">
        <v>3160</v>
      </c>
      <c r="E125" t="s">
        <v>15</v>
      </c>
      <c r="F125" t="s">
        <v>3161</v>
      </c>
      <c r="G125" t="s">
        <v>3162</v>
      </c>
    </row>
    <row r="126" ht="110" customHeight="1" spans="1:7">
      <c r="A126" t="s">
        <v>3163</v>
      </c>
      <c r="B126" t="s">
        <v>3164</v>
      </c>
      <c r="C126" t="s">
        <v>3165</v>
      </c>
      <c r="D126" t="s">
        <v>3166</v>
      </c>
      <c r="E126" t="s">
        <v>15</v>
      </c>
      <c r="F126" t="s">
        <v>3167</v>
      </c>
      <c r="G126" t="s">
        <v>3168</v>
      </c>
    </row>
    <row r="127" ht="110" customHeight="1" spans="1:7">
      <c r="A127" t="s">
        <v>3169</v>
      </c>
      <c r="B127" t="s">
        <v>3170</v>
      </c>
      <c r="C127" t="s">
        <v>3171</v>
      </c>
      <c r="D127" t="s">
        <v>3166</v>
      </c>
      <c r="E127" t="s">
        <v>15</v>
      </c>
      <c r="F127" t="s">
        <v>3172</v>
      </c>
      <c r="G127" t="s">
        <v>3173</v>
      </c>
    </row>
    <row r="128" ht="110" customHeight="1" spans="1:7">
      <c r="A128" t="s">
        <v>3174</v>
      </c>
      <c r="B128" t="s">
        <v>3175</v>
      </c>
      <c r="C128" t="s">
        <v>3176</v>
      </c>
      <c r="D128" t="s">
        <v>3177</v>
      </c>
      <c r="E128" t="s">
        <v>4</v>
      </c>
      <c r="F128" t="s">
        <v>3178</v>
      </c>
      <c r="G128" t="s">
        <v>3179</v>
      </c>
    </row>
    <row r="129" ht="110" customHeight="1" spans="1:7">
      <c r="A129" t="s">
        <v>3180</v>
      </c>
      <c r="B129" t="s">
        <v>3181</v>
      </c>
      <c r="C129" t="s">
        <v>3182</v>
      </c>
      <c r="D129" t="s">
        <v>3183</v>
      </c>
      <c r="E129" t="s">
        <v>5</v>
      </c>
      <c r="F129" t="s">
        <v>3184</v>
      </c>
      <c r="G129" t="s">
        <v>3185</v>
      </c>
    </row>
    <row r="130" ht="110" customHeight="1" spans="1:7">
      <c r="A130" t="s">
        <v>3186</v>
      </c>
      <c r="B130" t="s">
        <v>3187</v>
      </c>
      <c r="C130" t="s">
        <v>3188</v>
      </c>
      <c r="D130" t="s">
        <v>3189</v>
      </c>
      <c r="E130" t="s">
        <v>15</v>
      </c>
      <c r="F130" t="s">
        <v>3190</v>
      </c>
      <c r="G130" t="s">
        <v>3191</v>
      </c>
    </row>
    <row r="131" ht="110" customHeight="1" spans="1:7">
      <c r="A131" t="s">
        <v>3192</v>
      </c>
      <c r="B131" t="s">
        <v>3193</v>
      </c>
      <c r="C131" t="s">
        <v>3194</v>
      </c>
      <c r="D131" t="s">
        <v>3195</v>
      </c>
      <c r="E131" t="s">
        <v>5</v>
      </c>
      <c r="F131" t="s">
        <v>3196</v>
      </c>
      <c r="G131" t="s">
        <v>3197</v>
      </c>
    </row>
    <row r="132" ht="110" customHeight="1" spans="1:7">
      <c r="A132" t="s">
        <v>3198</v>
      </c>
      <c r="B132" t="s">
        <v>3199</v>
      </c>
      <c r="C132" t="s">
        <v>3200</v>
      </c>
      <c r="D132" t="s">
        <v>3201</v>
      </c>
      <c r="E132" t="s">
        <v>3041</v>
      </c>
      <c r="F132" t="s">
        <v>3202</v>
      </c>
      <c r="G132" t="s">
        <v>3203</v>
      </c>
    </row>
    <row r="133" ht="110" customHeight="1" spans="1:7">
      <c r="A133" t="s">
        <v>3204</v>
      </c>
      <c r="B133" t="s">
        <v>3205</v>
      </c>
      <c r="C133" t="s">
        <v>3206</v>
      </c>
      <c r="D133" t="s">
        <v>3207</v>
      </c>
      <c r="E133" t="s">
        <v>4</v>
      </c>
      <c r="F133" t="s">
        <v>3208</v>
      </c>
      <c r="G133" t="s">
        <v>3209</v>
      </c>
    </row>
    <row r="135" ht="96" customHeight="1" spans="1:7">
      <c r="A135" s="14" t="s">
        <v>3210</v>
      </c>
      <c r="B135" s="14" t="s">
        <v>3211</v>
      </c>
      <c r="C135" s="14" t="s">
        <v>3212</v>
      </c>
      <c r="D135" s="14" t="s">
        <v>3213</v>
      </c>
      <c r="E135" s="14" t="s">
        <v>15</v>
      </c>
      <c r="F135" s="14" t="s">
        <v>3214</v>
      </c>
      <c r="G135" s="14" t="s">
        <v>3215</v>
      </c>
    </row>
    <row r="136" ht="96" customHeight="1" spans="1:7">
      <c r="A136" s="14" t="s">
        <v>3216</v>
      </c>
      <c r="B136" s="14" t="s">
        <v>3217</v>
      </c>
      <c r="C136" s="14" t="s">
        <v>3218</v>
      </c>
      <c r="D136" s="14" t="s">
        <v>3219</v>
      </c>
      <c r="E136" s="14" t="s">
        <v>15</v>
      </c>
      <c r="F136" s="14" t="s">
        <v>3220</v>
      </c>
      <c r="G136" s="14" t="s">
        <v>3221</v>
      </c>
    </row>
    <row r="137" ht="96" customHeight="1" spans="1:7">
      <c r="A137" s="14" t="s">
        <v>3222</v>
      </c>
      <c r="B137" s="14" t="s">
        <v>3223</v>
      </c>
      <c r="C137" s="14" t="s">
        <v>3224</v>
      </c>
      <c r="D137" s="14" t="s">
        <v>3225</v>
      </c>
      <c r="E137" s="14" t="s">
        <v>15</v>
      </c>
      <c r="F137" s="14" t="s">
        <v>3226</v>
      </c>
      <c r="G137" s="14" t="s">
        <v>3227</v>
      </c>
    </row>
    <row r="138" ht="96" customHeight="1" spans="1:7">
      <c r="A138" s="14" t="s">
        <v>3228</v>
      </c>
      <c r="B138" s="14" t="s">
        <v>3229</v>
      </c>
      <c r="C138" s="14" t="s">
        <v>3230</v>
      </c>
      <c r="D138" s="14" t="s">
        <v>3231</v>
      </c>
      <c r="E138" s="14" t="s">
        <v>15</v>
      </c>
      <c r="F138" s="14" t="s">
        <v>3232</v>
      </c>
      <c r="G138" s="14" t="s">
        <v>3233</v>
      </c>
    </row>
    <row r="139" ht="96" customHeight="1" spans="1:7">
      <c r="A139" s="14" t="s">
        <v>3234</v>
      </c>
      <c r="B139" s="14" t="s">
        <v>3235</v>
      </c>
      <c r="C139" s="14" t="s">
        <v>3236</v>
      </c>
      <c r="D139" s="14" t="s">
        <v>3237</v>
      </c>
      <c r="E139" s="14" t="s">
        <v>15</v>
      </c>
      <c r="F139" s="14" t="s">
        <v>3238</v>
      </c>
      <c r="G139" s="14" t="s">
        <v>3239</v>
      </c>
    </row>
    <row r="140" ht="96" customHeight="1" spans="1:7">
      <c r="A140" s="14" t="s">
        <v>3240</v>
      </c>
      <c r="B140" s="14" t="s">
        <v>3241</v>
      </c>
      <c r="C140" s="14" t="s">
        <v>3242</v>
      </c>
      <c r="D140" s="14" t="s">
        <v>3243</v>
      </c>
      <c r="E140" s="14" t="s">
        <v>15</v>
      </c>
      <c r="F140" s="14" t="s">
        <v>3244</v>
      </c>
      <c r="G140" s="14" t="s">
        <v>3245</v>
      </c>
    </row>
    <row r="141" ht="96" customHeight="1" spans="1:7">
      <c r="A141" s="14" t="s">
        <v>3246</v>
      </c>
      <c r="B141" s="14" t="s">
        <v>3247</v>
      </c>
      <c r="C141" s="14" t="s">
        <v>3248</v>
      </c>
      <c r="D141" s="14" t="s">
        <v>3249</v>
      </c>
      <c r="E141" s="14" t="s">
        <v>15</v>
      </c>
      <c r="F141" s="14" t="s">
        <v>3250</v>
      </c>
      <c r="G141" s="14" t="s">
        <v>3251</v>
      </c>
    </row>
    <row r="142" ht="96" customHeight="1" spans="1:7">
      <c r="A142" s="14" t="s">
        <v>3252</v>
      </c>
      <c r="B142" s="14" t="s">
        <v>3253</v>
      </c>
      <c r="C142" s="14" t="s">
        <v>3254</v>
      </c>
      <c r="D142" s="14" t="s">
        <v>3255</v>
      </c>
      <c r="E142" s="14" t="s">
        <v>2717</v>
      </c>
      <c r="F142" s="14" t="s">
        <v>3256</v>
      </c>
      <c r="G142" s="14" t="s">
        <v>3257</v>
      </c>
    </row>
    <row r="144" ht="130" customHeight="1" spans="1:7">
      <c r="A144" s="14" t="s">
        <v>3258</v>
      </c>
      <c r="B144" s="14" t="s">
        <v>3259</v>
      </c>
      <c r="C144" s="14" t="s">
        <v>3260</v>
      </c>
      <c r="D144" s="14" t="s">
        <v>3261</v>
      </c>
      <c r="E144" s="14" t="s">
        <v>3262</v>
      </c>
      <c r="F144" s="14" t="s">
        <v>3263</v>
      </c>
      <c r="G144" s="14" t="s">
        <v>3264</v>
      </c>
    </row>
    <row r="145" ht="130" customHeight="1" spans="1:7">
      <c r="A145" s="14" t="s">
        <v>3265</v>
      </c>
      <c r="B145" s="14" t="s">
        <v>3266</v>
      </c>
      <c r="C145" s="14" t="s">
        <v>3267</v>
      </c>
      <c r="D145" s="14" t="s">
        <v>3268</v>
      </c>
      <c r="E145" s="14" t="s">
        <v>3262</v>
      </c>
      <c r="F145" s="14" t="s">
        <v>3269</v>
      </c>
      <c r="G145" s="14" t="s">
        <v>3270</v>
      </c>
    </row>
    <row r="146" ht="130" customHeight="1" spans="1:7">
      <c r="A146" s="14" t="s">
        <v>3271</v>
      </c>
      <c r="B146" s="14" t="s">
        <v>3272</v>
      </c>
      <c r="C146" s="14" t="s">
        <v>3273</v>
      </c>
      <c r="D146" s="14" t="s">
        <v>3274</v>
      </c>
      <c r="E146" s="14" t="s">
        <v>15</v>
      </c>
      <c r="F146" s="14" t="s">
        <v>3275</v>
      </c>
      <c r="G146" s="14" t="s">
        <v>3276</v>
      </c>
    </row>
    <row r="147" ht="130" customHeight="1" spans="1:7">
      <c r="A147" s="14" t="s">
        <v>3277</v>
      </c>
      <c r="B147" s="14" t="s">
        <v>707</v>
      </c>
      <c r="C147" s="14" t="s">
        <v>3278</v>
      </c>
      <c r="D147" s="14" t="s">
        <v>3279</v>
      </c>
      <c r="E147" s="14" t="s">
        <v>4</v>
      </c>
      <c r="F147" s="14" t="s">
        <v>3280</v>
      </c>
      <c r="G147" s="14" t="s">
        <v>3281</v>
      </c>
    </row>
    <row r="148" ht="130" customHeight="1" spans="1:7">
      <c r="A148" s="14" t="s">
        <v>3282</v>
      </c>
      <c r="B148" s="14" t="s">
        <v>3283</v>
      </c>
      <c r="C148" s="14" t="s">
        <v>3284</v>
      </c>
      <c r="D148" s="14" t="s">
        <v>3285</v>
      </c>
      <c r="E148" s="14" t="s">
        <v>4</v>
      </c>
      <c r="F148" s="14" t="s">
        <v>3286</v>
      </c>
      <c r="G148" s="14" t="s">
        <v>3287</v>
      </c>
    </row>
    <row r="149" ht="130" customHeight="1" spans="1:7">
      <c r="A149" s="14" t="s">
        <v>3288</v>
      </c>
      <c r="B149" s="14" t="s">
        <v>3289</v>
      </c>
      <c r="C149" s="14" t="s">
        <v>3290</v>
      </c>
      <c r="D149" s="14" t="s">
        <v>3291</v>
      </c>
      <c r="E149" s="14" t="s">
        <v>15</v>
      </c>
      <c r="F149" s="14" t="s">
        <v>3292</v>
      </c>
      <c r="G149" s="14" t="s">
        <v>3293</v>
      </c>
    </row>
    <row r="150" ht="130" customHeight="1" spans="1:7">
      <c r="A150" s="14" t="s">
        <v>3294</v>
      </c>
      <c r="B150" s="14" t="s">
        <v>3295</v>
      </c>
      <c r="C150" s="14" t="s">
        <v>3296</v>
      </c>
      <c r="D150" s="14" t="s">
        <v>3297</v>
      </c>
      <c r="E150" s="14" t="s">
        <v>2717</v>
      </c>
      <c r="F150" s="14" t="s">
        <v>3298</v>
      </c>
      <c r="G150" s="14" t="s">
        <v>3299</v>
      </c>
    </row>
    <row r="151" ht="130" customHeight="1" spans="1:7">
      <c r="A151" s="14" t="s">
        <v>3300</v>
      </c>
      <c r="B151" s="14" t="s">
        <v>3301</v>
      </c>
      <c r="C151" s="14" t="s">
        <v>3302</v>
      </c>
      <c r="D151" s="14" t="s">
        <v>3303</v>
      </c>
      <c r="E151" s="14" t="s">
        <v>2717</v>
      </c>
      <c r="F151" s="14" t="s">
        <v>3304</v>
      </c>
      <c r="G151" s="14" t="s">
        <v>3305</v>
      </c>
    </row>
  </sheetData>
  <mergeCells count="12">
    <mergeCell ref="A1:G1"/>
    <mergeCell ref="A2:G2"/>
    <mergeCell ref="A18:G18"/>
    <mergeCell ref="A19:G19"/>
    <mergeCell ref="A21:G21"/>
    <mergeCell ref="A30:G30"/>
    <mergeCell ref="A32:G32"/>
    <mergeCell ref="A46:G46"/>
    <mergeCell ref="A48:G48"/>
    <mergeCell ref="A62:G62"/>
    <mergeCell ref="A64:G64"/>
    <mergeCell ref="A87:G87"/>
  </mergeCells>
  <conditionalFormatting sqref="E5:E16">
    <cfRule type="cellIs" dxfId="8" priority="1" operator="equal">
      <formula>"通过"</formula>
    </cfRule>
    <cfRule type="cellIs" dxfId="9" priority="2" operator="equal">
      <formula>"有问题"</formula>
    </cfRule>
    <cfRule type="cellIs" dxfId="10" priority="3" operator="equal">
      <formula>"待核实"</formula>
    </cfRule>
    <cfRule type="cellIs" dxfId="10" priority="4" operator="equal">
      <formula>"暂时测不了"</formula>
    </cfRule>
  </conditionalFormatting>
  <pageMargins left="0.7" right="0.7" top="0.75" bottom="0.75" header="0.3" footer="0.3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测试总览</vt:lpstr>
      <vt:lpstr>测试清单</vt:lpstr>
      <vt:lpstr>准备与流程</vt:lpstr>
      <vt:lpstr>问题记录</vt:lpstr>
      <vt:lpstr>自动手动组合</vt:lpstr>
      <vt:lpstr>全流程验收</vt:lpstr>
      <vt:lpstr>流程步骤记录</vt:lpstr>
      <vt:lpstr>审查结论</vt:lpstr>
      <vt:lpstr>补充测试清单</vt:lpstr>
      <vt:lpstr>设备运维清单</vt:lpstr>
      <vt:lpstr>本轮执行记录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Admin（无密码）</cp:lastModifiedBy>
  <dcterms:created xsi:type="dcterms:W3CDTF">2026-09-28T06:04:15Z</dcterms:created>
  <dcterms:modified xsi:type="dcterms:W3CDTF">2026-09-28T06:04:53Z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962480A9FA1C4C14BC35DD8B3F60F13C_12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