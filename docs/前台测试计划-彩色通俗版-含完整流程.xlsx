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af855c035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822077f8ce8e444a"/>
    <x:sheet xmlns:r="http://schemas.openxmlformats.org/officeDocument/2006/relationships" name="测试清单" sheetId="2" r:id="R5a98157539494186"/>
    <x:sheet xmlns:r="http://schemas.openxmlformats.org/officeDocument/2006/relationships" name="准备与流程" sheetId="3" r:id="R6d4bb0dd12a24c60"/>
    <x:sheet xmlns:r="http://schemas.openxmlformats.org/officeDocument/2006/relationships" name="问题记录" sheetId="4" r:id="Rd6962f397635457a"/>
    <x:sheet xmlns:r="http://schemas.openxmlformats.org/officeDocument/2006/relationships" name="自动手动组合" sheetId="5" r:id="Rbd2c703aa1964b5e"/>
    <x:sheet xmlns:r="http://schemas.openxmlformats.org/officeDocument/2006/relationships" name="全流程验收" sheetId="6" r:id="R9afa6efb973a495e"/>
    <x:sheet xmlns:r="http://schemas.openxmlformats.org/officeDocument/2006/relationships" name="流程步骤记录" sheetId="7" r:id="R2fc4d7ae1fc8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43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</x:fills>
  <x:borders count="19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</x:borders>
  <x:cellStyleXfs count="1">
    <x:xf numFmtId="0" fontId="0" fillId="0" borderId="0"/>
  </x:cellStyleXfs>
  <x:cellXfs count="5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2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1f7f1bf77465a" /><Relationship Type="http://schemas.openxmlformats.org/officeDocument/2006/relationships/theme" Target="/xl/theme/theme1.xml" Id="R8a07de07d3254066" /><Relationship Type="http://schemas.openxmlformats.org/officeDocument/2006/relationships/sharedStrings" Target="/xl/sharedStrings.xml" Id="R63472dac93eb4d41" /><Relationship Type="http://schemas.openxmlformats.org/officeDocument/2006/relationships/worksheet" Target="/xl/worksheets/sheet1.xml" Id="R822077f8ce8e444a" /><Relationship Type="http://schemas.openxmlformats.org/officeDocument/2006/relationships/worksheet" Target="/xl/worksheets/sheet2.xml" Id="R5a98157539494186" /><Relationship Type="http://schemas.openxmlformats.org/officeDocument/2006/relationships/worksheet" Target="/xl/worksheets/sheet3.xml" Id="R6d4bb0dd12a24c60" /><Relationship Type="http://schemas.openxmlformats.org/officeDocument/2006/relationships/worksheet" Target="/xl/worksheets/sheet4.xml" Id="Rd6962f397635457a" /><Relationship Type="http://schemas.openxmlformats.org/officeDocument/2006/relationships/worksheet" Target="/xl/worksheets/sheet5.xml" Id="Rbd2c703aa1964b5e" /><Relationship Type="http://schemas.openxmlformats.org/officeDocument/2006/relationships/worksheet" Target="/xl/worksheets/sheet6.xml" Id="R9afa6efb973a495e" /><Relationship Type="http://schemas.openxmlformats.org/officeDocument/2006/relationships/worksheet" Target="/xl/worksheets/sheet7.xml" Id="R2fc4d7ae1fc84e2a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31" headerRowCount="1" totalsRowCount="0" totalsRowShown="0">
  <x:autoFilter ref="A5:J3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265" headerRowCount="1" totalsRowCount="0" totalsRowShown="0">
  <x:autoFilter ref="A5:L2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1750d3d05e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5b9435067fd4b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1c0ddb5f9094b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f23ea9612cf4578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业务前台测试计划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0</x:v>
      </x:c>
      <x:c r="E6" s="259" t="n">
        <x:f>COUNTIF('测试清单'!$F$6:$F$157,"还没测")</x:f>
        <x:v>152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先看自动手动8种组合，再完成模块清单与全流程记录。完整流程统计在本页下方，不能只看模块通过数量。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保留152项模块检查，新增26条完整流程、260个逐步记录。流程结果自动计算，任何未完成步骤都不能算整条通过。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0</x:v>
      </x:c>
      <x:c r="F13" s="20" t="n">
        <x:f>COUNTIFS('测试清单'!$B$6:$B$157,A13,'测试清单'!$F$6:$F$157,"还没测")</x:f>
        <x:v>12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短信观察多久：原说明是10秒，前一轮核对代码是3秒。确认后再判断时长是否正确。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自动与手动均纳入本轮：核实、反制、通知处罚分别配置。8种组合都要实测，不再把自动模式整体排除。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完整流程必须用同一事件贯穿目标、研判、告警、通知、设备结果、移送、证据和统计。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COUNTA('全流程验收'!$A$6:$A$31)</x:f>
        <x:v>26</x:v>
      </x:c>
      <x:c r="B45" s="465" t="n">
        <x:f>COUNTIF('全流程验收'!$G$6:$G$31,"通过")</x:f>
        <x:v>0</x:v>
      </x:c>
      <x:c r="C45" s="465" t="n">
        <x:f>COUNTIF('全流程验收'!$G$6:$G$31,"有问题")</x:f>
        <x:v>0</x:v>
      </x:c>
      <x:c r="D45" s="465" t="n">
        <x:f>COUNTIF('全流程验收'!$G$6:$G$31,"暂时测不了")</x:f>
        <x:v>0</x:v>
      </x:c>
      <x:c r="E45" s="465" t="n">
        <x:f>COUNTIF('全流程验收'!$G$6:$G$31,"还没测")</x:f>
        <x:v>26</x:v>
      </x:c>
      <x:c r="F45" s="465" t="n">
        <x:f>COUNTIF('全流程验收'!$G$6:$G$31,"进行中")</x:f>
        <x:v>0</x:v>
      </x:c>
      <x:c r="G45" s="465" t="n">
        <x:f>COUNTBLANK('流程步骤记录'!G6:G265)</x:f>
        <x:v>0</x:v>
      </x:c>
      <x:c r="H45" s="465" t="str">
        <x:f>IF(B45=A45,"流程已跑通","尚未全部跑通")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放行要求：模块检查满足要求、26条流程全部通过，并且没有未解决的关键权限、设备安全、串单和历史数据问题。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异常流程的“跑通”是指在应当停止的位置正确停止，并验证没有后续错误动作；不要求所有事件都反制或移送。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保存开关不等于模式已生效，切换开关不等于设备已经停止。每轮要核对实际配置、当前资格和设备结果。</x:v>
      </x:c>
      <x:c r="B49" s="466"/>
      <x:c r="C49" s="466"/>
      <x:c r="D49" s="466"/>
      <x:c r="E49" s="466"/>
      <x:c r="F49" s="466"/>
      <x:c r="G49" s="466"/>
      <x:c r="H49" s="466"/>
    </x:row>
    <x:row r="50" ht="34" customHeight="1">
      <x:c r="A50" s="466" t="str">
        <x:v>本次更新的是测试计划，没有改变后台配置，也没有执行这些业务测试。</x:v>
      </x:c>
      <x:c r="B50" s="466"/>
      <x:c r="C50" s="466"/>
      <x:c r="D50" s="466"/>
      <x:c r="E50" s="466"/>
      <x:c r="F50" s="466"/>
      <x:c r="G50" s="466"/>
      <x:c r="H50" s="46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还没测</x:v>
      </x:c>
      <x:c r="G6" s="26" t="str"/>
      <x:c r="H6" s="26" t="str"/>
      <x:c r="I6" s="27" t="str"/>
      <x:c r="J6" s="26" t="str"/>
      <x:c r="K6" s="26" t="str"/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还没测</x:v>
      </x:c>
      <x:c r="G7" s="15" t="str"/>
      <x:c r="H7" s="15" t="str"/>
      <x:c r="I7" s="16" t="str"/>
      <x:c r="J7" s="15" t="str"/>
      <x:c r="K7" s="15" t="str"/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54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分别检查自动移送开启、未开启、执行失败的情况</x:v>
      </x:c>
      <x:c r="E104" s="17" t="str">
        <x:v>按真实情况显示；只读打开或刷新页面不会偷偷发起移送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1750d3d05e43a3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50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8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50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</x:v>
      </x:c>
      <x:c r="C9" s="17" t="str"/>
    </x:row>
    <x:row r="10" ht="50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8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50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50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8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50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50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8" customHeight="1">
      <x:c r="A19" s="17" t="str">
        <x:v>账号能做什么</x:v>
      </x:c>
      <x:c r="B19" s="17" t="str">
        <x:v>用来检查什么</x:v>
      </x:c>
      <x:c r="C19" s="17" t="str"/>
    </x:row>
    <x:row r="20" ht="38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8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8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8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8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8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8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8" customHeight="1">
      <x:c r="A27" s="17" t="str">
        <x:v>已停用</x:v>
      </x:c>
      <x:c r="B27" s="17" t="str">
        <x:v>不能继续登录或操作</x:v>
      </x:c>
      <x:c r="C27" s="17" t="str"/>
    </x:row>
    <x:row r="28" ht="38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8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50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8" customHeight="1">
      <x:c r="A32" s="18" t="str">
        <x:v>准备什么</x:v>
      </x:c>
      <x:c r="B32" s="18" t="str">
        <x:v>具体例子</x:v>
      </x:c>
      <x:c r="C32" s="18" t="str"/>
    </x:row>
    <x:row r="33" ht="38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8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8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8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8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8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8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8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8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8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8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50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8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8" customHeight="1">
      <x:c r="A47" s="17" t="str">
        <x:v>要先确认的事</x:v>
      </x:c>
      <x:c r="B47" s="17" t="str">
        <x:v>为什么要确认</x:v>
      </x:c>
      <x:c r="C47" s="17" t="str"/>
    </x:row>
    <x:row r="48" ht="50" customHeight="1">
      <x:c r="A48" s="18" t="str">
        <x:v>短信送达后到底观察3秒还是10秒</x:v>
      </x:c>
      <x:c r="B48" s="18" t="str">
        <x:v>现有说明写10秒，前一轮看到的代码写3秒。不能一边按3秒操作，一边按10秒判错</x:v>
      </x:c>
      <x:c r="C48" s="18" t="str"/>
    </x:row>
    <x:row r="49" ht="50" customHeight="1">
      <x:c r="A49" s="17" t="str">
        <x:v>后台自动和手动分别怎样设置</x:v>
      </x:c>
      <x:c r="B49" s="17" t="str">
        <x:v>本轮已明确同时测试自动、手动。按核实、反制、通知处罚三类设置执行8种组合，记录生效条件。</x:v>
      </x:c>
      <x:c r="C49" s="17" t="str"/>
    </x:row>
    <x:row r="50" ht="38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8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8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8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8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8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8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50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从发现无人机，一直检查到通知、反制、移送和证据；只测本轮已具备的能力</x:v>
      </x:c>
    </x:row>
    <x:row r="59" ht="38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8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50" customHeight="1">
      <x:c r="A61" s="17" t="str">
        <x:v>三 建议按这个顺序测试</x:v>
      </x:c>
      <x:c r="B61" s="17" t="str">
        <x:v>按原详细计划估算，约需5～7.5个人工工作日，不包含等环境、等外部接入和开发修复的时间。多人配合、数据准备情况不同，实际时间也会变化。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50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50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32" customHeight="1">
      <x:c r="A66" s="297" t="str">
        <x:v>第二种 无人机违规后按申请审批流程处理</x:v>
      </x:c>
      <x:c r="B66" s="297" t="str"/>
      <x:c r="C66" s="297" t="str"/>
    </x:row>
    <x:row r="67" ht="50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50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仍未离开时，使用普通申请账号发起反制，换另一个有权账号审批，再由有执行权限的账号操作。查看测试设备有没有实际收到命令、有没有返回结果。具备移送条件后，再核对交接、送达、签收和证据。</x:v>
      </x:c>
      <x:c r="C68" s="18" t="str"/>
    </x:row>
    <x:row r="69" ht="50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32" customHeight="1">
      <x:c r="A70" s="299" t="str">
        <x:v>第三种 有直接反制权限并在执行中急停</x:v>
      </x:c>
      <x:c r="B70" s="299" t="str"/>
      <x:c r="C70" s="299" t="str"/>
    </x:row>
    <x:row r="71" ht="50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50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8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50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50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50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50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50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8" customHeight="1">
      <x:c r="A83" s="17" t="str">
        <x:v>页面上看到的情况</x:v>
      </x:c>
      <x:c r="B83" s="17" t="str">
        <x:v>正确理解</x:v>
      </x:c>
      <x:c r="C83" s="17" t="str"/>
    </x:row>
    <x:row r="84" ht="38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8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8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8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8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8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8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8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8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8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8" customHeight="1">
      <x:c r="A95" s="17" t="str">
        <x:v>记录什么</x:v>
      </x:c>
      <x:c r="B95" s="17" t="str">
        <x:v>怎么写</x:v>
      </x:c>
      <x:c r="C95" s="17" t="str"/>
    </x:row>
    <x:row r="96" ht="38" customHeight="1">
      <x:c r="A96" s="18" t="str">
        <x:v>测试日期和测试人</x:v>
      </x:c>
      <x:c r="B96" s="18" t="str">
        <x:v>谁在什么时候测的</x:v>
      </x:c>
      <x:c r="C96" s="18" t="str"/>
    </x:row>
    <x:row r="97" ht="38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8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8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8" customHeight="1">
      <x:c r="A100" s="18" t="str">
        <x:v>应该看到什么</x:v>
      </x:c>
      <x:c r="B100" s="18" t="str">
        <x:v>按本文件对应要求写</x:v>
      </x:c>
      <x:c r="C100" s="18" t="str"/>
    </x:row>
    <x:row r="101" ht="38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8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8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8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8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50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8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8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50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8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8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8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8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50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50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50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一行记录一个问题。编号可与测试清单的“问题编号”对应；修复后要填写复测结果。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65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 ht="65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 ht="65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 ht="65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 ht="65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b9435067fd4b2d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三个环节分别配置，每种组合都要用独立批次走完整流程。手动不等于所有短信和电话也改成人工发送。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04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核实：本类不自动执行，由有权人员办理。
反制：本类不自动执行，由有权人员办理。
通知处罚：本类不自动执行，由有权人员办理。</x:v>
      </x:c>
      <x:c r="F6" s="468" t="str">
        <x:v>值班员核实，通知和观察后仍在告警区域，人员申请并审批后执行设备反制，取得设备真实测试结果后，人员按允许入口通知处罚部门。最后核对送达、签收、证据和统计。</x:v>
      </x:c>
      <x:c r="G6" s="468" t="str">
        <x:v>配置截图、规则版本、生效范围和时间、运行健康、本轮账号与设备、模拟批次、目标及告警编号。</x:v>
      </x:c>
    </x:row>
    <x:row r="7" ht="104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核实：本类不自动执行，由有权人员办理。
反制：本类不自动执行，由有权人员办理。
通知处罚：开启本类规则，准备全部条件满足的数据。</x:v>
      </x:c>
      <x:c r="F7" s="470" t="str">
        <x:v>值班员核实，通知和观察后仍在告警区域，人员申请并审批后执行设备反制，取得设备真实测试结果后，系统通知处罚部门。最后核对送达、签收、证据和统计。</x:v>
      </x:c>
      <x:c r="G7" s="470" t="str">
        <x:v>配置截图、规则版本、生效范围和时间、运行健康、本轮账号与设备、模拟批次、目标及告警编号。</x:v>
      </x:c>
    </x:row>
    <x:row r="8" ht="104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核实：本类不自动执行，由有权人员办理。
反制：开启本类规则，准备全部条件满足的数据。
通知处罚：本类不自动执行，由有权人员办理。</x:v>
      </x:c>
      <x:c r="F8" s="472" t="str">
        <x:v>值班员核实，通知和观察后仍在告警区域，系统发起符合资格的设备反制，取得设备真实测试结果后，人员按允许入口通知处罚部门。最后核对送达、签收、证据和统计。</x:v>
      </x:c>
      <x:c r="G8" s="472" t="str">
        <x:v>配置截图、规则版本、生效范围和时间、运行健康、本轮账号与设备、模拟批次、目标及告警编号。</x:v>
      </x:c>
    </x:row>
    <x:row r="9" ht="104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核实：本类不自动执行，由有权人员办理。
反制：开启本类规则，准备全部条件满足的数据。
通知处罚：开启本类规则，准备全部条件满足的数据。</x:v>
      </x:c>
      <x:c r="F9" s="474" t="str">
        <x:v>值班员核实，通知和观察后仍在告警区域，系统发起符合资格的设备反制，取得设备真实测试结果后，系统通知处罚部门。最后核对送达、签收、证据和统计。</x:v>
      </x:c>
      <x:c r="G9" s="474" t="str">
        <x:v>配置截图、规则版本、生效范围和时间、运行健康、本轮账号与设备、模拟批次、目标及告警编号。</x:v>
      </x:c>
    </x:row>
    <x:row r="10" ht="104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核实：开启本类规则，准备全部条件满足的数据。
反制：本类不自动执行，由有权人员办理。
通知处罚：本类不自动执行，由有权人员办理。</x:v>
      </x:c>
      <x:c r="F10" s="476" t="str">
        <x:v>系统核实，通知和观察后仍在告警区域，人员申请并审批后执行设备反制，取得设备真实测试结果后，人员按允许入口通知处罚部门。最后核对送达、签收、证据和统计。</x:v>
      </x:c>
      <x:c r="G10" s="476" t="str">
        <x:v>配置截图、规则版本、生效范围和时间、运行健康、本轮账号与设备、模拟批次、目标及告警编号。</x:v>
      </x:c>
    </x:row>
    <x:row r="11" ht="104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核实：开启本类规则，准备全部条件满足的数据。
反制：本类不自动执行，由有权人员办理。
通知处罚：开启本类规则，准备全部条件满足的数据。</x:v>
      </x:c>
      <x:c r="F11" s="478" t="str">
        <x:v>系统核实，通知和观察后仍在告警区域，人员申请并审批后执行设备反制，取得设备真实测试结果后，系统通知处罚部门。最后核对送达、签收、证据和统计。</x:v>
      </x:c>
      <x:c r="G11" s="478" t="str">
        <x:v>配置截图、规则版本、生效范围和时间、运行健康、本轮账号与设备、模拟批次、目标及告警编号。</x:v>
      </x:c>
    </x:row>
    <x:row r="12" ht="104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核实：开启本类规则，准备全部条件满足的数据。
反制：开启本类规则，准备全部条件满足的数据。
通知处罚：本类不自动执行，由有权人员办理。</x:v>
      </x:c>
      <x:c r="F12" s="480" t="str">
        <x:v>系统核实，通知和观察后仍在告警区域，系统发起符合资格的设备反制，取得设备真实测试结果后，人员按允许入口通知处罚部门。最后核对送达、签收、证据和统计。</x:v>
      </x:c>
      <x:c r="G12" s="480" t="str">
        <x:v>配置截图、规则版本、生效范围和时间、运行健康、本轮账号与设备、模拟批次、目标及告警编号。</x:v>
      </x:c>
    </x:row>
    <x:row r="13" ht="104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核实：开启本类规则，准备全部条件满足的数据。
反制：开启本类规则，准备全部条件满足的数据。
通知处罚：开启本类规则，准备全部条件满足的数据。</x:v>
      </x:c>
      <x:c r="F13" s="482" t="str">
        <x:v>系统核实，通知和观察后仍在告警区域，系统发起符合资格的设备反制，取得设备真实测试结果后，系统通知处罚部门。最后核对送达、签收、证据和统计。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52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52" customHeight="1">
      <x:c r="A18" s="355" t="str">
        <x:v>怎么理解手动</x:v>
      </x:c>
      <x:c r="B18" s="355"/>
      <x:c r="C18" s="355" t="str">
        <x:v>关闭该类自动处理后，应等待有权人员操作。切换到手动不会替人员授予核实、审批、执行、直接反制或通知权限。</x:v>
      </x:c>
      <x:c r="D18" s="355"/>
      <x:c r="E18" s="355"/>
      <x:c r="F18" s="355"/>
      <x:c r="G18" s="355"/>
    </x:row>
    <x:row r="19" ht="52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52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52" customHeight="1">
      <x:c r="A21" s="354" t="str">
        <x:v>直接反制另测</x:v>
      </x:c>
      <x:c r="B21" s="354"/>
      <x:c r="C21" s="354" t="str">
        <x:v>人员手动发起时，普通申请审批与显式直接授权分别测试。后台自动发起应记录系统身份和实际授权依据，不冒充值班员或审批人。</x:v>
      </x:c>
      <x:c r="D21" s="354"/>
      <x:c r="E21" s="354"/>
      <x:c r="F21" s="354"/>
      <x:c r="G21" s="354"/>
    </x:row>
    <x:row r="22" ht="52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52" customHeight="1">
      <x:c r="A23" s="354" t="str">
        <x:v>本轮先记录时长</x:v>
      </x:c>
      <x:c r="B23" s="354"/>
      <x:c r="C23" s="354" t="str">
        <x:v>短信观察时间仍存在3秒和10秒的说明差异，先确认本轮采用值并记录。电话观察当前约定10秒。不得为了通过测试随意缩短。</x:v>
      </x:c>
      <x:c r="D23" s="354"/>
      <x:c r="E23" s="354"/>
      <x:c r="F23" s="354"/>
      <x:c r="G23" s="354"/>
    </x:row>
    <x:row r="24" ht="52" customHeight="1">
      <x:c r="A24" s="355" t="str">
        <x:v>切换什么时候生效</x:v>
      </x:c>
      <x:c r="B24" s="355"/>
      <x:c r="C24" s="355" t="str">
        <x:v>本计划要求保存并生效后，尚未实际发送的动作按当前配置重新检查；已经发出的指令要继续核对设备结果。不会把切换开关当作急停。</x:v>
      </x:c>
      <x:c r="D24" s="355"/>
      <x:c r="E24" s="355"/>
      <x:c r="F24" s="355"/>
      <x:c r="G24" s="355"/>
    </x:row>
    <x:row r="25" ht="52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52" customHeight="1">
      <x:c r="A26" s="355" t="str">
        <x:v>验收要求</x:v>
      </x:c>
      <x:c r="B26" s="355"/>
      <x:c r="C26" s="355" t="str">
        <x:v>8种组合、切换和异常路径都属于本轮范围。相关服务没开、通道不可用或缺少账号时，写“暂时测不了”，不能直接跳过并宣布完整流程通过。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模块各自通过还不够：每条完整流程都须使用同一批数据，从开始一路核对到规定的结束状态。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08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无。按组合从头执行。</x:v>
      </x:c>
      <x:c r="E6" s="468" t="str">
        <x:v>设备测试结果明确；交接与送达签收正确；证据、统计和各页面指向同一事件。签收不等于处罚办结。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"通过",IF(COUNTIF('流程步骤记录'!G6:G15,"还没测")=10,"还没测","进行中")))))</x:f>
        <x:v>还没测</x:v>
      </x:c>
      <x:c r="H6" s="483" t="str"/>
      <x:c r="I6" s="483" t="str"/>
      <x:c r="J6" s="483" t="str"/>
    </x:row>
    <x:row r="7" ht="108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无。按组合从头执行。</x:v>
      </x:c>
      <x:c r="E7" s="470" t="str">
        <x:v>设备测试结果明确；交接与送达签收正确；证据、统计和各页面指向同一事件。签收不等于处罚办结。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"通过",IF(COUNTIF('流程步骤记录'!G16:G25,"还没测")=10,"还没测","进行中")))))</x:f>
        <x:v>还没测</x:v>
      </x:c>
      <x:c r="H7" s="483" t="str"/>
      <x:c r="I7" s="483" t="str"/>
      <x:c r="J7" s="483" t="str"/>
    </x:row>
    <x:row r="8" ht="108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无。按组合从头执行。</x:v>
      </x:c>
      <x:c r="E8" s="472" t="str">
        <x:v>设备测试结果明确；交接与送达签收正确；证据、统计和各页面指向同一事件。签收不等于处罚办结。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"通过",IF(COUNTIF('流程步骤记录'!G26:G35,"还没测")=10,"还没测","进行中")))))</x:f>
        <x:v>还没测</x:v>
      </x:c>
      <x:c r="H8" s="483" t="str"/>
      <x:c r="I8" s="483" t="str"/>
      <x:c r="J8" s="483" t="str"/>
    </x:row>
    <x:row r="9" ht="108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无。按组合从头执行。</x:v>
      </x:c>
      <x:c r="E9" s="474" t="str">
        <x:v>设备测试结果明确；交接与送达签收正确；证据、统计和各页面指向同一事件。签收不等于处罚办结。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"通过",IF(COUNTIF('流程步骤记录'!G36:G45,"还没测")=10,"还没测","进行中")))))</x:f>
        <x:v>还没测</x:v>
      </x:c>
      <x:c r="H9" s="483" t="str"/>
      <x:c r="I9" s="483" t="str"/>
      <x:c r="J9" s="483" t="str"/>
    </x:row>
    <x:row r="10" ht="108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无。按组合从头执行。</x:v>
      </x:c>
      <x:c r="E10" s="476" t="str">
        <x:v>设备测试结果明确；交接与送达签收正确；证据、统计和各页面指向同一事件。签收不等于处罚办结。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"通过"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08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无。按组合从头执行。</x:v>
      </x:c>
      <x:c r="E11" s="478" t="str">
        <x:v>设备测试结果明确；交接与送达签收正确；证据、统计和各页面指向同一事件。签收不等于处罚办结。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"通过"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08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无。按组合从头执行。</x:v>
      </x:c>
      <x:c r="E12" s="480" t="str">
        <x:v>设备测试结果明确；交接与送达签收正确；证据、统计和各页面指向同一事件。签收不等于处罚办结。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"通过"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08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无。按组合从头执行。</x:v>
      </x:c>
      <x:c r="E13" s="482" t="str">
        <x:v>设备测试结果明确；交接与送达签收正确；证据、统计和各页面指向同一事件。签收不等于处罚办结。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"通过"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08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"通过"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08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"通过"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08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"通过"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08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"通过"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08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"通过"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08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分别测试无核验飞手、短信不可用、电话不可用三个子批次。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"通过"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08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在核实前、反制排队未下发、通知处罚尚未发送三个节点，分别保存为手动。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"通过"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08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分别在待核实、待反制、可通知处罚但尚未发送时改为自动。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"通过"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08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自动条件即将满足时，另一账号同时点击对应核实、反制或通知按钮。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"通过"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08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逐项测试一条不满足、未知、持续时间不足、范围外、时间窗外；再满足。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"通过"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08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"通过"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08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"通过"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08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"通过"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08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"通过"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08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"通过"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08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"通过"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08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"通过"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08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"通过",IF(COUNTIF('流程步骤记录'!G256:G265,"还没测")=10,"还没测","进行中")))))</x:f>
        <x:v>还没测</x:v>
      </x:c>
      <x:c r="H31" s="483" t="str"/>
      <x:c r="I31" s="483" t="str"/>
      <x:c r="J31" s="483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c0ddb5f9094b39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每条流程分10步填写。一个场景要求多个子批次时，应全部验证后再选通过，并把各批次结果写在实际结果或证据中。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正确阻止动作也可以通过：必须证明停在了应该停的位置，且没有误通知、误反制或错误移送。缺条件无法验证时选暂时测不了。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78" customHeight="1">
      <x:c r="A6" s="484" t="str">
        <x:v>F01</x:v>
      </x:c>
      <x:c r="B6" s="484" t="n">
        <x:v>1</x:v>
      </x:c>
      <x:c r="C6" s="484" t="str">
        <x:v>后台配置与测试准备</x:v>
      </x:c>
      <x:c r="D6" s="484" t="str">
        <x:v>手动 / 手动 / 手动</x:v>
      </x:c>
      <x:c r="E6" s="422" t="str">
        <x:v>按M1设置三类规则，并保存回读。记录有效时长、账号、范围、设备、通道和规则版本。</x:v>
      </x:c>
      <x:c r="F6" s="422" t="str">
        <x:v>实际运行设置与本轮相符；模拟通道可用。无。按组合从头执行。</x:v>
      </x:c>
      <x:c r="G6" s="500" t="str">
        <x:v>还没测</x:v>
      </x:c>
      <x:c r="H6" s="500" t="str"/>
      <x:c r="I6" s="500" t="str"/>
      <x:c r="J6" s="501" t="str"/>
      <x:c r="K6" s="500" t="str"/>
      <x:c r="L6" s="500" t="str"/>
    </x:row>
    <x:row r="7" ht="78" customHeight="1">
      <x:c r="A7" s="485" t="str">
        <x:v>F01</x:v>
      </x:c>
      <x:c r="B7" s="485" t="n">
        <x:v>2</x:v>
      </x:c>
      <x:c r="C7" s="485" t="str">
        <x:v>输入数据并识别目标</x:v>
      </x:c>
      <x:c r="D7" s="485" t="str">
        <x:v>手动 / 手动 / 手动</x:v>
      </x:c>
      <x:c r="E7" s="423" t="str">
        <x:v>启动新批次，通过获准入口输入计划和目标数据；记录唯一目标、计划和设备编号。</x:v>
      </x:c>
      <x:c r="F7" s="423" t="str">
        <x:v>能在融合感知查到同一目标，位置、时间和模拟标记正确；发送成功不代替平台已接收。</x:v>
      </x:c>
      <x:c r="G7" s="483" t="str">
        <x:v>还没测</x:v>
      </x:c>
      <x:c r="H7" s="483" t="str"/>
      <x:c r="I7" s="483" t="str"/>
      <x:c r="J7" s="502" t="str"/>
      <x:c r="K7" s="483" t="str"/>
      <x:c r="L7" s="483" t="str"/>
    </x:row>
    <x:row r="8" ht="78" customHeight="1">
      <x:c r="A8" s="485" t="str">
        <x:v>F01</x:v>
      </x:c>
      <x:c r="B8" s="485" t="n">
        <x:v>3</x:v>
      </x:c>
      <x:c r="C8" s="485" t="str">
        <x:v>研判和告警关联</x:v>
      </x:c>
      <x:c r="D8" s="485" t="str">
        <x:v>手动 / 手动 / 手动</x:v>
      </x:c>
      <x:c r="E8" s="423" t="str">
        <x:v>打开计划、合法性研判和告警，核对同一目标、计划、研判和事件关系。</x:v>
      </x:c>
      <x:c r="F8" s="423" t="str">
        <x:v>主链准备明确违规且证据充分的事件；各页同一事实。若本轮是合法或误报分支，按该分支正确阻止后续。</x:v>
      </x:c>
      <x:c r="G8" s="483" t="str">
        <x:v>还没测</x:v>
      </x:c>
      <x:c r="H8" s="483" t="str"/>
      <x:c r="I8" s="483" t="str"/>
      <x:c r="J8" s="502" t="str"/>
      <x:c r="K8" s="483" t="str"/>
      <x:c r="L8" s="483" t="str"/>
    </x:row>
    <x:row r="9" ht="78" customHeight="1">
      <x:c r="A9" s="485" t="str">
        <x:v>F01</x:v>
      </x:c>
      <x:c r="B9" s="485" t="n">
        <x:v>4</x:v>
      </x:c>
      <x:c r="C9" s="485" t="str">
        <x:v>核实告警</x:v>
      </x:c>
      <x:c r="D9" s="485" t="str">
        <x:v>手动 / 手动 / 手动</x:v>
      </x:c>
      <x:c r="E9" s="423" t="str">
        <x:v>用值班账号核实属实；提交前先观察系统是否等待人工。</x:v>
      </x:c>
      <x:c r="F9" s="423" t="str">
        <x:v>手动模式不自动核实；有权人员提交后记录真实操作人并进入后续阶段。</x:v>
      </x:c>
      <x:c r="G9" s="483" t="str">
        <x:v>还没测</x:v>
      </x:c>
      <x:c r="H9" s="483" t="str"/>
      <x:c r="I9" s="483" t="str"/>
      <x:c r="J9" s="502" t="str"/>
      <x:c r="K9" s="483" t="str"/>
      <x:c r="L9" s="483" t="str"/>
    </x:row>
    <x:row r="10" ht="78" customHeight="1">
      <x:c r="A10" s="485" t="str">
        <x:v>F01</x:v>
      </x:c>
      <x:c r="B10" s="485" t="n">
        <x:v>5</x:v>
      </x:c>
      <x:c r="C10" s="485" t="str">
        <x:v>飞手通知和位置观察</x:v>
      </x:c>
      <x:c r="D10" s="485" t="str">
        <x:v>手动 / 手动 / 手动</x:v>
      </x:c>
      <x:c r="E10" s="423" t="str">
        <x:v>检查短信发送/送达、观察开始/结束、电话接通/播放与新位置；按本轮条件操作目标。</x:v>
      </x:c>
      <x:c r="F10" s="423" t="str">
        <x:v>主链持续在域时按已确认时长推进到待反制；短信、电话、飞离各凭自己的真实依据。</x:v>
      </x:c>
      <x:c r="G10" s="483" t="str">
        <x:v>还没测</x:v>
      </x:c>
      <x:c r="H10" s="483" t="str"/>
      <x:c r="I10" s="483" t="str"/>
      <x:c r="J10" s="502" t="str"/>
      <x:c r="K10" s="483" t="str"/>
      <x:c r="L10" s="483" t="str"/>
    </x:row>
    <x:row r="11" ht="78" customHeight="1">
      <x:c r="A11" s="485" t="str">
        <x:v>F01</x:v>
      </x:c>
      <x:c r="B11" s="485" t="n">
        <x:v>6</x:v>
      </x:c>
      <x:c r="C11" s="485" t="str">
        <x:v>反制发起和授权</x:v>
      </x:c>
      <x:c r="D11" s="485" t="str">
        <x:v>手动 / 手动 / 手动</x:v>
      </x:c>
      <x:c r="E11" s="423" t="str">
        <x:v>等待人工接手，发起申请；换有权审批账号批准，再由执行账号操作测试设备。</x:v>
      </x:c>
      <x:c r="F11" s="423" t="str">
        <x:v>未人工办理不自动发起；审批、授权有效后才下发；人员权限与设备资格正确。</x:v>
      </x:c>
      <x:c r="G11" s="483" t="str">
        <x:v>还没测</x:v>
      </x:c>
      <x:c r="H11" s="483" t="str"/>
      <x:c r="I11" s="483" t="str"/>
      <x:c r="J11" s="502" t="str"/>
      <x:c r="K11" s="483" t="str"/>
      <x:c r="L11" s="483" t="str"/>
    </x:row>
    <x:row r="12" ht="78" customHeight="1">
      <x:c r="A12" s="485" t="str">
        <x:v>F01</x:v>
      </x:c>
      <x:c r="B12" s="485" t="n">
        <x:v>7</x:v>
      </x:c>
      <x:c r="C12" s="485" t="str">
        <x:v>设备下发与实际结果</x:v>
      </x:c>
      <x:c r="D12" s="485" t="str">
        <x:v>手动 / 手动 / 手动</x:v>
      </x:c>
      <x:c r="E12" s="423" t="str">
        <x:v>核对同一授权的设备、命令、受理和实际回执；失败、超时及急停分支分别留证。</x:v>
      </x:c>
      <x:c r="F12" s="423" t="str">
        <x:v>主链取得明确测试执行结果；提交不等于成功，未知不盲目重发，急停不等于已经停机。</x:v>
      </x:c>
      <x:c r="G12" s="483" t="str">
        <x:v>还没测</x:v>
      </x:c>
      <x:c r="H12" s="483" t="str"/>
      <x:c r="I12" s="483" t="str"/>
      <x:c r="J12" s="502" t="str"/>
      <x:c r="K12" s="483" t="str"/>
      <x:c r="L12" s="483" t="str"/>
    </x:row>
    <x:row r="13" ht="78" customHeight="1">
      <x:c r="A13" s="485" t="str">
        <x:v>F01</x:v>
      </x:c>
      <x:c r="B13" s="485" t="n">
        <x:v>8</x:v>
      </x:c>
      <x:c r="C13" s="485" t="str">
        <x:v>移送送达签收与办理结果</x:v>
      </x:c>
      <x:c r="D13" s="485" t="str">
        <x:v>手动 / 手动 / 手动</x:v>
      </x:c>
      <x:c r="E13" s="423" t="str">
        <x:v>设备结果满足条件后，先确认系统等待人工，再由有权人员通知处罚部门。 回读交接材料、送达、签收和办理结果。</x:v>
      </x:c>
      <x:c r="F13" s="423" t="str">
        <x:v>通知方式符合配置。发送、送达、签收分开；有正式办理结果才展示，没有就明确尚无结果，不能强行显示处罚完成。</x:v>
      </x:c>
      <x:c r="G13" s="483" t="str">
        <x:v>还没测</x:v>
      </x:c>
      <x:c r="H13" s="483" t="str"/>
      <x:c r="I13" s="483" t="str"/>
      <x:c r="J13" s="502" t="str"/>
      <x:c r="K13" s="483" t="str"/>
      <x:c r="L13" s="483" t="str"/>
    </x:row>
    <x:row r="14" ht="78" customHeight="1">
      <x:c r="A14" s="485" t="str">
        <x:v>F01</x:v>
      </x:c>
      <x:c r="B14" s="485" t="n">
        <x:v>9</x:v>
      </x:c>
      <x:c r="C14" s="485" t="str">
        <x:v>证据统计与跨页一致</x:v>
      </x:c>
      <x:c r="D14" s="485" t="str">
        <x:v>手动 / 手动 / 手动</x:v>
      </x:c>
      <x:c r="E14" s="423" t="str">
        <x:v>在证据、统计、告警、计划和移送页按同一事件核对。记录所有关联编号和重要时间。</x:v>
      </x:c>
      <x:c r="F14" s="423" t="str">
        <x:v>原始与冻结材料完整；事件、授权、命令、通知、交接能互相对应；统计按真实事实计数，不把签收当结案。</x:v>
      </x:c>
      <x:c r="G14" s="483" t="str">
        <x:v>还没测</x:v>
      </x:c>
      <x:c r="H14" s="483" t="str"/>
      <x:c r="I14" s="483" t="str"/>
      <x:c r="J14" s="502" t="str"/>
      <x:c r="K14" s="483" t="str"/>
      <x:c r="L14" s="483" t="str"/>
    </x:row>
    <x:row r="15" ht="78" customHeight="1">
      <x:c r="A15" s="485" t="str">
        <x:v>F01</x:v>
      </x:c>
      <x:c r="B15" s="485" t="n">
        <x:v>10</x:v>
      </x:c>
      <x:c r="C15" s="485" t="str">
        <x:v>关闭页面与重登复查</x:v>
      </x:c>
      <x:c r="D15" s="485" t="str">
        <x:v>手动 / 手动 / 手动</x:v>
      </x:c>
      <x:c r="E15" s="423" t="str">
        <x:v>本轮适用的自动等待阶段关闭页面再打开；结束后刷新、退出重登。核对动作次数并停止模拟。</x:v>
      </x:c>
      <x:c r="F15" s="423" t="str">
        <x:v>自动办理不依赖页面打开；刷新重登不重复动作；最终结果稳定，历史保留，模拟任务已明确停止。</x:v>
      </x:c>
      <x:c r="G15" s="483" t="str">
        <x:v>还没测</x:v>
      </x:c>
      <x:c r="H15" s="483" t="str"/>
      <x:c r="I15" s="483" t="str"/>
      <x:c r="J15" s="502" t="str"/>
      <x:c r="K15" s="483" t="str"/>
      <x:c r="L15" s="483" t="str"/>
    </x:row>
    <x:row r="16" ht="78" customHeight="1">
      <x:c r="A16" s="486" t="str">
        <x:v>F02</x:v>
      </x:c>
      <x:c r="B16" s="486" t="n">
        <x:v>1</x:v>
      </x:c>
      <x:c r="C16" s="486" t="str">
        <x:v>后台配置与测试准备</x:v>
      </x:c>
      <x:c r="D16" s="486" t="str">
        <x:v>手动 / 手动 / 自动</x:v>
      </x:c>
      <x:c r="E16" s="424" t="str">
        <x:v>按M2设置三类规则，并保存回读。记录有效时长、账号、范围、设备、通道和规则版本。</x:v>
      </x:c>
      <x:c r="F16" s="424" t="str">
        <x:v>实际运行设置与本轮相符；模拟通道可用。无。按组合从头执行。</x:v>
      </x:c>
      <x:c r="G16" s="503" t="str">
        <x:v>还没测</x:v>
      </x:c>
      <x:c r="H16" s="503" t="str"/>
      <x:c r="I16" s="503" t="str"/>
      <x:c r="J16" s="504" t="str"/>
      <x:c r="K16" s="503" t="str"/>
      <x:c r="L16" s="503" t="str"/>
    </x:row>
    <x:row r="17" ht="78" customHeight="1">
      <x:c r="A17" s="487" t="str">
        <x:v>F02</x:v>
      </x:c>
      <x:c r="B17" s="487" t="n">
        <x:v>2</x:v>
      </x:c>
      <x:c r="C17" s="487" t="str">
        <x:v>输入数据并识别目标</x:v>
      </x:c>
      <x:c r="D17" s="487" t="str">
        <x:v>手动 / 手动 / 自动</x:v>
      </x:c>
      <x:c r="E17" s="425" t="str">
        <x:v>启动新批次，通过获准入口输入计划和目标数据；记录唯一目标、计划和设备编号。</x:v>
      </x:c>
      <x:c r="F17" s="425" t="str">
        <x:v>能在融合感知查到同一目标，位置、时间和模拟标记正确；发送成功不代替平台已接收。</x:v>
      </x:c>
      <x:c r="G17" s="483" t="str">
        <x:v>还没测</x:v>
      </x:c>
      <x:c r="H17" s="483" t="str"/>
      <x:c r="I17" s="483" t="str"/>
      <x:c r="J17" s="502" t="str"/>
      <x:c r="K17" s="483" t="str"/>
      <x:c r="L17" s="483" t="str"/>
    </x:row>
    <x:row r="18" ht="78" customHeight="1">
      <x:c r="A18" s="487" t="str">
        <x:v>F02</x:v>
      </x:c>
      <x:c r="B18" s="487" t="n">
        <x:v>3</x:v>
      </x:c>
      <x:c r="C18" s="487" t="str">
        <x:v>研判和告警关联</x:v>
      </x:c>
      <x:c r="D18" s="487" t="str">
        <x:v>手动 / 手动 / 自动</x:v>
      </x:c>
      <x:c r="E18" s="425" t="str">
        <x:v>打开计划、合法性研判和告警，核对同一目标、计划、研判和事件关系。</x:v>
      </x:c>
      <x:c r="F18" s="425" t="str">
        <x:v>主链准备明确违规且证据充分的事件；各页同一事实。若本轮是合法或误报分支，按该分支正确阻止后续。</x:v>
      </x:c>
      <x:c r="G18" s="483" t="str">
        <x:v>还没测</x:v>
      </x:c>
      <x:c r="H18" s="483" t="str"/>
      <x:c r="I18" s="483" t="str"/>
      <x:c r="J18" s="502" t="str"/>
      <x:c r="K18" s="483" t="str"/>
      <x:c r="L18" s="483" t="str"/>
    </x:row>
    <x:row r="19" ht="78" customHeight="1">
      <x:c r="A19" s="487" t="str">
        <x:v>F02</x:v>
      </x:c>
      <x:c r="B19" s="487" t="n">
        <x:v>4</x:v>
      </x:c>
      <x:c r="C19" s="487" t="str">
        <x:v>核实告警</x:v>
      </x:c>
      <x:c r="D19" s="487" t="str">
        <x:v>手动 / 手动 / 自动</x:v>
      </x:c>
      <x:c r="E19" s="425" t="str">
        <x:v>用值班账号核实属实；提交前先观察系统是否等待人工。</x:v>
      </x:c>
      <x:c r="F19" s="425" t="str">
        <x:v>手动模式不自动核实；有权人员提交后记录真实操作人并进入后续阶段。</x:v>
      </x:c>
      <x:c r="G19" s="483" t="str">
        <x:v>还没测</x:v>
      </x:c>
      <x:c r="H19" s="483" t="str"/>
      <x:c r="I19" s="483" t="str"/>
      <x:c r="J19" s="502" t="str"/>
      <x:c r="K19" s="483" t="str"/>
      <x:c r="L19" s="483" t="str"/>
    </x:row>
    <x:row r="20" ht="78" customHeight="1">
      <x:c r="A20" s="487" t="str">
        <x:v>F02</x:v>
      </x:c>
      <x:c r="B20" s="487" t="n">
        <x:v>5</x:v>
      </x:c>
      <x:c r="C20" s="487" t="str">
        <x:v>飞手通知和位置观察</x:v>
      </x:c>
      <x:c r="D20" s="487" t="str">
        <x:v>手动 / 手动 / 自动</x:v>
      </x:c>
      <x:c r="E20" s="425" t="str">
        <x:v>检查短信发送/送达、观察开始/结束、电话接通/播放与新位置；按本轮条件操作目标。</x:v>
      </x:c>
      <x:c r="F20" s="425" t="str">
        <x:v>主链持续在域时按已确认时长推进到待反制；短信、电话、飞离各凭自己的真实依据。</x:v>
      </x:c>
      <x:c r="G20" s="483" t="str">
        <x:v>还没测</x:v>
      </x:c>
      <x:c r="H20" s="483" t="str"/>
      <x:c r="I20" s="483" t="str"/>
      <x:c r="J20" s="502" t="str"/>
      <x:c r="K20" s="483" t="str"/>
      <x:c r="L20" s="483" t="str"/>
    </x:row>
    <x:row r="21" ht="78" customHeight="1">
      <x:c r="A21" s="487" t="str">
        <x:v>F02</x:v>
      </x:c>
      <x:c r="B21" s="487" t="n">
        <x:v>6</x:v>
      </x:c>
      <x:c r="C21" s="487" t="str">
        <x:v>反制发起和授权</x:v>
      </x:c>
      <x:c r="D21" s="487" t="str">
        <x:v>手动 / 手动 / 自动</x:v>
      </x:c>
      <x:c r="E21" s="425" t="str">
        <x:v>等待人工接手，发起申请；换有权审批账号批准，再由执行账号操作测试设备。</x:v>
      </x:c>
      <x:c r="F21" s="425" t="str">
        <x:v>未人工办理不自动发起；审批、授权有效后才下发；人员权限与设备资格正确。</x:v>
      </x:c>
      <x:c r="G21" s="483" t="str">
        <x:v>还没测</x:v>
      </x:c>
      <x:c r="H21" s="483" t="str"/>
      <x:c r="I21" s="483" t="str"/>
      <x:c r="J21" s="502" t="str"/>
      <x:c r="K21" s="483" t="str"/>
      <x:c r="L21" s="483" t="str"/>
    </x:row>
    <x:row r="22" ht="78" customHeight="1">
      <x:c r="A22" s="487" t="str">
        <x:v>F02</x:v>
      </x:c>
      <x:c r="B22" s="487" t="n">
        <x:v>7</x:v>
      </x:c>
      <x:c r="C22" s="487" t="str">
        <x:v>设备下发与实际结果</x:v>
      </x:c>
      <x:c r="D22" s="487" t="str">
        <x:v>手动 / 手动 / 自动</x:v>
      </x:c>
      <x:c r="E22" s="425" t="str">
        <x:v>核对同一授权的设备、命令、受理和实际回执；失败、超时及急停分支分别留证。</x:v>
      </x:c>
      <x:c r="F22" s="425" t="str">
        <x:v>主链取得明确测试执行结果；提交不等于成功，未知不盲目重发，急停不等于已经停机。</x:v>
      </x:c>
      <x:c r="G22" s="483" t="str">
        <x:v>还没测</x:v>
      </x:c>
      <x:c r="H22" s="483" t="str"/>
      <x:c r="I22" s="483" t="str"/>
      <x:c r="J22" s="502" t="str"/>
      <x:c r="K22" s="483" t="str"/>
      <x:c r="L22" s="483" t="str"/>
    </x:row>
    <x:row r="23" ht="78" customHeight="1">
      <x:c r="A23" s="487" t="str">
        <x:v>F02</x:v>
      </x:c>
      <x:c r="B23" s="487" t="n">
        <x:v>8</x:v>
      </x:c>
      <x:c r="C23" s="487" t="str">
        <x:v>移送送达签收与办理结果</x:v>
      </x:c>
      <x:c r="D23" s="487" t="str">
        <x:v>手动 / 手动 / 自动</x:v>
      </x:c>
      <x:c r="E23" s="425" t="str">
        <x:v>设备结果满足通知处罚条件后，不点击通知按钮，观察自动办理。 回读交接材料、送达、签收和办理结果。</x:v>
      </x:c>
      <x:c r="F23" s="425" t="str">
        <x:v>通知方式符合配置。发送、送达、签收分开；有正式办理结果才展示，没有就明确尚无结果，不能强行显示处罚完成。</x:v>
      </x:c>
      <x:c r="G23" s="483" t="str">
        <x:v>还没测</x:v>
      </x:c>
      <x:c r="H23" s="483" t="str"/>
      <x:c r="I23" s="483" t="str"/>
      <x:c r="J23" s="502" t="str"/>
      <x:c r="K23" s="483" t="str"/>
      <x:c r="L23" s="483" t="str"/>
    </x:row>
    <x:row r="24" ht="78" customHeight="1">
      <x:c r="A24" s="487" t="str">
        <x:v>F02</x:v>
      </x:c>
      <x:c r="B24" s="487" t="n">
        <x:v>9</x:v>
      </x:c>
      <x:c r="C24" s="487" t="str">
        <x:v>证据统计与跨页一致</x:v>
      </x:c>
      <x:c r="D24" s="487" t="str">
        <x:v>手动 / 手动 / 自动</x:v>
      </x:c>
      <x:c r="E24" s="425" t="str">
        <x:v>在证据、统计、告警、计划和移送页按同一事件核对。记录所有关联编号和重要时间。</x:v>
      </x:c>
      <x:c r="F24" s="425" t="str">
        <x:v>原始与冻结材料完整；事件、授权、命令、通知、交接能互相对应；统计按真实事实计数，不把签收当结案。</x:v>
      </x:c>
      <x:c r="G24" s="483" t="str">
        <x:v>还没测</x:v>
      </x:c>
      <x:c r="H24" s="483" t="str"/>
      <x:c r="I24" s="483" t="str"/>
      <x:c r="J24" s="502" t="str"/>
      <x:c r="K24" s="483" t="str"/>
      <x:c r="L24" s="483" t="str"/>
    </x:row>
    <x:row r="25" ht="78" customHeight="1">
      <x:c r="A25" s="487" t="str">
        <x:v>F02</x:v>
      </x:c>
      <x:c r="B25" s="487" t="n">
        <x:v>10</x:v>
      </x:c>
      <x:c r="C25" s="487" t="str">
        <x:v>关闭页面与重登复查</x:v>
      </x:c>
      <x:c r="D25" s="487" t="str">
        <x:v>手动 / 手动 / 自动</x:v>
      </x:c>
      <x:c r="E25" s="425" t="str">
        <x:v>本轮适用的自动等待阶段关闭页面再打开；结束后刷新、退出重登。核对动作次数并停止模拟。</x:v>
      </x:c>
      <x:c r="F25" s="425" t="str">
        <x:v>自动办理不依赖页面打开；刷新重登不重复动作；最终结果稳定，历史保留，模拟任务已明确停止。</x:v>
      </x:c>
      <x:c r="G25" s="483" t="str">
        <x:v>还没测</x:v>
      </x:c>
      <x:c r="H25" s="483" t="str"/>
      <x:c r="I25" s="483" t="str"/>
      <x:c r="J25" s="502" t="str"/>
      <x:c r="K25" s="483" t="str"/>
      <x:c r="L25" s="483" t="str"/>
    </x:row>
    <x:row r="26" ht="78" customHeight="1">
      <x:c r="A26" s="488" t="str">
        <x:v>F03</x:v>
      </x:c>
      <x:c r="B26" s="488" t="n">
        <x:v>1</x:v>
      </x:c>
      <x:c r="C26" s="488" t="str">
        <x:v>后台配置与测试准备</x:v>
      </x:c>
      <x:c r="D26" s="488" t="str">
        <x:v>手动 / 自动 / 手动</x:v>
      </x:c>
      <x:c r="E26" s="426" t="str">
        <x:v>按M3设置三类规则，并保存回读。记录有效时长、账号、范围、设备、通道和规则版本。</x:v>
      </x:c>
      <x:c r="F26" s="426" t="str">
        <x:v>实际运行设置与本轮相符；模拟通道可用。无。按组合从头执行。</x:v>
      </x:c>
      <x:c r="G26" s="505" t="str">
        <x:v>还没测</x:v>
      </x:c>
      <x:c r="H26" s="505" t="str"/>
      <x:c r="I26" s="505" t="str"/>
      <x:c r="J26" s="506" t="str"/>
      <x:c r="K26" s="505" t="str"/>
      <x:c r="L26" s="505" t="str"/>
    </x:row>
    <x:row r="27" ht="78" customHeight="1">
      <x:c r="A27" s="489" t="str">
        <x:v>F03</x:v>
      </x:c>
      <x:c r="B27" s="489" t="n">
        <x:v>2</x:v>
      </x:c>
      <x:c r="C27" s="489" t="str">
        <x:v>输入数据并识别目标</x:v>
      </x:c>
      <x:c r="D27" s="489" t="str">
        <x:v>手动 / 自动 / 手动</x:v>
      </x:c>
      <x:c r="E27" s="427" t="str">
        <x:v>启动新批次，通过获准入口输入计划和目标数据；记录唯一目标、计划和设备编号。</x:v>
      </x:c>
      <x:c r="F27" s="427" t="str">
        <x:v>能在融合感知查到同一目标，位置、时间和模拟标记正确；发送成功不代替平台已接收。</x:v>
      </x:c>
      <x:c r="G27" s="483" t="str">
        <x:v>还没测</x:v>
      </x:c>
      <x:c r="H27" s="483" t="str"/>
      <x:c r="I27" s="483" t="str"/>
      <x:c r="J27" s="502" t="str"/>
      <x:c r="K27" s="483" t="str"/>
      <x:c r="L27" s="483" t="str"/>
    </x:row>
    <x:row r="28" ht="78" customHeight="1">
      <x:c r="A28" s="489" t="str">
        <x:v>F03</x:v>
      </x:c>
      <x:c r="B28" s="489" t="n">
        <x:v>3</x:v>
      </x:c>
      <x:c r="C28" s="489" t="str">
        <x:v>研判和告警关联</x:v>
      </x:c>
      <x:c r="D28" s="489" t="str">
        <x:v>手动 / 自动 / 手动</x:v>
      </x:c>
      <x:c r="E28" s="427" t="str">
        <x:v>打开计划、合法性研判和告警，核对同一目标、计划、研判和事件关系。</x:v>
      </x:c>
      <x:c r="F28" s="427" t="str">
        <x:v>主链准备明确违规且证据充分的事件；各页同一事实。若本轮是合法或误报分支，按该分支正确阻止后续。</x:v>
      </x:c>
      <x:c r="G28" s="483" t="str">
        <x:v>还没测</x:v>
      </x:c>
      <x:c r="H28" s="483" t="str"/>
      <x:c r="I28" s="483" t="str"/>
      <x:c r="J28" s="502" t="str"/>
      <x:c r="K28" s="483" t="str"/>
      <x:c r="L28" s="483" t="str"/>
    </x:row>
    <x:row r="29" ht="78" customHeight="1">
      <x:c r="A29" s="489" t="str">
        <x:v>F03</x:v>
      </x:c>
      <x:c r="B29" s="489" t="n">
        <x:v>4</x:v>
      </x:c>
      <x:c r="C29" s="489" t="str">
        <x:v>核实告警</x:v>
      </x:c>
      <x:c r="D29" s="489" t="str">
        <x:v>手动 / 自动 / 手动</x:v>
      </x:c>
      <x:c r="E29" s="427" t="str">
        <x:v>用值班账号核实属实；提交前先观察系统是否等待人工。</x:v>
      </x:c>
      <x:c r="F29" s="427" t="str">
        <x:v>手动模式不自动核实；有权人员提交后记录真实操作人并进入后续阶段。</x:v>
      </x:c>
      <x:c r="G29" s="483" t="str">
        <x:v>还没测</x:v>
      </x:c>
      <x:c r="H29" s="483" t="str"/>
      <x:c r="I29" s="483" t="str"/>
      <x:c r="J29" s="502" t="str"/>
      <x:c r="K29" s="483" t="str"/>
      <x:c r="L29" s="483" t="str"/>
    </x:row>
    <x:row r="30" ht="78" customHeight="1">
      <x:c r="A30" s="489" t="str">
        <x:v>F03</x:v>
      </x:c>
      <x:c r="B30" s="489" t="n">
        <x:v>5</x:v>
      </x:c>
      <x:c r="C30" s="489" t="str">
        <x:v>飞手通知和位置观察</x:v>
      </x:c>
      <x:c r="D30" s="489" t="str">
        <x:v>手动 / 自动 / 手动</x:v>
      </x:c>
      <x:c r="E30" s="427" t="str">
        <x:v>检查短信发送/送达、观察开始/结束、电话接通/播放与新位置；按本轮条件操作目标。</x:v>
      </x:c>
      <x:c r="F30" s="427" t="str">
        <x:v>主链持续在域时按已确认时长推进到待反制；短信、电话、飞离各凭自己的真实依据。</x:v>
      </x:c>
      <x:c r="G30" s="483" t="str">
        <x:v>还没测</x:v>
      </x:c>
      <x:c r="H30" s="483" t="str"/>
      <x:c r="I30" s="483" t="str"/>
      <x:c r="J30" s="502" t="str"/>
      <x:c r="K30" s="483" t="str"/>
      <x:c r="L30" s="483" t="str"/>
    </x:row>
    <x:row r="31" ht="78" customHeight="1">
      <x:c r="A31" s="489" t="str">
        <x:v>F03</x:v>
      </x:c>
      <x:c r="B31" s="489" t="n">
        <x:v>6</x:v>
      </x:c>
      <x:c r="C31" s="489" t="str">
        <x:v>反制发起和授权</x:v>
      </x:c>
      <x:c r="D31" s="489" t="str">
        <x:v>手动 / 自动 / 手动</x:v>
      </x:c>
      <x:c r="E31" s="427" t="str">
        <x:v>进入待反制后不点发起，等待规则满足；检查当前证据和唯一可用测试设备。</x:v>
      </x:c>
      <x:c r="F31" s="427" t="str">
        <x:v>符合条件才由系统发起；记录系统身份和实际授权依据，不伪造人工审批。</x:v>
      </x:c>
      <x:c r="G31" s="483" t="str">
        <x:v>还没测</x:v>
      </x:c>
      <x:c r="H31" s="483" t="str"/>
      <x:c r="I31" s="483" t="str"/>
      <x:c r="J31" s="502" t="str"/>
      <x:c r="K31" s="483" t="str"/>
      <x:c r="L31" s="483" t="str"/>
    </x:row>
    <x:row r="32" ht="78" customHeight="1">
      <x:c r="A32" s="489" t="str">
        <x:v>F03</x:v>
      </x:c>
      <x:c r="B32" s="489" t="n">
        <x:v>7</x:v>
      </x:c>
      <x:c r="C32" s="489" t="str">
        <x:v>设备下发与实际结果</x:v>
      </x:c>
      <x:c r="D32" s="489" t="str">
        <x:v>手动 / 自动 / 手动</x:v>
      </x:c>
      <x:c r="E32" s="427" t="str">
        <x:v>核对同一授权的设备、命令、受理和实际回执；失败、超时及急停分支分别留证。</x:v>
      </x:c>
      <x:c r="F32" s="427" t="str">
        <x:v>主链取得明确测试执行结果；提交不等于成功，未知不盲目重发，急停不等于已经停机。</x:v>
      </x:c>
      <x:c r="G32" s="483" t="str">
        <x:v>还没测</x:v>
      </x:c>
      <x:c r="H32" s="483" t="str"/>
      <x:c r="I32" s="483" t="str"/>
      <x:c r="J32" s="502" t="str"/>
      <x:c r="K32" s="483" t="str"/>
      <x:c r="L32" s="483" t="str"/>
    </x:row>
    <x:row r="33" ht="78" customHeight="1">
      <x:c r="A33" s="489" t="str">
        <x:v>F03</x:v>
      </x:c>
      <x:c r="B33" s="489" t="n">
        <x:v>8</x:v>
      </x:c>
      <x:c r="C33" s="489" t="str">
        <x:v>移送送达签收与办理结果</x:v>
      </x:c>
      <x:c r="D33" s="489" t="str">
        <x:v>手动 / 自动 / 手动</x:v>
      </x:c>
      <x:c r="E33" s="427" t="str">
        <x:v>设备结果满足条件后，先确认系统等待人工，再由有权人员通知处罚部门。 回读交接材料、送达、签收和办理结果。</x:v>
      </x:c>
      <x:c r="F33" s="427" t="str">
        <x:v>通知方式符合配置。发送、送达、签收分开；有正式办理结果才展示，没有就明确尚无结果，不能强行显示处罚完成。</x:v>
      </x:c>
      <x:c r="G33" s="483" t="str">
        <x:v>还没测</x:v>
      </x:c>
      <x:c r="H33" s="483" t="str"/>
      <x:c r="I33" s="483" t="str"/>
      <x:c r="J33" s="502" t="str"/>
      <x:c r="K33" s="483" t="str"/>
      <x:c r="L33" s="483" t="str"/>
    </x:row>
    <x:row r="34" ht="78" customHeight="1">
      <x:c r="A34" s="489" t="str">
        <x:v>F03</x:v>
      </x:c>
      <x:c r="B34" s="489" t="n">
        <x:v>9</x:v>
      </x:c>
      <x:c r="C34" s="489" t="str">
        <x:v>证据统计与跨页一致</x:v>
      </x:c>
      <x:c r="D34" s="489" t="str">
        <x:v>手动 / 自动 / 手动</x:v>
      </x:c>
      <x:c r="E34" s="427" t="str">
        <x:v>在证据、统计、告警、计划和移送页按同一事件核对。记录所有关联编号和重要时间。</x:v>
      </x:c>
      <x:c r="F34" s="427" t="str">
        <x:v>原始与冻结材料完整；事件、授权、命令、通知、交接能互相对应；统计按真实事实计数，不把签收当结案。</x:v>
      </x:c>
      <x:c r="G34" s="483" t="str">
        <x:v>还没测</x:v>
      </x:c>
      <x:c r="H34" s="483" t="str"/>
      <x:c r="I34" s="483" t="str"/>
      <x:c r="J34" s="502" t="str"/>
      <x:c r="K34" s="483" t="str"/>
      <x:c r="L34" s="483" t="str"/>
    </x:row>
    <x:row r="35" ht="78" customHeight="1">
      <x:c r="A35" s="489" t="str">
        <x:v>F03</x:v>
      </x:c>
      <x:c r="B35" s="489" t="n">
        <x:v>10</x:v>
      </x:c>
      <x:c r="C35" s="489" t="str">
        <x:v>关闭页面与重登复查</x:v>
      </x:c>
      <x:c r="D35" s="489" t="str">
        <x:v>手动 / 自动 / 手动</x:v>
      </x:c>
      <x:c r="E35" s="427" t="str">
        <x:v>本轮适用的自动等待阶段关闭页面再打开；结束后刷新、退出重登。核对动作次数并停止模拟。</x:v>
      </x:c>
      <x:c r="F35" s="427" t="str">
        <x:v>自动办理不依赖页面打开；刷新重登不重复动作；最终结果稳定，历史保留，模拟任务已明确停止。</x:v>
      </x:c>
      <x:c r="G35" s="483" t="str">
        <x:v>还没测</x:v>
      </x:c>
      <x:c r="H35" s="483" t="str"/>
      <x:c r="I35" s="483" t="str"/>
      <x:c r="J35" s="502" t="str"/>
      <x:c r="K35" s="483" t="str"/>
      <x:c r="L35" s="483" t="str"/>
    </x:row>
    <x:row r="36" ht="78" customHeight="1">
      <x:c r="A36" s="490" t="str">
        <x:v>F04</x:v>
      </x:c>
      <x:c r="B36" s="490" t="n">
        <x:v>1</x:v>
      </x:c>
      <x:c r="C36" s="490" t="str">
        <x:v>后台配置与测试准备</x:v>
      </x:c>
      <x:c r="D36" s="490" t="str">
        <x:v>手动 / 自动 / 自动</x:v>
      </x:c>
      <x:c r="E36" s="428" t="str">
        <x:v>按M4设置三类规则，并保存回读。记录有效时长、账号、范围、设备、通道和规则版本。</x:v>
      </x:c>
      <x:c r="F36" s="428" t="str">
        <x:v>实际运行设置与本轮相符；模拟通道可用。无。按组合从头执行。</x:v>
      </x:c>
      <x:c r="G36" s="507" t="str">
        <x:v>还没测</x:v>
      </x:c>
      <x:c r="H36" s="507" t="str"/>
      <x:c r="I36" s="507" t="str"/>
      <x:c r="J36" s="508" t="str"/>
      <x:c r="K36" s="507" t="str"/>
      <x:c r="L36" s="507" t="str"/>
    </x:row>
    <x:row r="37" ht="78" customHeight="1">
      <x:c r="A37" s="491" t="str">
        <x:v>F04</x:v>
      </x:c>
      <x:c r="B37" s="491" t="n">
        <x:v>2</x:v>
      </x:c>
      <x:c r="C37" s="491" t="str">
        <x:v>输入数据并识别目标</x:v>
      </x:c>
      <x:c r="D37" s="491" t="str">
        <x:v>手动 / 自动 / 自动</x:v>
      </x:c>
      <x:c r="E37" s="429" t="str">
        <x:v>启动新批次，通过获准入口输入计划和目标数据；记录唯一目标、计划和设备编号。</x:v>
      </x:c>
      <x:c r="F37" s="429" t="str">
        <x:v>能在融合感知查到同一目标，位置、时间和模拟标记正确；发送成功不代替平台已接收。</x:v>
      </x:c>
      <x:c r="G37" s="483" t="str">
        <x:v>还没测</x:v>
      </x:c>
      <x:c r="H37" s="483" t="str"/>
      <x:c r="I37" s="483" t="str"/>
      <x:c r="J37" s="502" t="str"/>
      <x:c r="K37" s="483" t="str"/>
      <x:c r="L37" s="483" t="str"/>
    </x:row>
    <x:row r="38" ht="78" customHeight="1">
      <x:c r="A38" s="491" t="str">
        <x:v>F04</x:v>
      </x:c>
      <x:c r="B38" s="491" t="n">
        <x:v>3</x:v>
      </x:c>
      <x:c r="C38" s="491" t="str">
        <x:v>研判和告警关联</x:v>
      </x:c>
      <x:c r="D38" s="491" t="str">
        <x:v>手动 / 自动 / 自动</x:v>
      </x:c>
      <x:c r="E38" s="429" t="str">
        <x:v>打开计划、合法性研判和告警，核对同一目标、计划、研判和事件关系。</x:v>
      </x:c>
      <x:c r="F38" s="429" t="str">
        <x:v>主链准备明确违规且证据充分的事件；各页同一事实。若本轮是合法或误报分支，按该分支正确阻止后续。</x:v>
      </x:c>
      <x:c r="G38" s="483" t="str">
        <x:v>还没测</x:v>
      </x:c>
      <x:c r="H38" s="483" t="str"/>
      <x:c r="I38" s="483" t="str"/>
      <x:c r="J38" s="502" t="str"/>
      <x:c r="K38" s="483" t="str"/>
      <x:c r="L38" s="483" t="str"/>
    </x:row>
    <x:row r="39" ht="78" customHeight="1">
      <x:c r="A39" s="491" t="str">
        <x:v>F04</x:v>
      </x:c>
      <x:c r="B39" s="491" t="n">
        <x:v>4</x:v>
      </x:c>
      <x:c r="C39" s="491" t="str">
        <x:v>核实告警</x:v>
      </x:c>
      <x:c r="D39" s="491" t="str">
        <x:v>手动 / 自动 / 自动</x:v>
      </x:c>
      <x:c r="E39" s="429" t="str">
        <x:v>用值班账号核实属实；提交前先观察系统是否等待人工。</x:v>
      </x:c>
      <x:c r="F39" s="429" t="str">
        <x:v>手动模式不自动核实；有权人员提交后记录真实操作人并进入后续阶段。</x:v>
      </x:c>
      <x:c r="G39" s="483" t="str">
        <x:v>还没测</x:v>
      </x:c>
      <x:c r="H39" s="483" t="str"/>
      <x:c r="I39" s="483" t="str"/>
      <x:c r="J39" s="502" t="str"/>
      <x:c r="K39" s="483" t="str"/>
      <x:c r="L39" s="483" t="str"/>
    </x:row>
    <x:row r="40" ht="78" customHeight="1">
      <x:c r="A40" s="491" t="str">
        <x:v>F04</x:v>
      </x:c>
      <x:c r="B40" s="491" t="n">
        <x:v>5</x:v>
      </x:c>
      <x:c r="C40" s="491" t="str">
        <x:v>飞手通知和位置观察</x:v>
      </x:c>
      <x:c r="D40" s="491" t="str">
        <x:v>手动 / 自动 / 自动</x:v>
      </x:c>
      <x:c r="E40" s="429" t="str">
        <x:v>检查短信发送/送达、观察开始/结束、电话接通/播放与新位置；按本轮条件操作目标。</x:v>
      </x:c>
      <x:c r="F40" s="429" t="str">
        <x:v>主链持续在域时按已确认时长推进到待反制；短信、电话、飞离各凭自己的真实依据。</x:v>
      </x:c>
      <x:c r="G40" s="483" t="str">
        <x:v>还没测</x:v>
      </x:c>
      <x:c r="H40" s="483" t="str"/>
      <x:c r="I40" s="483" t="str"/>
      <x:c r="J40" s="502" t="str"/>
      <x:c r="K40" s="483" t="str"/>
      <x:c r="L40" s="483" t="str"/>
    </x:row>
    <x:row r="41" ht="78" customHeight="1">
      <x:c r="A41" s="491" t="str">
        <x:v>F04</x:v>
      </x:c>
      <x:c r="B41" s="491" t="n">
        <x:v>6</x:v>
      </x:c>
      <x:c r="C41" s="491" t="str">
        <x:v>反制发起和授权</x:v>
      </x:c>
      <x:c r="D41" s="491" t="str">
        <x:v>手动 / 自动 / 自动</x:v>
      </x:c>
      <x:c r="E41" s="429" t="str">
        <x:v>进入待反制后不点发起，等待规则满足；检查当前证据和唯一可用测试设备。</x:v>
      </x:c>
      <x:c r="F41" s="429" t="str">
        <x:v>符合条件才由系统发起；记录系统身份和实际授权依据，不伪造人工审批。</x:v>
      </x:c>
      <x:c r="G41" s="483" t="str">
        <x:v>还没测</x:v>
      </x:c>
      <x:c r="H41" s="483" t="str"/>
      <x:c r="I41" s="483" t="str"/>
      <x:c r="J41" s="502" t="str"/>
      <x:c r="K41" s="483" t="str"/>
      <x:c r="L41" s="483" t="str"/>
    </x:row>
    <x:row r="42" ht="78" customHeight="1">
      <x:c r="A42" s="491" t="str">
        <x:v>F04</x:v>
      </x:c>
      <x:c r="B42" s="491" t="n">
        <x:v>7</x:v>
      </x:c>
      <x:c r="C42" s="491" t="str">
        <x:v>设备下发与实际结果</x:v>
      </x:c>
      <x:c r="D42" s="491" t="str">
        <x:v>手动 / 自动 / 自动</x:v>
      </x:c>
      <x:c r="E42" s="429" t="str">
        <x:v>核对同一授权的设备、命令、受理和实际回执；失败、超时及急停分支分别留证。</x:v>
      </x:c>
      <x:c r="F42" s="429" t="str">
        <x:v>主链取得明确测试执行结果；提交不等于成功，未知不盲目重发，急停不等于已经停机。</x:v>
      </x:c>
      <x:c r="G42" s="483" t="str">
        <x:v>还没测</x:v>
      </x:c>
      <x:c r="H42" s="483" t="str"/>
      <x:c r="I42" s="483" t="str"/>
      <x:c r="J42" s="502" t="str"/>
      <x:c r="K42" s="483" t="str"/>
      <x:c r="L42" s="483" t="str"/>
    </x:row>
    <x:row r="43" ht="78" customHeight="1">
      <x:c r="A43" s="491" t="str">
        <x:v>F04</x:v>
      </x:c>
      <x:c r="B43" s="491" t="n">
        <x:v>8</x:v>
      </x:c>
      <x:c r="C43" s="491" t="str">
        <x:v>移送送达签收与办理结果</x:v>
      </x:c>
      <x:c r="D43" s="491" t="str">
        <x:v>手动 / 自动 / 自动</x:v>
      </x:c>
      <x:c r="E43" s="429" t="str">
        <x:v>设备结果满足通知处罚条件后，不点击通知按钮，观察自动办理。 回读交接材料、送达、签收和办理结果。</x:v>
      </x:c>
      <x:c r="F43" s="429" t="str">
        <x:v>通知方式符合配置。发送、送达、签收分开；有正式办理结果才展示，没有就明确尚无结果，不能强行显示处罚完成。</x:v>
      </x:c>
      <x:c r="G43" s="483" t="str">
        <x:v>还没测</x:v>
      </x:c>
      <x:c r="H43" s="483" t="str"/>
      <x:c r="I43" s="483" t="str"/>
      <x:c r="J43" s="502" t="str"/>
      <x:c r="K43" s="483" t="str"/>
      <x:c r="L43" s="483" t="str"/>
    </x:row>
    <x:row r="44" ht="78" customHeight="1">
      <x:c r="A44" s="491" t="str">
        <x:v>F04</x:v>
      </x:c>
      <x:c r="B44" s="491" t="n">
        <x:v>9</x:v>
      </x:c>
      <x:c r="C44" s="491" t="str">
        <x:v>证据统计与跨页一致</x:v>
      </x:c>
      <x:c r="D44" s="491" t="str">
        <x:v>手动 / 自动 / 自动</x:v>
      </x:c>
      <x:c r="E44" s="429" t="str">
        <x:v>在证据、统计、告警、计划和移送页按同一事件核对。记录所有关联编号和重要时间。</x:v>
      </x:c>
      <x:c r="F44" s="429" t="str">
        <x:v>原始与冻结材料完整；事件、授权、命令、通知、交接能互相对应；统计按真实事实计数，不把签收当结案。</x:v>
      </x:c>
      <x:c r="G44" s="483" t="str">
        <x:v>还没测</x:v>
      </x:c>
      <x:c r="H44" s="483" t="str"/>
      <x:c r="I44" s="483" t="str"/>
      <x:c r="J44" s="502" t="str"/>
      <x:c r="K44" s="483" t="str"/>
      <x:c r="L44" s="483" t="str"/>
    </x:row>
    <x:row r="45" ht="78" customHeight="1">
      <x:c r="A45" s="491" t="str">
        <x:v>F04</x:v>
      </x:c>
      <x:c r="B45" s="491" t="n">
        <x:v>10</x:v>
      </x:c>
      <x:c r="C45" s="491" t="str">
        <x:v>关闭页面与重登复查</x:v>
      </x:c>
      <x:c r="D45" s="491" t="str">
        <x:v>手动 / 自动 / 自动</x:v>
      </x:c>
      <x:c r="E45" s="429" t="str">
        <x:v>本轮适用的自动等待阶段关闭页面再打开；结束后刷新、退出重登。核对动作次数并停止模拟。</x:v>
      </x:c>
      <x:c r="F45" s="429" t="str">
        <x:v>自动办理不依赖页面打开；刷新重登不重复动作；最终结果稳定，历史保留，模拟任务已明确停止。</x:v>
      </x:c>
      <x:c r="G45" s="483" t="str">
        <x:v>还没测</x:v>
      </x:c>
      <x:c r="H45" s="483" t="str"/>
      <x:c r="I45" s="483" t="str"/>
      <x:c r="J45" s="502" t="str"/>
      <x:c r="K45" s="483" t="str"/>
      <x:c r="L45" s="483" t="str"/>
    </x:row>
    <x:row r="46" ht="78" customHeight="1">
      <x:c r="A46" s="492" t="str">
        <x:v>F05</x:v>
      </x:c>
      <x:c r="B46" s="492" t="n">
        <x:v>1</x:v>
      </x:c>
      <x:c r="C46" s="492" t="str">
        <x:v>后台配置与测试准备</x:v>
      </x:c>
      <x:c r="D46" s="492" t="str">
        <x:v>自动 / 手动 / 手动</x:v>
      </x:c>
      <x:c r="E46" s="430" t="str">
        <x:v>按M5设置三类规则，并保存回读。记录有效时长、账号、范围、设备、通道和规则版本。</x:v>
      </x:c>
      <x:c r="F46" s="430" t="str">
        <x:v>实际运行设置与本轮相符；模拟通道可用。无。按组合从头执行。</x:v>
      </x:c>
      <x:c r="G46" s="509" t="str">
        <x:v>还没测</x:v>
      </x:c>
      <x:c r="H46" s="509" t="str"/>
      <x:c r="I46" s="509" t="str"/>
      <x:c r="J46" s="510" t="str"/>
      <x:c r="K46" s="509" t="str"/>
      <x:c r="L46" s="509" t="str"/>
    </x:row>
    <x:row r="47" ht="78" customHeight="1">
      <x:c r="A47" s="493" t="str">
        <x:v>F05</x:v>
      </x:c>
      <x:c r="B47" s="493" t="n">
        <x:v>2</x:v>
      </x:c>
      <x:c r="C47" s="493" t="str">
        <x:v>输入数据并识别目标</x:v>
      </x:c>
      <x:c r="D47" s="493" t="str">
        <x:v>自动 / 手动 / 手动</x:v>
      </x:c>
      <x:c r="E47" s="431" t="str">
        <x:v>启动新批次，通过获准入口输入计划和目标数据；记录唯一目标、计划和设备编号。</x:v>
      </x:c>
      <x:c r="F47" s="431" t="str">
        <x:v>能在融合感知查到同一目标，位置、时间和模拟标记正确；发送成功不代替平台已接收。</x:v>
      </x:c>
      <x:c r="G47" s="483" t="str">
        <x:v>还没测</x:v>
      </x:c>
      <x:c r="H47" s="483" t="str"/>
      <x:c r="I47" s="483" t="str"/>
      <x:c r="J47" s="502" t="str"/>
      <x:c r="K47" s="483" t="str"/>
      <x:c r="L47" s="483" t="str"/>
    </x:row>
    <x:row r="48" ht="78" customHeight="1">
      <x:c r="A48" s="493" t="str">
        <x:v>F05</x:v>
      </x:c>
      <x:c r="B48" s="493" t="n">
        <x:v>3</x:v>
      </x:c>
      <x:c r="C48" s="493" t="str">
        <x:v>研判和告警关联</x:v>
      </x:c>
      <x:c r="D48" s="493" t="str">
        <x:v>自动 / 手动 / 手动</x:v>
      </x:c>
      <x:c r="E48" s="431" t="str">
        <x:v>打开计划、合法性研判和告警，核对同一目标、计划、研判和事件关系。</x:v>
      </x:c>
      <x:c r="F48" s="431" t="str">
        <x:v>主链准备明确违规且证据充分的事件；各页同一事实。若本轮是合法或误报分支，按该分支正确阻止后续。</x:v>
      </x:c>
      <x:c r="G48" s="483" t="str">
        <x:v>还没测</x:v>
      </x:c>
      <x:c r="H48" s="483" t="str"/>
      <x:c r="I48" s="483" t="str"/>
      <x:c r="J48" s="502" t="str"/>
      <x:c r="K48" s="483" t="str"/>
      <x:c r="L48" s="483" t="str"/>
    </x:row>
    <x:row r="49" ht="78" customHeight="1">
      <x:c r="A49" s="493" t="str">
        <x:v>F05</x:v>
      </x:c>
      <x:c r="B49" s="493" t="n">
        <x:v>4</x:v>
      </x:c>
      <x:c r="C49" s="493" t="str">
        <x:v>核实告警</x:v>
      </x:c>
      <x:c r="D49" s="493" t="str">
        <x:v>自动 / 手动 / 手动</x:v>
      </x:c>
      <x:c r="E49" s="431" t="str">
        <x:v>不点击核实，等待已启用规则满足。</x:v>
      </x:c>
      <x:c r="F49" s="431" t="str">
        <x:v>系统按规则核实一次；留有系统处理身份、时间和判定依据。</x:v>
      </x:c>
      <x:c r="G49" s="483" t="str">
        <x:v>还没测</x:v>
      </x:c>
      <x:c r="H49" s="483" t="str"/>
      <x:c r="I49" s="483" t="str"/>
      <x:c r="J49" s="502" t="str"/>
      <x:c r="K49" s="483" t="str"/>
      <x:c r="L49" s="483" t="str"/>
    </x:row>
    <x:row r="50" ht="78" customHeight="1">
      <x:c r="A50" s="493" t="str">
        <x:v>F05</x:v>
      </x:c>
      <x:c r="B50" s="493" t="n">
        <x:v>5</x:v>
      </x:c>
      <x:c r="C50" s="493" t="str">
        <x:v>飞手通知和位置观察</x:v>
      </x:c>
      <x:c r="D50" s="493" t="str">
        <x:v>自动 / 手动 / 手动</x:v>
      </x:c>
      <x:c r="E50" s="431" t="str">
        <x:v>检查短信发送/送达、观察开始/结束、电话接通/播放与新位置；按本轮条件操作目标。</x:v>
      </x:c>
      <x:c r="F50" s="431" t="str">
        <x:v>主链持续在域时按已确认时长推进到待反制；短信、电话、飞离各凭自己的真实依据。</x:v>
      </x:c>
      <x:c r="G50" s="483" t="str">
        <x:v>还没测</x:v>
      </x:c>
      <x:c r="H50" s="483" t="str"/>
      <x:c r="I50" s="483" t="str"/>
      <x:c r="J50" s="502" t="str"/>
      <x:c r="K50" s="483" t="str"/>
      <x:c r="L50" s="483" t="str"/>
    </x:row>
    <x:row r="51" ht="78" customHeight="1">
      <x:c r="A51" s="493" t="str">
        <x:v>F05</x:v>
      </x:c>
      <x:c r="B51" s="493" t="n">
        <x:v>6</x:v>
      </x:c>
      <x:c r="C51" s="493" t="str">
        <x:v>反制发起和授权</x:v>
      </x:c>
      <x:c r="D51" s="493" t="str">
        <x:v>自动 / 手动 / 手动</x:v>
      </x:c>
      <x:c r="E51" s="431" t="str">
        <x:v>等待人工接手，发起申请；换有权审批账号批准，再由执行账号操作测试设备。</x:v>
      </x:c>
      <x:c r="F51" s="431" t="str">
        <x:v>未人工办理不自动发起；审批、授权有效后才下发；人员权限与设备资格正确。</x:v>
      </x:c>
      <x:c r="G51" s="483" t="str">
        <x:v>还没测</x:v>
      </x:c>
      <x:c r="H51" s="483" t="str"/>
      <x:c r="I51" s="483" t="str"/>
      <x:c r="J51" s="502" t="str"/>
      <x:c r="K51" s="483" t="str"/>
      <x:c r="L51" s="483" t="str"/>
    </x:row>
    <x:row r="52" ht="78" customHeight="1">
      <x:c r="A52" s="493" t="str">
        <x:v>F05</x:v>
      </x:c>
      <x:c r="B52" s="493" t="n">
        <x:v>7</x:v>
      </x:c>
      <x:c r="C52" s="493" t="str">
        <x:v>设备下发与实际结果</x:v>
      </x:c>
      <x:c r="D52" s="493" t="str">
        <x:v>自动 / 手动 / 手动</x:v>
      </x:c>
      <x:c r="E52" s="431" t="str">
        <x:v>核对同一授权的设备、命令、受理和实际回执；失败、超时及急停分支分别留证。</x:v>
      </x:c>
      <x:c r="F52" s="431" t="str">
        <x:v>主链取得明确测试执行结果；提交不等于成功，未知不盲目重发，急停不等于已经停机。</x:v>
      </x:c>
      <x:c r="G52" s="483" t="str">
        <x:v>还没测</x:v>
      </x:c>
      <x:c r="H52" s="483" t="str"/>
      <x:c r="I52" s="483" t="str"/>
      <x:c r="J52" s="502" t="str"/>
      <x:c r="K52" s="483" t="str"/>
      <x:c r="L52" s="483" t="str"/>
    </x:row>
    <x:row r="53" ht="78" customHeight="1">
      <x:c r="A53" s="493" t="str">
        <x:v>F05</x:v>
      </x:c>
      <x:c r="B53" s="493" t="n">
        <x:v>8</x:v>
      </x:c>
      <x:c r="C53" s="493" t="str">
        <x:v>移送送达签收与办理结果</x:v>
      </x:c>
      <x:c r="D53" s="493" t="str">
        <x:v>自动 / 手动 / 手动</x:v>
      </x:c>
      <x:c r="E53" s="431" t="str">
        <x:v>设备结果满足条件后，先确认系统等待人工，再由有权人员通知处罚部门。 回读交接材料、送达、签收和办理结果。</x:v>
      </x:c>
      <x:c r="F53" s="431" t="str">
        <x:v>通知方式符合配置。发送、送达、签收分开；有正式办理结果才展示，没有就明确尚无结果，不能强行显示处罚完成。</x:v>
      </x:c>
      <x:c r="G53" s="483" t="str">
        <x:v>还没测</x:v>
      </x:c>
      <x:c r="H53" s="483" t="str"/>
      <x:c r="I53" s="483" t="str"/>
      <x:c r="J53" s="502" t="str"/>
      <x:c r="K53" s="483" t="str"/>
      <x:c r="L53" s="483" t="str"/>
    </x:row>
    <x:row r="54" ht="78" customHeight="1">
      <x:c r="A54" s="493" t="str">
        <x:v>F05</x:v>
      </x:c>
      <x:c r="B54" s="493" t="n">
        <x:v>9</x:v>
      </x:c>
      <x:c r="C54" s="493" t="str">
        <x:v>证据统计与跨页一致</x:v>
      </x:c>
      <x:c r="D54" s="493" t="str">
        <x:v>自动 / 手动 / 手动</x:v>
      </x:c>
      <x:c r="E54" s="431" t="str">
        <x:v>在证据、统计、告警、计划和移送页按同一事件核对。记录所有关联编号和重要时间。</x:v>
      </x:c>
      <x:c r="F54" s="431" t="str">
        <x:v>原始与冻结材料完整；事件、授权、命令、通知、交接能互相对应；统计按真实事实计数，不把签收当结案。</x:v>
      </x:c>
      <x:c r="G54" s="483" t="str">
        <x:v>还没测</x:v>
      </x:c>
      <x:c r="H54" s="483" t="str"/>
      <x:c r="I54" s="483" t="str"/>
      <x:c r="J54" s="502" t="str"/>
      <x:c r="K54" s="483" t="str"/>
      <x:c r="L54" s="483" t="str"/>
    </x:row>
    <x:row r="55" ht="78" customHeight="1">
      <x:c r="A55" s="493" t="str">
        <x:v>F05</x:v>
      </x:c>
      <x:c r="B55" s="493" t="n">
        <x:v>10</x:v>
      </x:c>
      <x:c r="C55" s="493" t="str">
        <x:v>关闭页面与重登复查</x:v>
      </x:c>
      <x:c r="D55" s="493" t="str">
        <x:v>自动 / 手动 / 手动</x:v>
      </x:c>
      <x:c r="E55" s="431" t="str">
        <x:v>本轮适用的自动等待阶段关闭页面再打开；结束后刷新、退出重登。核对动作次数并停止模拟。</x:v>
      </x:c>
      <x:c r="F55" s="431" t="str">
        <x:v>自动办理不依赖页面打开；刷新重登不重复动作；最终结果稳定，历史保留，模拟任务已明确停止。</x:v>
      </x:c>
      <x:c r="G55" s="483" t="str">
        <x:v>还没测</x:v>
      </x:c>
      <x:c r="H55" s="483" t="str"/>
      <x:c r="I55" s="483" t="str"/>
      <x:c r="J55" s="502" t="str"/>
      <x:c r="K55" s="483" t="str"/>
      <x:c r="L55" s="483" t="str"/>
    </x:row>
    <x:row r="56" ht="78" customHeight="1">
      <x:c r="A56" s="494" t="str">
        <x:v>F06</x:v>
      </x:c>
      <x:c r="B56" s="494" t="n">
        <x:v>1</x:v>
      </x:c>
      <x:c r="C56" s="494" t="str">
        <x:v>后台配置与测试准备</x:v>
      </x:c>
      <x:c r="D56" s="494" t="str">
        <x:v>自动 / 手动 / 自动</x:v>
      </x:c>
      <x:c r="E56" s="432" t="str">
        <x:v>按M6设置三类规则，并保存回读。记录有效时长、账号、范围、设备、通道和规则版本。</x:v>
      </x:c>
      <x:c r="F56" s="432" t="str">
        <x:v>实际运行设置与本轮相符；模拟通道可用。无。按组合从头执行。</x:v>
      </x:c>
      <x:c r="G56" s="511" t="str">
        <x:v>还没测</x:v>
      </x:c>
      <x:c r="H56" s="511" t="str"/>
      <x:c r="I56" s="511" t="str"/>
      <x:c r="J56" s="512" t="str"/>
      <x:c r="K56" s="511" t="str"/>
      <x:c r="L56" s="511" t="str"/>
    </x:row>
    <x:row r="57" ht="78" customHeight="1">
      <x:c r="A57" s="495" t="str">
        <x:v>F06</x:v>
      </x:c>
      <x:c r="B57" s="495" t="n">
        <x:v>2</x:v>
      </x:c>
      <x:c r="C57" s="495" t="str">
        <x:v>输入数据并识别目标</x:v>
      </x:c>
      <x:c r="D57" s="495" t="str">
        <x:v>自动 / 手动 / 自动</x:v>
      </x:c>
      <x:c r="E57" s="433" t="str">
        <x:v>启动新批次，通过获准入口输入计划和目标数据；记录唯一目标、计划和设备编号。</x:v>
      </x:c>
      <x:c r="F57" s="433" t="str">
        <x:v>能在融合感知查到同一目标，位置、时间和模拟标记正确；发送成功不代替平台已接收。</x:v>
      </x:c>
      <x:c r="G57" s="483" t="str">
        <x:v>还没测</x:v>
      </x:c>
      <x:c r="H57" s="483" t="str"/>
      <x:c r="I57" s="483" t="str"/>
      <x:c r="J57" s="502" t="str"/>
      <x:c r="K57" s="483" t="str"/>
      <x:c r="L57" s="483" t="str"/>
    </x:row>
    <x:row r="58" ht="78" customHeight="1">
      <x:c r="A58" s="495" t="str">
        <x:v>F06</x:v>
      </x:c>
      <x:c r="B58" s="495" t="n">
        <x:v>3</x:v>
      </x:c>
      <x:c r="C58" s="495" t="str">
        <x:v>研判和告警关联</x:v>
      </x:c>
      <x:c r="D58" s="495" t="str">
        <x:v>自动 / 手动 / 自动</x:v>
      </x:c>
      <x:c r="E58" s="433" t="str">
        <x:v>打开计划、合法性研判和告警，核对同一目标、计划、研判和事件关系。</x:v>
      </x:c>
      <x:c r="F58" s="433" t="str">
        <x:v>主链准备明确违规且证据充分的事件；各页同一事实。若本轮是合法或误报分支，按该分支正确阻止后续。</x:v>
      </x:c>
      <x:c r="G58" s="483" t="str">
        <x:v>还没测</x:v>
      </x:c>
      <x:c r="H58" s="483" t="str"/>
      <x:c r="I58" s="483" t="str"/>
      <x:c r="J58" s="502" t="str"/>
      <x:c r="K58" s="483" t="str"/>
      <x:c r="L58" s="483" t="str"/>
    </x:row>
    <x:row r="59" ht="78" customHeight="1">
      <x:c r="A59" s="495" t="str">
        <x:v>F06</x:v>
      </x:c>
      <x:c r="B59" s="495" t="n">
        <x:v>4</x:v>
      </x:c>
      <x:c r="C59" s="495" t="str">
        <x:v>核实告警</x:v>
      </x:c>
      <x:c r="D59" s="495" t="str">
        <x:v>自动 / 手动 / 自动</x:v>
      </x:c>
      <x:c r="E59" s="433" t="str">
        <x:v>不点击核实，等待已启用规则满足。</x:v>
      </x:c>
      <x:c r="F59" s="433" t="str">
        <x:v>系统按规则核实一次；留有系统处理身份、时间和判定依据。</x:v>
      </x:c>
      <x:c r="G59" s="483" t="str">
        <x:v>还没测</x:v>
      </x:c>
      <x:c r="H59" s="483" t="str"/>
      <x:c r="I59" s="483" t="str"/>
      <x:c r="J59" s="502" t="str"/>
      <x:c r="K59" s="483" t="str"/>
      <x:c r="L59" s="483" t="str"/>
    </x:row>
    <x:row r="60" ht="78" customHeight="1">
      <x:c r="A60" s="495" t="str">
        <x:v>F06</x:v>
      </x:c>
      <x:c r="B60" s="495" t="n">
        <x:v>5</x:v>
      </x:c>
      <x:c r="C60" s="495" t="str">
        <x:v>飞手通知和位置观察</x:v>
      </x:c>
      <x:c r="D60" s="495" t="str">
        <x:v>自动 / 手动 / 自动</x:v>
      </x:c>
      <x:c r="E60" s="433" t="str">
        <x:v>检查短信发送/送达、观察开始/结束、电话接通/播放与新位置；按本轮条件操作目标。</x:v>
      </x:c>
      <x:c r="F60" s="433" t="str">
        <x:v>主链持续在域时按已确认时长推进到待反制；短信、电话、飞离各凭自己的真实依据。</x:v>
      </x:c>
      <x:c r="G60" s="483" t="str">
        <x:v>还没测</x:v>
      </x:c>
      <x:c r="H60" s="483" t="str"/>
      <x:c r="I60" s="483" t="str"/>
      <x:c r="J60" s="502" t="str"/>
      <x:c r="K60" s="483" t="str"/>
      <x:c r="L60" s="483" t="str"/>
    </x:row>
    <x:row r="61" ht="78" customHeight="1">
      <x:c r="A61" s="495" t="str">
        <x:v>F06</x:v>
      </x:c>
      <x:c r="B61" s="495" t="n">
        <x:v>6</x:v>
      </x:c>
      <x:c r="C61" s="495" t="str">
        <x:v>反制发起和授权</x:v>
      </x:c>
      <x:c r="D61" s="495" t="str">
        <x:v>自动 / 手动 / 自动</x:v>
      </x:c>
      <x:c r="E61" s="433" t="str">
        <x:v>等待人工接手，发起申请；换有权审批账号批准，再由执行账号操作测试设备。</x:v>
      </x:c>
      <x:c r="F61" s="433" t="str">
        <x:v>未人工办理不自动发起；审批、授权有效后才下发；人员权限与设备资格正确。</x:v>
      </x:c>
      <x:c r="G61" s="483" t="str">
        <x:v>还没测</x:v>
      </x:c>
      <x:c r="H61" s="483" t="str"/>
      <x:c r="I61" s="483" t="str"/>
      <x:c r="J61" s="502" t="str"/>
      <x:c r="K61" s="483" t="str"/>
      <x:c r="L61" s="483" t="str"/>
    </x:row>
    <x:row r="62" ht="78" customHeight="1">
      <x:c r="A62" s="495" t="str">
        <x:v>F06</x:v>
      </x:c>
      <x:c r="B62" s="495" t="n">
        <x:v>7</x:v>
      </x:c>
      <x:c r="C62" s="495" t="str">
        <x:v>设备下发与实际结果</x:v>
      </x:c>
      <x:c r="D62" s="495" t="str">
        <x:v>自动 / 手动 / 自动</x:v>
      </x:c>
      <x:c r="E62" s="433" t="str">
        <x:v>核对同一授权的设备、命令、受理和实际回执；失败、超时及急停分支分别留证。</x:v>
      </x:c>
      <x:c r="F62" s="433" t="str">
        <x:v>主链取得明确测试执行结果；提交不等于成功，未知不盲目重发，急停不等于已经停机。</x:v>
      </x:c>
      <x:c r="G62" s="483" t="str">
        <x:v>还没测</x:v>
      </x:c>
      <x:c r="H62" s="483" t="str"/>
      <x:c r="I62" s="483" t="str"/>
      <x:c r="J62" s="502" t="str"/>
      <x:c r="K62" s="483" t="str"/>
      <x:c r="L62" s="483" t="str"/>
    </x:row>
    <x:row r="63" ht="78" customHeight="1">
      <x:c r="A63" s="495" t="str">
        <x:v>F06</x:v>
      </x:c>
      <x:c r="B63" s="495" t="n">
        <x:v>8</x:v>
      </x:c>
      <x:c r="C63" s="495" t="str">
        <x:v>移送送达签收与办理结果</x:v>
      </x:c>
      <x:c r="D63" s="495" t="str">
        <x:v>自动 / 手动 / 自动</x:v>
      </x:c>
      <x:c r="E63" s="433" t="str">
        <x:v>设备结果满足通知处罚条件后，不点击通知按钮，观察自动办理。 回读交接材料、送达、签收和办理结果。</x:v>
      </x:c>
      <x:c r="F63" s="433" t="str">
        <x:v>通知方式符合配置。发送、送达、签收分开；有正式办理结果才展示，没有就明确尚无结果，不能强行显示处罚完成。</x:v>
      </x:c>
      <x:c r="G63" s="483" t="str">
        <x:v>还没测</x:v>
      </x:c>
      <x:c r="H63" s="483" t="str"/>
      <x:c r="I63" s="483" t="str"/>
      <x:c r="J63" s="502" t="str"/>
      <x:c r="K63" s="483" t="str"/>
      <x:c r="L63" s="483" t="str"/>
    </x:row>
    <x:row r="64" ht="78" customHeight="1">
      <x:c r="A64" s="495" t="str">
        <x:v>F06</x:v>
      </x:c>
      <x:c r="B64" s="495" t="n">
        <x:v>9</x:v>
      </x:c>
      <x:c r="C64" s="495" t="str">
        <x:v>证据统计与跨页一致</x:v>
      </x:c>
      <x:c r="D64" s="495" t="str">
        <x:v>自动 / 手动 / 自动</x:v>
      </x:c>
      <x:c r="E64" s="433" t="str">
        <x:v>在证据、统计、告警、计划和移送页按同一事件核对。记录所有关联编号和重要时间。</x:v>
      </x:c>
      <x:c r="F64" s="433" t="str">
        <x:v>原始与冻结材料完整；事件、授权、命令、通知、交接能互相对应；统计按真实事实计数，不把签收当结案。</x:v>
      </x:c>
      <x:c r="G64" s="483" t="str">
        <x:v>还没测</x:v>
      </x:c>
      <x:c r="H64" s="483" t="str"/>
      <x:c r="I64" s="483" t="str"/>
      <x:c r="J64" s="502" t="str"/>
      <x:c r="K64" s="483" t="str"/>
      <x:c r="L64" s="483" t="str"/>
    </x:row>
    <x:row r="65" ht="78" customHeight="1">
      <x:c r="A65" s="495" t="str">
        <x:v>F06</x:v>
      </x:c>
      <x:c r="B65" s="495" t="n">
        <x:v>10</x:v>
      </x:c>
      <x:c r="C65" s="495" t="str">
        <x:v>关闭页面与重登复查</x:v>
      </x:c>
      <x:c r="D65" s="495" t="str">
        <x:v>自动 / 手动 / 自动</x:v>
      </x:c>
      <x:c r="E65" s="433" t="str">
        <x:v>本轮适用的自动等待阶段关闭页面再打开；结束后刷新、退出重登。核对动作次数并停止模拟。</x:v>
      </x:c>
      <x:c r="F65" s="433" t="str">
        <x:v>自动办理不依赖页面打开；刷新重登不重复动作；最终结果稳定，历史保留，模拟任务已明确停止。</x:v>
      </x:c>
      <x:c r="G65" s="483" t="str">
        <x:v>还没测</x:v>
      </x:c>
      <x:c r="H65" s="483" t="str"/>
      <x:c r="I65" s="483" t="str"/>
      <x:c r="J65" s="502" t="str"/>
      <x:c r="K65" s="483" t="str"/>
      <x:c r="L65" s="483" t="str"/>
    </x:row>
    <x:row r="66" ht="78" customHeight="1">
      <x:c r="A66" s="496" t="str">
        <x:v>F07</x:v>
      </x:c>
      <x:c r="B66" s="496" t="n">
        <x:v>1</x:v>
      </x:c>
      <x:c r="C66" s="496" t="str">
        <x:v>后台配置与测试准备</x:v>
      </x:c>
      <x:c r="D66" s="496" t="str">
        <x:v>自动 / 自动 / 手动</x:v>
      </x:c>
      <x:c r="E66" s="434" t="str">
        <x:v>按M7设置三类规则，并保存回读。记录有效时长、账号、范围、设备、通道和规则版本。</x:v>
      </x:c>
      <x:c r="F66" s="434" t="str">
        <x:v>实际运行设置与本轮相符；模拟通道可用。无。按组合从头执行。</x:v>
      </x:c>
      <x:c r="G66" s="513" t="str">
        <x:v>还没测</x:v>
      </x:c>
      <x:c r="H66" s="513" t="str"/>
      <x:c r="I66" s="513" t="str"/>
      <x:c r="J66" s="514" t="str"/>
      <x:c r="K66" s="513" t="str"/>
      <x:c r="L66" s="513" t="str"/>
    </x:row>
    <x:row r="67" ht="78" customHeight="1">
      <x:c r="A67" s="497" t="str">
        <x:v>F07</x:v>
      </x:c>
      <x:c r="B67" s="497" t="n">
        <x:v>2</x:v>
      </x:c>
      <x:c r="C67" s="497" t="str">
        <x:v>输入数据并识别目标</x:v>
      </x:c>
      <x:c r="D67" s="497" t="str">
        <x:v>自动 / 自动 / 手动</x:v>
      </x:c>
      <x:c r="E67" s="435" t="str">
        <x:v>启动新批次，通过获准入口输入计划和目标数据；记录唯一目标、计划和设备编号。</x:v>
      </x:c>
      <x:c r="F67" s="435" t="str">
        <x:v>能在融合感知查到同一目标，位置、时间和模拟标记正确；发送成功不代替平台已接收。</x:v>
      </x:c>
      <x:c r="G67" s="483" t="str">
        <x:v>还没测</x:v>
      </x:c>
      <x:c r="H67" s="483" t="str"/>
      <x:c r="I67" s="483" t="str"/>
      <x:c r="J67" s="502" t="str"/>
      <x:c r="K67" s="483" t="str"/>
      <x:c r="L67" s="483" t="str"/>
    </x:row>
    <x:row r="68" ht="78" customHeight="1">
      <x:c r="A68" s="497" t="str">
        <x:v>F07</x:v>
      </x:c>
      <x:c r="B68" s="497" t="n">
        <x:v>3</x:v>
      </x:c>
      <x:c r="C68" s="497" t="str">
        <x:v>研判和告警关联</x:v>
      </x:c>
      <x:c r="D68" s="497" t="str">
        <x:v>自动 / 自动 / 手动</x:v>
      </x:c>
      <x:c r="E68" s="435" t="str">
        <x:v>打开计划、合法性研判和告警，核对同一目标、计划、研判和事件关系。</x:v>
      </x:c>
      <x:c r="F68" s="435" t="str">
        <x:v>主链准备明确违规且证据充分的事件；各页同一事实。若本轮是合法或误报分支，按该分支正确阻止后续。</x:v>
      </x:c>
      <x:c r="G68" s="483" t="str">
        <x:v>还没测</x:v>
      </x:c>
      <x:c r="H68" s="483" t="str"/>
      <x:c r="I68" s="483" t="str"/>
      <x:c r="J68" s="502" t="str"/>
      <x:c r="K68" s="483" t="str"/>
      <x:c r="L68" s="483" t="str"/>
    </x:row>
    <x:row r="69" ht="78" customHeight="1">
      <x:c r="A69" s="497" t="str">
        <x:v>F07</x:v>
      </x:c>
      <x:c r="B69" s="497" t="n">
        <x:v>4</x:v>
      </x:c>
      <x:c r="C69" s="497" t="str">
        <x:v>核实告警</x:v>
      </x:c>
      <x:c r="D69" s="497" t="str">
        <x:v>自动 / 自动 / 手动</x:v>
      </x:c>
      <x:c r="E69" s="435" t="str">
        <x:v>不点击核实，等待已启用规则满足。</x:v>
      </x:c>
      <x:c r="F69" s="435" t="str">
        <x:v>系统按规则核实一次；留有系统处理身份、时间和判定依据。</x:v>
      </x:c>
      <x:c r="G69" s="483" t="str">
        <x:v>还没测</x:v>
      </x:c>
      <x:c r="H69" s="483" t="str"/>
      <x:c r="I69" s="483" t="str"/>
      <x:c r="J69" s="502" t="str"/>
      <x:c r="K69" s="483" t="str"/>
      <x:c r="L69" s="483" t="str"/>
    </x:row>
    <x:row r="70" ht="78" customHeight="1">
      <x:c r="A70" s="497" t="str">
        <x:v>F07</x:v>
      </x:c>
      <x:c r="B70" s="497" t="n">
        <x:v>5</x:v>
      </x:c>
      <x:c r="C70" s="497" t="str">
        <x:v>飞手通知和位置观察</x:v>
      </x:c>
      <x:c r="D70" s="497" t="str">
        <x:v>自动 / 自动 / 手动</x:v>
      </x:c>
      <x:c r="E70" s="435" t="str">
        <x:v>检查短信发送/送达、观察开始/结束、电话接通/播放与新位置；按本轮条件操作目标。</x:v>
      </x:c>
      <x:c r="F70" s="435" t="str">
        <x:v>主链持续在域时按已确认时长推进到待反制；短信、电话、飞离各凭自己的真实依据。</x:v>
      </x:c>
      <x:c r="G70" s="483" t="str">
        <x:v>还没测</x:v>
      </x:c>
      <x:c r="H70" s="483" t="str"/>
      <x:c r="I70" s="483" t="str"/>
      <x:c r="J70" s="502" t="str"/>
      <x:c r="K70" s="483" t="str"/>
      <x:c r="L70" s="483" t="str"/>
    </x:row>
    <x:row r="71" ht="78" customHeight="1">
      <x:c r="A71" s="497" t="str">
        <x:v>F07</x:v>
      </x:c>
      <x:c r="B71" s="497" t="n">
        <x:v>6</x:v>
      </x:c>
      <x:c r="C71" s="497" t="str">
        <x:v>反制发起和授权</x:v>
      </x:c>
      <x:c r="D71" s="497" t="str">
        <x:v>自动 / 自动 / 手动</x:v>
      </x:c>
      <x:c r="E71" s="435" t="str">
        <x:v>进入待反制后不点发起，等待规则满足；检查当前证据和唯一可用测试设备。</x:v>
      </x:c>
      <x:c r="F71" s="435" t="str">
        <x:v>符合条件才由系统发起；记录系统身份和实际授权依据，不伪造人工审批。</x:v>
      </x:c>
      <x:c r="G71" s="483" t="str">
        <x:v>还没测</x:v>
      </x:c>
      <x:c r="H71" s="483" t="str"/>
      <x:c r="I71" s="483" t="str"/>
      <x:c r="J71" s="502" t="str"/>
      <x:c r="K71" s="483" t="str"/>
      <x:c r="L71" s="483" t="str"/>
    </x:row>
    <x:row r="72" ht="78" customHeight="1">
      <x:c r="A72" s="497" t="str">
        <x:v>F07</x:v>
      </x:c>
      <x:c r="B72" s="497" t="n">
        <x:v>7</x:v>
      </x:c>
      <x:c r="C72" s="497" t="str">
        <x:v>设备下发与实际结果</x:v>
      </x:c>
      <x:c r="D72" s="497" t="str">
        <x:v>自动 / 自动 / 手动</x:v>
      </x:c>
      <x:c r="E72" s="435" t="str">
        <x:v>核对同一授权的设备、命令、受理和实际回执；失败、超时及急停分支分别留证。</x:v>
      </x:c>
      <x:c r="F72" s="435" t="str">
        <x:v>主链取得明确测试执行结果；提交不等于成功，未知不盲目重发，急停不等于已经停机。</x:v>
      </x:c>
      <x:c r="G72" s="483" t="str">
        <x:v>还没测</x:v>
      </x:c>
      <x:c r="H72" s="483" t="str"/>
      <x:c r="I72" s="483" t="str"/>
      <x:c r="J72" s="502" t="str"/>
      <x:c r="K72" s="483" t="str"/>
      <x:c r="L72" s="483" t="str"/>
    </x:row>
    <x:row r="73" ht="78" customHeight="1">
      <x:c r="A73" s="497" t="str">
        <x:v>F07</x:v>
      </x:c>
      <x:c r="B73" s="497" t="n">
        <x:v>8</x:v>
      </x:c>
      <x:c r="C73" s="497" t="str">
        <x:v>移送送达签收与办理结果</x:v>
      </x:c>
      <x:c r="D73" s="497" t="str">
        <x:v>自动 / 自动 / 手动</x:v>
      </x:c>
      <x:c r="E73" s="435" t="str">
        <x:v>设备结果满足条件后，先确认系统等待人工，再由有权人员通知处罚部门。 回读交接材料、送达、签收和办理结果。</x:v>
      </x:c>
      <x:c r="F73" s="435" t="str">
        <x:v>通知方式符合配置。发送、送达、签收分开；有正式办理结果才展示，没有就明确尚无结果，不能强行显示处罚完成。</x:v>
      </x:c>
      <x:c r="G73" s="483" t="str">
        <x:v>还没测</x:v>
      </x:c>
      <x:c r="H73" s="483" t="str"/>
      <x:c r="I73" s="483" t="str"/>
      <x:c r="J73" s="502" t="str"/>
      <x:c r="K73" s="483" t="str"/>
      <x:c r="L73" s="483" t="str"/>
    </x:row>
    <x:row r="74" ht="78" customHeight="1">
      <x:c r="A74" s="497" t="str">
        <x:v>F07</x:v>
      </x:c>
      <x:c r="B74" s="497" t="n">
        <x:v>9</x:v>
      </x:c>
      <x:c r="C74" s="497" t="str">
        <x:v>证据统计与跨页一致</x:v>
      </x:c>
      <x:c r="D74" s="497" t="str">
        <x:v>自动 / 自动 / 手动</x:v>
      </x:c>
      <x:c r="E74" s="435" t="str">
        <x:v>在证据、统计、告警、计划和移送页按同一事件核对。记录所有关联编号和重要时间。</x:v>
      </x:c>
      <x:c r="F74" s="435" t="str">
        <x:v>原始与冻结材料完整；事件、授权、命令、通知、交接能互相对应；统计按真实事实计数，不把签收当结案。</x:v>
      </x:c>
      <x:c r="G74" s="483" t="str">
        <x:v>还没测</x:v>
      </x:c>
      <x:c r="H74" s="483" t="str"/>
      <x:c r="I74" s="483" t="str"/>
      <x:c r="J74" s="502" t="str"/>
      <x:c r="K74" s="483" t="str"/>
      <x:c r="L74" s="483" t="str"/>
    </x:row>
    <x:row r="75" ht="78" customHeight="1">
      <x:c r="A75" s="497" t="str">
        <x:v>F07</x:v>
      </x:c>
      <x:c r="B75" s="497" t="n">
        <x:v>10</x:v>
      </x:c>
      <x:c r="C75" s="497" t="str">
        <x:v>关闭页面与重登复查</x:v>
      </x:c>
      <x:c r="D75" s="497" t="str">
        <x:v>自动 / 自动 / 手动</x:v>
      </x:c>
      <x:c r="E75" s="435" t="str">
        <x:v>本轮适用的自动等待阶段关闭页面再打开；结束后刷新、退出重登。核对动作次数并停止模拟。</x:v>
      </x:c>
      <x:c r="F75" s="435" t="str">
        <x:v>自动办理不依赖页面打开；刷新重登不重复动作；最终结果稳定，历史保留，模拟任务已明确停止。</x:v>
      </x:c>
      <x:c r="G75" s="483" t="str">
        <x:v>还没测</x:v>
      </x:c>
      <x:c r="H75" s="483" t="str"/>
      <x:c r="I75" s="483" t="str"/>
      <x:c r="J75" s="502" t="str"/>
      <x:c r="K75" s="483" t="str"/>
      <x:c r="L75" s="483" t="str"/>
    </x:row>
    <x:row r="76" ht="78" customHeight="1">
      <x:c r="A76" s="498" t="str">
        <x:v>F08</x:v>
      </x:c>
      <x:c r="B76" s="498" t="n">
        <x:v>1</x:v>
      </x:c>
      <x:c r="C76" s="498" t="str">
        <x:v>后台配置与测试准备</x:v>
      </x:c>
      <x:c r="D76" s="498" t="str">
        <x:v>自动 / 自动 / 自动</x:v>
      </x:c>
      <x:c r="E76" s="436" t="str">
        <x:v>按M8设置三类规则，并保存回读。记录有效时长、账号、范围、设备、通道和规则版本。</x:v>
      </x:c>
      <x:c r="F76" s="436" t="str">
        <x:v>实际运行设置与本轮相符；模拟通道可用。无。按组合从头执行。</x:v>
      </x:c>
      <x:c r="G76" s="515" t="str">
        <x:v>还没测</x:v>
      </x:c>
      <x:c r="H76" s="515" t="str"/>
      <x:c r="I76" s="515" t="str"/>
      <x:c r="J76" s="516" t="str"/>
      <x:c r="K76" s="515" t="str"/>
      <x:c r="L76" s="515" t="str"/>
    </x:row>
    <x:row r="77" ht="78" customHeight="1">
      <x:c r="A77" s="499" t="str">
        <x:v>F08</x:v>
      </x:c>
      <x:c r="B77" s="499" t="n">
        <x:v>2</x:v>
      </x:c>
      <x:c r="C77" s="499" t="str">
        <x:v>输入数据并识别目标</x:v>
      </x:c>
      <x:c r="D77" s="499" t="str">
        <x:v>自动 / 自动 / 自动</x:v>
      </x:c>
      <x:c r="E77" s="437" t="str">
        <x:v>启动新批次，通过获准入口输入计划和目标数据；记录唯一目标、计划和设备编号。</x:v>
      </x:c>
      <x:c r="F77" s="437" t="str">
        <x:v>能在融合感知查到同一目标，位置、时间和模拟标记正确；发送成功不代替平台已接收。</x:v>
      </x:c>
      <x:c r="G77" s="483" t="str">
        <x:v>还没测</x:v>
      </x:c>
      <x:c r="H77" s="483" t="str"/>
      <x:c r="I77" s="483" t="str"/>
      <x:c r="J77" s="502" t="str"/>
      <x:c r="K77" s="483" t="str"/>
      <x:c r="L77" s="483" t="str"/>
    </x:row>
    <x:row r="78" ht="78" customHeight="1">
      <x:c r="A78" s="499" t="str">
        <x:v>F08</x:v>
      </x:c>
      <x:c r="B78" s="499" t="n">
        <x:v>3</x:v>
      </x:c>
      <x:c r="C78" s="499" t="str">
        <x:v>研判和告警关联</x:v>
      </x:c>
      <x:c r="D78" s="499" t="str">
        <x:v>自动 / 自动 / 自动</x:v>
      </x:c>
      <x:c r="E78" s="437" t="str">
        <x:v>打开计划、合法性研判和告警，核对同一目标、计划、研判和事件关系。</x:v>
      </x:c>
      <x:c r="F78" s="437" t="str">
        <x:v>主链准备明确违规且证据充分的事件；各页同一事实。若本轮是合法或误报分支，按该分支正确阻止后续。</x:v>
      </x:c>
      <x:c r="G78" s="483" t="str">
        <x:v>还没测</x:v>
      </x:c>
      <x:c r="H78" s="483" t="str"/>
      <x:c r="I78" s="483" t="str"/>
      <x:c r="J78" s="502" t="str"/>
      <x:c r="K78" s="483" t="str"/>
      <x:c r="L78" s="483" t="str"/>
    </x:row>
    <x:row r="79" ht="78" customHeight="1">
      <x:c r="A79" s="499" t="str">
        <x:v>F08</x:v>
      </x:c>
      <x:c r="B79" s="499" t="n">
        <x:v>4</x:v>
      </x:c>
      <x:c r="C79" s="499" t="str">
        <x:v>核实告警</x:v>
      </x:c>
      <x:c r="D79" s="499" t="str">
        <x:v>自动 / 自动 / 自动</x:v>
      </x:c>
      <x:c r="E79" s="437" t="str">
        <x:v>不点击核实，等待已启用规则满足。</x:v>
      </x:c>
      <x:c r="F79" s="437" t="str">
        <x:v>系统按规则核实一次；留有系统处理身份、时间和判定依据。</x:v>
      </x:c>
      <x:c r="G79" s="483" t="str">
        <x:v>还没测</x:v>
      </x:c>
      <x:c r="H79" s="483" t="str"/>
      <x:c r="I79" s="483" t="str"/>
      <x:c r="J79" s="502" t="str"/>
      <x:c r="K79" s="483" t="str"/>
      <x:c r="L79" s="483" t="str"/>
    </x:row>
    <x:row r="80" ht="78" customHeight="1">
      <x:c r="A80" s="499" t="str">
        <x:v>F08</x:v>
      </x:c>
      <x:c r="B80" s="499" t="n">
        <x:v>5</x:v>
      </x:c>
      <x:c r="C80" s="499" t="str">
        <x:v>飞手通知和位置观察</x:v>
      </x:c>
      <x:c r="D80" s="499" t="str">
        <x:v>自动 / 自动 / 自动</x:v>
      </x:c>
      <x:c r="E80" s="437" t="str">
        <x:v>检查短信发送/送达、观察开始/结束、电话接通/播放与新位置；按本轮条件操作目标。</x:v>
      </x:c>
      <x:c r="F80" s="437" t="str">
        <x:v>主链持续在域时按已确认时长推进到待反制；短信、电话、飞离各凭自己的真实依据。</x:v>
      </x:c>
      <x:c r="G80" s="483" t="str">
        <x:v>还没测</x:v>
      </x:c>
      <x:c r="H80" s="483" t="str"/>
      <x:c r="I80" s="483" t="str"/>
      <x:c r="J80" s="502" t="str"/>
      <x:c r="K80" s="483" t="str"/>
      <x:c r="L80" s="483" t="str"/>
    </x:row>
    <x:row r="81" ht="78" customHeight="1">
      <x:c r="A81" s="499" t="str">
        <x:v>F08</x:v>
      </x:c>
      <x:c r="B81" s="499" t="n">
        <x:v>6</x:v>
      </x:c>
      <x:c r="C81" s="499" t="str">
        <x:v>反制发起和授权</x:v>
      </x:c>
      <x:c r="D81" s="499" t="str">
        <x:v>自动 / 自动 / 自动</x:v>
      </x:c>
      <x:c r="E81" s="437" t="str">
        <x:v>进入待反制后不点发起，等待规则满足；检查当前证据和唯一可用测试设备。</x:v>
      </x:c>
      <x:c r="F81" s="437" t="str">
        <x:v>符合条件才由系统发起；记录系统身份和实际授权依据，不伪造人工审批。</x:v>
      </x:c>
      <x:c r="G81" s="483" t="str">
        <x:v>还没测</x:v>
      </x:c>
      <x:c r="H81" s="483" t="str"/>
      <x:c r="I81" s="483" t="str"/>
      <x:c r="J81" s="502" t="str"/>
      <x:c r="K81" s="483" t="str"/>
      <x:c r="L81" s="483" t="str"/>
    </x:row>
    <x:row r="82" ht="78" customHeight="1">
      <x:c r="A82" s="499" t="str">
        <x:v>F08</x:v>
      </x:c>
      <x:c r="B82" s="499" t="n">
        <x:v>7</x:v>
      </x:c>
      <x:c r="C82" s="499" t="str">
        <x:v>设备下发与实际结果</x:v>
      </x:c>
      <x:c r="D82" s="499" t="str">
        <x:v>自动 / 自动 / 自动</x:v>
      </x:c>
      <x:c r="E82" s="437" t="str">
        <x:v>核对同一授权的设备、命令、受理和实际回执；失败、超时及急停分支分别留证。</x:v>
      </x:c>
      <x:c r="F82" s="437" t="str">
        <x:v>主链取得明确测试执行结果；提交不等于成功，未知不盲目重发，急停不等于已经停机。</x:v>
      </x:c>
      <x:c r="G82" s="483" t="str">
        <x:v>还没测</x:v>
      </x:c>
      <x:c r="H82" s="483" t="str"/>
      <x:c r="I82" s="483" t="str"/>
      <x:c r="J82" s="502" t="str"/>
      <x:c r="K82" s="483" t="str"/>
      <x:c r="L82" s="483" t="str"/>
    </x:row>
    <x:row r="83" ht="78" customHeight="1">
      <x:c r="A83" s="499" t="str">
        <x:v>F08</x:v>
      </x:c>
      <x:c r="B83" s="499" t="n">
        <x:v>8</x:v>
      </x:c>
      <x:c r="C83" s="499" t="str">
        <x:v>移送送达签收与办理结果</x:v>
      </x:c>
      <x:c r="D83" s="499" t="str">
        <x:v>自动 / 自动 / 自动</x:v>
      </x:c>
      <x:c r="E83" s="437" t="str">
        <x:v>设备结果满足通知处罚条件后，不点击通知按钮，观察自动办理。 回读交接材料、送达、签收和办理结果。</x:v>
      </x:c>
      <x:c r="F83" s="437" t="str">
        <x:v>通知方式符合配置。发送、送达、签收分开；有正式办理结果才展示，没有就明确尚无结果，不能强行显示处罚完成。</x:v>
      </x:c>
      <x:c r="G83" s="483" t="str">
        <x:v>还没测</x:v>
      </x:c>
      <x:c r="H83" s="483" t="str"/>
      <x:c r="I83" s="483" t="str"/>
      <x:c r="J83" s="502" t="str"/>
      <x:c r="K83" s="483" t="str"/>
      <x:c r="L83" s="483" t="str"/>
    </x:row>
    <x:row r="84" ht="78" customHeight="1">
      <x:c r="A84" s="499" t="str">
        <x:v>F08</x:v>
      </x:c>
      <x:c r="B84" s="499" t="n">
        <x:v>9</x:v>
      </x:c>
      <x:c r="C84" s="499" t="str">
        <x:v>证据统计与跨页一致</x:v>
      </x:c>
      <x:c r="D84" s="499" t="str">
        <x:v>自动 / 自动 / 自动</x:v>
      </x:c>
      <x:c r="E84" s="437" t="str">
        <x:v>在证据、统计、告警、计划和移送页按同一事件核对。记录所有关联编号和重要时间。</x:v>
      </x:c>
      <x:c r="F84" s="437" t="str">
        <x:v>原始与冻结材料完整；事件、授权、命令、通知、交接能互相对应；统计按真实事实计数，不把签收当结案。</x:v>
      </x:c>
      <x:c r="G84" s="483" t="str">
        <x:v>还没测</x:v>
      </x:c>
      <x:c r="H84" s="483" t="str"/>
      <x:c r="I84" s="483" t="str"/>
      <x:c r="J84" s="502" t="str"/>
      <x:c r="K84" s="483" t="str"/>
      <x:c r="L84" s="483" t="str"/>
    </x:row>
    <x:row r="85" ht="78" customHeight="1">
      <x:c r="A85" s="499" t="str">
        <x:v>F08</x:v>
      </x:c>
      <x:c r="B85" s="499" t="n">
        <x:v>10</x:v>
      </x:c>
      <x:c r="C85" s="499" t="str">
        <x:v>关闭页面与重登复查</x:v>
      </x:c>
      <x:c r="D85" s="499" t="str">
        <x:v>自动 / 自动 / 自动</x:v>
      </x:c>
      <x:c r="E85" s="437" t="str">
        <x:v>本轮适用的自动等待阶段关闭页面再打开；结束后刷新、退出重登。核对动作次数并停止模拟。</x:v>
      </x:c>
      <x:c r="F85" s="437" t="str">
        <x:v>自动办理不依赖页面打开；刷新重登不重复动作；最终结果稳定，历史保留，模拟任务已明确停止。</x:v>
      </x:c>
      <x:c r="G85" s="483" t="str">
        <x:v>还没测</x:v>
      </x:c>
      <x:c r="H85" s="483" t="str"/>
      <x:c r="I85" s="483" t="str"/>
      <x:c r="J85" s="502" t="str"/>
      <x:c r="K85" s="483" t="str"/>
      <x:c r="L85" s="483" t="str"/>
    </x:row>
    <x:row r="86" ht="78" customHeight="1">
      <x:c r="A86" s="484" t="str">
        <x:v>F09</x:v>
      </x:c>
      <x:c r="B86" s="484" t="n">
        <x:v>1</x:v>
      </x:c>
      <x:c r="C86" s="484" t="str">
        <x:v>后台配置与测试准备</x:v>
      </x:c>
      <x:c r="D86" s="484" t="str">
        <x:v>正常飞行不误触发</x:v>
      </x:c>
      <x:c r="E86" s="422" t="str">
        <x:v>按M8设置三类规则，并保存回读。记录有效时长、账号、范围、设备、通道和规则版本。</x:v>
      </x:c>
      <x:c r="F86" s="422" t="str">
        <x:v>实际运行设置与本轮相符；模拟通道可用。提供有效计划并持续沿计划飞行。</x:v>
      </x:c>
      <x:c r="G86" s="500" t="str">
        <x:v>还没测</x:v>
      </x:c>
      <x:c r="H86" s="500" t="str"/>
      <x:c r="I86" s="500" t="str"/>
      <x:c r="J86" s="501" t="str"/>
      <x:c r="K86" s="500" t="str"/>
      <x:c r="L86" s="500" t="str"/>
    </x:row>
    <x:row r="87" ht="78" customHeight="1">
      <x:c r="A87" s="485" t="str">
        <x:v>F09</x:v>
      </x:c>
      <x:c r="B87" s="485" t="n">
        <x:v>2</x:v>
      </x:c>
      <x:c r="C87" s="485" t="str">
        <x:v>输入数据并识别目标</x:v>
      </x:c>
      <x:c r="D87" s="485" t="str">
        <x:v>正常飞行不误触发</x:v>
      </x:c>
      <x:c r="E87" s="423" t="str">
        <x:v>启动新批次，通过获准入口输入计划和目标数据；记录唯一目标、计划和设备编号。</x:v>
      </x:c>
      <x:c r="F87" s="423" t="str">
        <x:v>能在融合感知查到同一目标，位置、时间和模拟标记正确；发送成功不代替平台已接收。</x:v>
      </x:c>
      <x:c r="G87" s="483" t="str">
        <x:v>还没测</x:v>
      </x:c>
      <x:c r="H87" s="483" t="str"/>
      <x:c r="I87" s="483" t="str"/>
      <x:c r="J87" s="502" t="str"/>
      <x:c r="K87" s="483" t="str"/>
      <x:c r="L87" s="483" t="str"/>
    </x:row>
    <x:row r="88" ht="78" customHeight="1">
      <x:c r="A88" s="485" t="str">
        <x:v>F09</x:v>
      </x:c>
      <x:c r="B88" s="485" t="n">
        <x:v>3</x:v>
      </x:c>
      <x:c r="C88" s="485" t="str">
        <x:v>研判和告警关联</x:v>
      </x:c>
      <x:c r="D88" s="485" t="str">
        <x:v>正常飞行不误触发</x:v>
      </x:c>
      <x:c r="E88" s="423" t="str">
        <x:v>打开计划、合法性研判和告警，核对同一目标、计划、研判和事件关系。</x:v>
      </x:c>
      <x:c r="F88" s="423" t="str">
        <x:v>明确合法依据与计划一致；没有无故告警。</x:v>
      </x:c>
      <x:c r="G88" s="483" t="str">
        <x:v>还没测</x:v>
      </x:c>
      <x:c r="H88" s="483" t="str"/>
      <x:c r="I88" s="483" t="str"/>
      <x:c r="J88" s="502" t="str"/>
      <x:c r="K88" s="483" t="str"/>
      <x:c r="L88" s="483" t="str"/>
    </x:row>
    <x:row r="89" ht="78" customHeight="1">
      <x:c r="A89" s="485" t="str">
        <x:v>F09</x:v>
      </x:c>
      <x:c r="B89" s="485" t="n">
        <x:v>4</x:v>
      </x:c>
      <x:c r="C89" s="485" t="str">
        <x:v>合法目标无须违规核实</x:v>
      </x:c>
      <x:c r="D89" s="485" t="str">
        <x:v>正常飞行不误触发</x:v>
      </x:c>
      <x:c r="E89" s="423" t="str">
        <x:v>查看研判和告警列表，不人为捏造告警。</x:v>
      </x:c>
      <x:c r="F89" s="423" t="str">
        <x:v>无需要处理的违规告警；不强行要求人工确认可靠明确结论。</x:v>
      </x:c>
      <x:c r="G89" s="483" t="str">
        <x:v>还没测</x:v>
      </x:c>
      <x:c r="H89" s="483" t="str"/>
      <x:c r="I89" s="483" t="str"/>
      <x:c r="J89" s="502" t="str"/>
      <x:c r="K89" s="483" t="str"/>
      <x:c r="L89" s="483" t="str"/>
    </x:row>
    <x:row r="90" ht="78" customHeight="1">
      <x:c r="A90" s="485" t="str">
        <x:v>F09</x:v>
      </x:c>
      <x:c r="B90" s="485" t="n">
        <x:v>5</x:v>
      </x:c>
      <x:c r="C90" s="485" t="str">
        <x:v>确认没有误发通知</x:v>
      </x:c>
      <x:c r="D90" s="485" t="str">
        <x:v>正常飞行不误触发</x:v>
      </x:c>
      <x:c r="E90" s="423" t="str">
        <x:v>核对该目标相关的通知任务与收件箱。</x:v>
      </x:c>
      <x:c r="F90" s="423" t="str">
        <x:v>没有因正常飞行误发短信或电话。</x:v>
      </x:c>
      <x:c r="G90" s="483" t="str">
        <x:v>还没测</x:v>
      </x:c>
      <x:c r="H90" s="483" t="str"/>
      <x:c r="I90" s="483" t="str"/>
      <x:c r="J90" s="502" t="str"/>
      <x:c r="K90" s="483" t="str"/>
      <x:c r="L90" s="483" t="str"/>
    </x:row>
    <x:row r="91" ht="78" customHeight="1">
      <x:c r="A91" s="485" t="str">
        <x:v>F09</x:v>
      </x:c>
      <x:c r="B91" s="485" t="n">
        <x:v>6</x:v>
      </x:c>
      <x:c r="C91" s="485" t="str">
        <x:v>反制正确阻断</x:v>
      </x:c>
      <x:c r="D91" s="485" t="str">
        <x:v>正常飞行不误触发</x:v>
      </x:c>
      <x:c r="E91" s="423" t="str">
        <x:v>尝试查看/发起反制并检查后台是否产生了自动动作。</x:v>
      </x:c>
      <x:c r="F91" s="423" t="str">
        <x:v>合法依据明确，不产生无故通知、反制或处罚交接。 本步骤以正确阻断及无多余命令为通过。</x:v>
      </x:c>
      <x:c r="G91" s="483" t="str">
        <x:v>还没测</x:v>
      </x:c>
      <x:c r="H91" s="483" t="str"/>
      <x:c r="I91" s="483" t="str"/>
      <x:c r="J91" s="502" t="str"/>
      <x:c r="K91" s="483" t="str"/>
      <x:c r="L91" s="483" t="str"/>
    </x:row>
    <x:row r="92" ht="78" customHeight="1">
      <x:c r="A92" s="485" t="str">
        <x:v>F09</x:v>
      </x:c>
      <x:c r="B92" s="485" t="n">
        <x:v>7</x:v>
      </x:c>
      <x:c r="C92" s="485" t="str">
        <x:v>确认没有错误设备动作</x:v>
      </x:c>
      <x:c r="D92" s="485" t="str">
        <x:v>正常飞行不误触发</x:v>
      </x:c>
      <x:c r="E92" s="423" t="str">
        <x:v>核对当前事件的指令记录和测试设备接收记录。</x:v>
      </x:c>
      <x:c r="F92" s="423" t="str">
        <x:v>本轮不应执行的动作确实没有发生；不能只因页面没显示就判为未下发。</x:v>
      </x:c>
      <x:c r="G92" s="483" t="str">
        <x:v>还没测</x:v>
      </x:c>
      <x:c r="H92" s="483" t="str"/>
      <x:c r="I92" s="483" t="str"/>
      <x:c r="J92" s="502" t="str"/>
      <x:c r="K92" s="483" t="str"/>
      <x:c r="L92" s="483" t="str"/>
    </x:row>
    <x:row r="93" ht="78" customHeight="1">
      <x:c r="A93" s="485" t="str">
        <x:v>F09</x:v>
      </x:c>
      <x:c r="B93" s="485" t="n">
        <x:v>8</x:v>
      </x:c>
      <x:c r="C93" s="485" t="str">
        <x:v>确认没有错误处罚交接</x:v>
      </x:c>
      <x:c r="D93" s="485" t="str">
        <x:v>正常飞行不误触发</x:v>
      </x:c>
      <x:c r="E93" s="423" t="str">
        <x:v>核对本事件是否产生了不该有的处罚通知或交接；查看保留的历史。</x:v>
      </x:c>
      <x:c r="F93" s="423" t="str">
        <x:v>不因开了自动通知处罚就跳过实际依据；本轮无合法触发条件时不得错误移送。</x:v>
      </x:c>
      <x:c r="G93" s="483" t="str">
        <x:v>还没测</x:v>
      </x:c>
      <x:c r="H93" s="483" t="str"/>
      <x:c r="I93" s="483" t="str"/>
      <x:c r="J93" s="502" t="str"/>
      <x:c r="K93" s="483" t="str"/>
      <x:c r="L93" s="483" t="str"/>
    </x:row>
    <x:row r="94" ht="78" customHeight="1">
      <x:c r="A94" s="485" t="str">
        <x:v>F09</x:v>
      </x:c>
      <x:c r="B94" s="485" t="n">
        <x:v>9</x:v>
      </x:c>
      <x:c r="C94" s="485" t="str">
        <x:v>证据统计与跨页一致</x:v>
      </x:c>
      <x:c r="D94" s="485" t="str">
        <x:v>正常飞行不误触发</x:v>
      </x:c>
      <x:c r="E94" s="423" t="str">
        <x:v>在证据、统计、告警、计划和移送页按同一事件核对。记录所有关联编号和重要时间。</x:v>
      </x:c>
      <x:c r="F94" s="423" t="str">
        <x:v>原始与冻结材料完整；事件、授权、命令、通知、交接能互相对应；统计按真实事实计数，不把签收当结案。</x:v>
      </x:c>
      <x:c r="G94" s="483" t="str">
        <x:v>还没测</x:v>
      </x:c>
      <x:c r="H94" s="483" t="str"/>
      <x:c r="I94" s="483" t="str"/>
      <x:c r="J94" s="502" t="str"/>
      <x:c r="K94" s="483" t="str"/>
      <x:c r="L94" s="483" t="str"/>
    </x:row>
    <x:row r="95" ht="78" customHeight="1">
      <x:c r="A95" s="485" t="str">
        <x:v>F09</x:v>
      </x:c>
      <x:c r="B95" s="485" t="n">
        <x:v>10</x:v>
      </x:c>
      <x:c r="C95" s="485" t="str">
        <x:v>关闭页面与重登复查</x:v>
      </x:c>
      <x:c r="D95" s="485" t="str">
        <x:v>正常飞行不误触发</x:v>
      </x:c>
      <x:c r="E95" s="423" t="str">
        <x:v>本轮适用的自动等待阶段关闭页面再打开；结束后刷新、退出重登。核对动作次数并停止模拟。</x:v>
      </x:c>
      <x:c r="F95" s="423" t="str">
        <x:v>自动办理不依赖页面打开；刷新重登不重复动作；最终结果稳定，历史保留，模拟任务已明确停止。</x:v>
      </x:c>
      <x:c r="G95" s="483" t="str">
        <x:v>还没测</x:v>
      </x:c>
      <x:c r="H95" s="483" t="str"/>
      <x:c r="I95" s="483" t="str"/>
      <x:c r="J95" s="502" t="str"/>
      <x:c r="K95" s="483" t="str"/>
      <x:c r="L95" s="483" t="str"/>
    </x:row>
    <x:row r="96" ht="78" customHeight="1">
      <x:c r="A96" s="486" t="str">
        <x:v>F10</x:v>
      </x:c>
      <x:c r="B96" s="486" t="n">
        <x:v>1</x:v>
      </x:c>
      <x:c r="C96" s="486" t="str">
        <x:v>后台配置与测试准备</x:v>
      </x:c>
      <x:c r="D96" s="486" t="str">
        <x:v>手动核实为误报</x:v>
      </x:c>
      <x:c r="E96" s="424" t="str">
        <x:v>按M4设置三类规则，并保存回读。记录有效时长、账号、范围、设备、通道和规则版本。</x:v>
      </x:c>
      <x:c r="F96" s="424" t="str">
        <x:v>实际运行设置与本轮相符；模拟通道可用。待核实事件由人员判误报。</x:v>
      </x:c>
      <x:c r="G96" s="503" t="str">
        <x:v>还没测</x:v>
      </x:c>
      <x:c r="H96" s="503" t="str"/>
      <x:c r="I96" s="503" t="str"/>
      <x:c r="J96" s="504" t="str"/>
      <x:c r="K96" s="503" t="str"/>
      <x:c r="L96" s="503" t="str"/>
    </x:row>
    <x:row r="97" ht="78" customHeight="1">
      <x:c r="A97" s="487" t="str">
        <x:v>F10</x:v>
      </x:c>
      <x:c r="B97" s="487" t="n">
        <x:v>2</x:v>
      </x:c>
      <x:c r="C97" s="487" t="str">
        <x:v>输入数据并识别目标</x:v>
      </x:c>
      <x:c r="D97" s="487" t="str">
        <x:v>手动核实为误报</x:v>
      </x:c>
      <x:c r="E97" s="425" t="str">
        <x:v>启动新批次，通过获准入口输入计划和目标数据；记录唯一目标、计划和设备编号。</x:v>
      </x:c>
      <x:c r="F97" s="425" t="str">
        <x:v>能在融合感知查到同一目标，位置、时间和模拟标记正确；发送成功不代替平台已接收。</x:v>
      </x:c>
      <x:c r="G97" s="483" t="str">
        <x:v>还没测</x:v>
      </x:c>
      <x:c r="H97" s="483" t="str"/>
      <x:c r="I97" s="483" t="str"/>
      <x:c r="J97" s="502" t="str"/>
      <x:c r="K97" s="483" t="str"/>
      <x:c r="L97" s="483" t="str"/>
    </x:row>
    <x:row r="98" ht="78" customHeight="1">
      <x:c r="A98" s="487" t="str">
        <x:v>F10</x:v>
      </x:c>
      <x:c r="B98" s="487" t="n">
        <x:v>3</x:v>
      </x:c>
      <x:c r="C98" s="487" t="str">
        <x:v>研判和告警关联</x:v>
      </x:c>
      <x:c r="D98" s="487" t="str">
        <x:v>手动核实为误报</x:v>
      </x:c>
      <x:c r="E98" s="425" t="str">
        <x:v>打开计划、合法性研判和告警，核对同一目标、计划、研判和事件关系。</x:v>
      </x:c>
      <x:c r="F98" s="425" t="str">
        <x:v>主链准备明确违规且证据充分的事件；各页同一事实。若本轮是合法或误报分支，按该分支正确阻止后续。</x:v>
      </x:c>
      <x:c r="G98" s="483" t="str">
        <x:v>还没测</x:v>
      </x:c>
      <x:c r="H98" s="483" t="str"/>
      <x:c r="I98" s="483" t="str"/>
      <x:c r="J98" s="502" t="str"/>
      <x:c r="K98" s="483" t="str"/>
      <x:c r="L98" s="483" t="str"/>
    </x:row>
    <x:row r="99" ht="78" customHeight="1">
      <x:c r="A99" s="487" t="str">
        <x:v>F10</x:v>
      </x:c>
      <x:c r="B99" s="487" t="n">
        <x:v>4</x:v>
      </x:c>
      <x:c r="C99" s="487" t="str">
        <x:v>人工判误报</x:v>
      </x:c>
      <x:c r="D99" s="487" t="str">
        <x:v>手动核实为误报</x:v>
      </x:c>
      <x:c r="E99" s="425" t="str">
        <x:v>先确认处于待核实，值班人员选择误报并说明原因。</x:v>
      </x:c>
      <x:c r="F99" s="425" t="str">
        <x:v>误报事实和处理人保存；后续自动开关不能把该事件当属实。</x:v>
      </x:c>
      <x:c r="G99" s="483" t="str">
        <x:v>还没测</x:v>
      </x:c>
      <x:c r="H99" s="483" t="str"/>
      <x:c r="I99" s="483" t="str"/>
      <x:c r="J99" s="502" t="str"/>
      <x:c r="K99" s="483" t="str"/>
      <x:c r="L99" s="483" t="str"/>
    </x:row>
    <x:row r="100" ht="78" customHeight="1">
      <x:c r="A100" s="487" t="str">
        <x:v>F10</x:v>
      </x:c>
      <x:c r="B100" s="487" t="n">
        <x:v>5</x:v>
      </x:c>
      <x:c r="C100" s="487" t="str">
        <x:v>误报不进入通知链</x:v>
      </x:c>
      <x:c r="D100" s="487" t="str">
        <x:v>手动核实为误报</x:v>
      </x:c>
      <x:c r="E100" s="425" t="str">
        <x:v>查看该事件短信与电话记录并等待调度检查。</x:v>
      </x:c>
      <x:c r="F100" s="425" t="str">
        <x:v>误报不发短信、电话，不进入待反制。</x:v>
      </x:c>
      <x:c r="G100" s="483" t="str">
        <x:v>还没测</x:v>
      </x:c>
      <x:c r="H100" s="483" t="str"/>
      <x:c r="I100" s="483" t="str"/>
      <x:c r="J100" s="502" t="str"/>
      <x:c r="K100" s="483" t="str"/>
      <x:c r="L100" s="483" t="str"/>
    </x:row>
    <x:row r="101" ht="78" customHeight="1">
      <x:c r="A101" s="487" t="str">
        <x:v>F10</x:v>
      </x:c>
      <x:c r="B101" s="487" t="n">
        <x:v>6</x:v>
      </x:c>
      <x:c r="C101" s="487" t="str">
        <x:v>反制正确阻断</x:v>
      </x:c>
      <x:c r="D101" s="487" t="str">
        <x:v>手动核实为误报</x:v>
      </x:c>
      <x:c r="E101" s="425" t="str">
        <x:v>尝试查看/发起反制并检查后台是否产生了自动动作。</x:v>
      </x:c>
      <x:c r="F101" s="425" t="str">
        <x:v>后续虽配置自动，仍不能发短信、反制或通知处罚；误报历史保留。 本步骤以正确阻断及无多余命令为通过。</x:v>
      </x:c>
      <x:c r="G101" s="483" t="str">
        <x:v>还没测</x:v>
      </x:c>
      <x:c r="H101" s="483" t="str"/>
      <x:c r="I101" s="483" t="str"/>
      <x:c r="J101" s="502" t="str"/>
      <x:c r="K101" s="483" t="str"/>
      <x:c r="L101" s="483" t="str"/>
    </x:row>
    <x:row r="102" ht="78" customHeight="1">
      <x:c r="A102" s="487" t="str">
        <x:v>F10</x:v>
      </x:c>
      <x:c r="B102" s="487" t="n">
        <x:v>7</x:v>
      </x:c>
      <x:c r="C102" s="487" t="str">
        <x:v>确认没有错误设备动作</x:v>
      </x:c>
      <x:c r="D102" s="487" t="str">
        <x:v>手动核实为误报</x:v>
      </x:c>
      <x:c r="E102" s="425" t="str">
        <x:v>核对当前事件的指令记录和测试设备接收记录。</x:v>
      </x:c>
      <x:c r="F102" s="425" t="str">
        <x:v>本轮不应执行的动作确实没有发生；不能只因页面没显示就判为未下发。</x:v>
      </x:c>
      <x:c r="G102" s="483" t="str">
        <x:v>还没测</x:v>
      </x:c>
      <x:c r="H102" s="483" t="str"/>
      <x:c r="I102" s="483" t="str"/>
      <x:c r="J102" s="502" t="str"/>
      <x:c r="K102" s="483" t="str"/>
      <x:c r="L102" s="483" t="str"/>
    </x:row>
    <x:row r="103" ht="78" customHeight="1">
      <x:c r="A103" s="487" t="str">
        <x:v>F10</x:v>
      </x:c>
      <x:c r="B103" s="487" t="n">
        <x:v>8</x:v>
      </x:c>
      <x:c r="C103" s="487" t="str">
        <x:v>确认没有错误处罚交接</x:v>
      </x:c>
      <x:c r="D103" s="487" t="str">
        <x:v>手动核实为误报</x:v>
      </x:c>
      <x:c r="E103" s="425" t="str">
        <x:v>核对本事件是否产生了不该有的处罚通知或交接；查看保留的历史。</x:v>
      </x:c>
      <x:c r="F103" s="425" t="str">
        <x:v>不因开了自动通知处罚就跳过实际依据；本轮无合法触发条件时不得错误移送。</x:v>
      </x:c>
      <x:c r="G103" s="483" t="str">
        <x:v>还没测</x:v>
      </x:c>
      <x:c r="H103" s="483" t="str"/>
      <x:c r="I103" s="483" t="str"/>
      <x:c r="J103" s="502" t="str"/>
      <x:c r="K103" s="483" t="str"/>
      <x:c r="L103" s="483" t="str"/>
    </x:row>
    <x:row r="104" ht="78" customHeight="1">
      <x:c r="A104" s="487" t="str">
        <x:v>F10</x:v>
      </x:c>
      <x:c r="B104" s="487" t="n">
        <x:v>9</x:v>
      </x:c>
      <x:c r="C104" s="487" t="str">
        <x:v>证据统计与跨页一致</x:v>
      </x:c>
      <x:c r="D104" s="487" t="str">
        <x:v>手动核实为误报</x:v>
      </x:c>
      <x:c r="E104" s="425" t="str">
        <x:v>在证据、统计、告警、计划和移送页按同一事件核对。记录所有关联编号和重要时间。</x:v>
      </x:c>
      <x:c r="F104" s="425" t="str">
        <x:v>原始与冻结材料完整；事件、授权、命令、通知、交接能互相对应；统计按真实事实计数，不把签收当结案。</x:v>
      </x:c>
      <x:c r="G104" s="483" t="str">
        <x:v>还没测</x:v>
      </x:c>
      <x:c r="H104" s="483" t="str"/>
      <x:c r="I104" s="483" t="str"/>
      <x:c r="J104" s="502" t="str"/>
      <x:c r="K104" s="483" t="str"/>
      <x:c r="L104" s="483" t="str"/>
    </x:row>
    <x:row r="105" ht="78" customHeight="1">
      <x:c r="A105" s="487" t="str">
        <x:v>F10</x:v>
      </x:c>
      <x:c r="B105" s="487" t="n">
        <x:v>10</x:v>
      </x:c>
      <x:c r="C105" s="487" t="str">
        <x:v>关闭页面与重登复查</x:v>
      </x:c>
      <x:c r="D105" s="487" t="str">
        <x:v>手动核实为误报</x:v>
      </x:c>
      <x:c r="E105" s="425" t="str">
        <x:v>本轮适用的自动等待阶段关闭页面再打开；结束后刷新、退出重登。核对动作次数并停止模拟。</x:v>
      </x:c>
      <x:c r="F105" s="425" t="str">
        <x:v>自动办理不依赖页面打开；刷新重登不重复动作；最终结果稳定，历史保留，模拟任务已明确停止。</x:v>
      </x:c>
      <x:c r="G105" s="483" t="str">
        <x:v>还没测</x:v>
      </x:c>
      <x:c r="H105" s="483" t="str"/>
      <x:c r="I105" s="483" t="str"/>
      <x:c r="J105" s="502" t="str"/>
      <x:c r="K105" s="483" t="str"/>
      <x:c r="L105" s="483" t="str"/>
    </x:row>
    <x:row r="106" ht="78" customHeight="1">
      <x:c r="A106" s="488" t="str">
        <x:v>F11</x:v>
      </x:c>
      <x:c r="B106" s="488" t="n">
        <x:v>1</x:v>
      </x:c>
      <x:c r="C106" s="488" t="str">
        <x:v>后台配置与测试准备</x:v>
      </x:c>
      <x:c r="D106" s="488" t="str">
        <x:v>短信后飞离</x:v>
      </x:c>
      <x:c r="E106" s="426" t="str">
        <x:v>按M8设置三类规则，并保存回读。记录有效时长、账号、范围、设备、通道和规则版本。</x:v>
      </x:c>
      <x:c r="F106" s="426" t="str">
        <x:v>实际运行设置与本轮相符；模拟通道可用。短信送达后，目标持续上报飞离区域的有效位置。</x:v>
      </x:c>
      <x:c r="G106" s="505" t="str">
        <x:v>还没测</x:v>
      </x:c>
      <x:c r="H106" s="505" t="str"/>
      <x:c r="I106" s="505" t="str"/>
      <x:c r="J106" s="506" t="str"/>
      <x:c r="K106" s="505" t="str"/>
      <x:c r="L106" s="505" t="str"/>
    </x:row>
    <x:row r="107" ht="78" customHeight="1">
      <x:c r="A107" s="489" t="str">
        <x:v>F11</x:v>
      </x:c>
      <x:c r="B107" s="489" t="n">
        <x:v>2</x:v>
      </x:c>
      <x:c r="C107" s="489" t="str">
        <x:v>输入数据并识别目标</x:v>
      </x:c>
      <x:c r="D107" s="489" t="str">
        <x:v>短信后飞离</x:v>
      </x:c>
      <x:c r="E107" s="427" t="str">
        <x:v>启动新批次，通过获准入口输入计划和目标数据；记录唯一目标、计划和设备编号。</x:v>
      </x:c>
      <x:c r="F107" s="427" t="str">
        <x:v>能在融合感知查到同一目标，位置、时间和模拟标记正确；发送成功不代替平台已接收。</x:v>
      </x:c>
      <x:c r="G107" s="483" t="str">
        <x:v>还没测</x:v>
      </x:c>
      <x:c r="H107" s="483" t="str"/>
      <x:c r="I107" s="483" t="str"/>
      <x:c r="J107" s="502" t="str"/>
      <x:c r="K107" s="483" t="str"/>
      <x:c r="L107" s="483" t="str"/>
    </x:row>
    <x:row r="108" ht="78" customHeight="1">
      <x:c r="A108" s="489" t="str">
        <x:v>F11</x:v>
      </x:c>
      <x:c r="B108" s="489" t="n">
        <x:v>3</x:v>
      </x:c>
      <x:c r="C108" s="489" t="str">
        <x:v>研判和告警关联</x:v>
      </x:c>
      <x:c r="D108" s="489" t="str">
        <x:v>短信后飞离</x:v>
      </x:c>
      <x:c r="E108" s="427" t="str">
        <x:v>打开计划、合法性研判和告警，核对同一目标、计划、研判和事件关系。</x:v>
      </x:c>
      <x:c r="F108" s="427" t="str">
        <x:v>主链准备明确违规且证据充分的事件；各页同一事实。若本轮是合法或误报分支，按该分支正确阻止后续。</x:v>
      </x:c>
      <x:c r="G108" s="483" t="str">
        <x:v>还没测</x:v>
      </x:c>
      <x:c r="H108" s="483" t="str"/>
      <x:c r="I108" s="483" t="str"/>
      <x:c r="J108" s="502" t="str"/>
      <x:c r="K108" s="483" t="str"/>
      <x:c r="L108" s="483" t="str"/>
    </x:row>
    <x:row r="109" ht="78" customHeight="1">
      <x:c r="A109" s="489" t="str">
        <x:v>F11</x:v>
      </x:c>
      <x:c r="B109" s="489" t="n">
        <x:v>4</x:v>
      </x:c>
      <x:c r="C109" s="489" t="str">
        <x:v>核实告警</x:v>
      </x:c>
      <x:c r="D109" s="489" t="str">
        <x:v>短信后飞离</x:v>
      </x:c>
      <x:c r="E109" s="427" t="str">
        <x:v>不点击核实，等待已启用规则满足。</x:v>
      </x:c>
      <x:c r="F109" s="427" t="str">
        <x:v>系统按规则核实一次；留有系统处理身份、时间和判定依据。</x:v>
      </x:c>
      <x:c r="G109" s="483" t="str">
        <x:v>还没测</x:v>
      </x:c>
      <x:c r="H109" s="483" t="str"/>
      <x:c r="I109" s="483" t="str"/>
      <x:c r="J109" s="502" t="str"/>
      <x:c r="K109" s="483" t="str"/>
      <x:c r="L109" s="483" t="str"/>
    </x:row>
    <x:row r="110" ht="78" customHeight="1">
      <x:c r="A110" s="489" t="str">
        <x:v>F11</x:v>
      </x:c>
      <x:c r="B110" s="489" t="n">
        <x:v>5</x:v>
      </x:c>
      <x:c r="C110" s="489" t="str">
        <x:v>飞手通知和位置观察</x:v>
      </x:c>
      <x:c r="D110" s="489" t="str">
        <x:v>短信后飞离</x:v>
      </x:c>
      <x:c r="E110" s="427" t="str">
        <x:v>检查短信发送/送达、观察开始/结束、电话接通/播放与新位置；按本轮条件操作目标。 短信送达后，目标持续上报飞离区域的有效位置。</x:v>
      </x:c>
      <x:c r="F110" s="427" t="str">
        <x:v>通知升级及反制停止；保留告警确认和短信记录，不把移送规则当作处罚依据。</x:v>
      </x:c>
      <x:c r="G110" s="483" t="str">
        <x:v>还没测</x:v>
      </x:c>
      <x:c r="H110" s="483" t="str"/>
      <x:c r="I110" s="483" t="str"/>
      <x:c r="J110" s="502" t="str"/>
      <x:c r="K110" s="483" t="str"/>
      <x:c r="L110" s="483" t="str"/>
    </x:row>
    <x:row r="111" ht="78" customHeight="1">
      <x:c r="A111" s="489" t="str">
        <x:v>F11</x:v>
      </x:c>
      <x:c r="B111" s="489" t="n">
        <x:v>6</x:v>
      </x:c>
      <x:c r="C111" s="489" t="str">
        <x:v>反制正确阻断</x:v>
      </x:c>
      <x:c r="D111" s="489" t="str">
        <x:v>短信后飞离</x:v>
      </x:c>
      <x:c r="E111" s="427" t="str">
        <x:v>尝试查看/发起反制并检查后台是否产生了自动动作。</x:v>
      </x:c>
      <x:c r="F111" s="427" t="str">
        <x:v>通知升级及反制停止；保留告警确认和短信记录，不把移送规则当作处罚依据。 本步骤以正确阻断及无多余命令为通过。</x:v>
      </x:c>
      <x:c r="G111" s="483" t="str">
        <x:v>还没测</x:v>
      </x:c>
      <x:c r="H111" s="483" t="str"/>
      <x:c r="I111" s="483" t="str"/>
      <x:c r="J111" s="502" t="str"/>
      <x:c r="K111" s="483" t="str"/>
      <x:c r="L111" s="483" t="str"/>
    </x:row>
    <x:row r="112" ht="78" customHeight="1">
      <x:c r="A112" s="489" t="str">
        <x:v>F11</x:v>
      </x:c>
      <x:c r="B112" s="489" t="n">
        <x:v>7</x:v>
      </x:c>
      <x:c r="C112" s="489" t="str">
        <x:v>确认没有错误设备动作</x:v>
      </x:c>
      <x:c r="D112" s="489" t="str">
        <x:v>短信后飞离</x:v>
      </x:c>
      <x:c r="E112" s="427" t="str">
        <x:v>核对当前事件的指令记录和测试设备接收记录。</x:v>
      </x:c>
      <x:c r="F112" s="427" t="str">
        <x:v>本轮不应执行的动作确实没有发生；不能只因页面没显示就判为未下发。</x:v>
      </x:c>
      <x:c r="G112" s="483" t="str">
        <x:v>还没测</x:v>
      </x:c>
      <x:c r="H112" s="483" t="str"/>
      <x:c r="I112" s="483" t="str"/>
      <x:c r="J112" s="502" t="str"/>
      <x:c r="K112" s="483" t="str"/>
      <x:c r="L112" s="483" t="str"/>
    </x:row>
    <x:row r="113" ht="78" customHeight="1">
      <x:c r="A113" s="489" t="str">
        <x:v>F11</x:v>
      </x:c>
      <x:c r="B113" s="489" t="n">
        <x:v>8</x:v>
      </x:c>
      <x:c r="C113" s="489" t="str">
        <x:v>确认没有错误处罚交接</x:v>
      </x:c>
      <x:c r="D113" s="489" t="str">
        <x:v>短信后飞离</x:v>
      </x:c>
      <x:c r="E113" s="427" t="str">
        <x:v>核对本事件是否产生了不该有的处罚通知或交接；查看保留的历史。</x:v>
      </x:c>
      <x:c r="F113" s="427" t="str">
        <x:v>不因开了自动通知处罚就跳过实际依据；本轮无合法触发条件时不得错误移送。</x:v>
      </x:c>
      <x:c r="G113" s="483" t="str">
        <x:v>还没测</x:v>
      </x:c>
      <x:c r="H113" s="483" t="str"/>
      <x:c r="I113" s="483" t="str"/>
      <x:c r="J113" s="502" t="str"/>
      <x:c r="K113" s="483" t="str"/>
      <x:c r="L113" s="483" t="str"/>
    </x:row>
    <x:row r="114" ht="78" customHeight="1">
      <x:c r="A114" s="489" t="str">
        <x:v>F11</x:v>
      </x:c>
      <x:c r="B114" s="489" t="n">
        <x:v>9</x:v>
      </x:c>
      <x:c r="C114" s="489" t="str">
        <x:v>证据统计与跨页一致</x:v>
      </x:c>
      <x:c r="D114" s="489" t="str">
        <x:v>短信后飞离</x:v>
      </x:c>
      <x:c r="E114" s="427" t="str">
        <x:v>在证据、统计、告警、计划和移送页按同一事件核对。记录所有关联编号和重要时间。</x:v>
      </x:c>
      <x:c r="F114" s="427" t="str">
        <x:v>原始与冻结材料完整；事件、授权、命令、通知、交接能互相对应；统计按真实事实计数，不把签收当结案。</x:v>
      </x:c>
      <x:c r="G114" s="483" t="str">
        <x:v>还没测</x:v>
      </x:c>
      <x:c r="H114" s="483" t="str"/>
      <x:c r="I114" s="483" t="str"/>
      <x:c r="J114" s="502" t="str"/>
      <x:c r="K114" s="483" t="str"/>
      <x:c r="L114" s="483" t="str"/>
    </x:row>
    <x:row r="115" ht="78" customHeight="1">
      <x:c r="A115" s="489" t="str">
        <x:v>F11</x:v>
      </x:c>
      <x:c r="B115" s="489" t="n">
        <x:v>10</x:v>
      </x:c>
      <x:c r="C115" s="489" t="str">
        <x:v>关闭页面与重登复查</x:v>
      </x:c>
      <x:c r="D115" s="489" t="str">
        <x:v>短信后飞离</x:v>
      </x:c>
      <x:c r="E115" s="427" t="str">
        <x:v>本轮适用的自动等待阶段关闭页面再打开；结束后刷新、退出重登。核对动作次数并停止模拟。</x:v>
      </x:c>
      <x:c r="F115" s="427" t="str">
        <x:v>自动办理不依赖页面打开；刷新重登不重复动作；最终结果稳定，历史保留，模拟任务已明确停止。</x:v>
      </x:c>
      <x:c r="G115" s="483" t="str">
        <x:v>还没测</x:v>
      </x:c>
      <x:c r="H115" s="483" t="str"/>
      <x:c r="I115" s="483" t="str"/>
      <x:c r="J115" s="502" t="str"/>
      <x:c r="K115" s="483" t="str"/>
      <x:c r="L115" s="483" t="str"/>
    </x:row>
    <x:row r="116" ht="78" customHeight="1">
      <x:c r="A116" s="490" t="str">
        <x:v>F12</x:v>
      </x:c>
      <x:c r="B116" s="490" t="n">
        <x:v>1</x:v>
      </x:c>
      <x:c r="C116" s="490" t="str">
        <x:v>后台配置与测试准备</x:v>
      </x:c>
      <x:c r="D116" s="490" t="str">
        <x:v>电话后飞离</x:v>
      </x:c>
      <x:c r="E116" s="428" t="str">
        <x:v>按M8设置三类规则，并保存回读。记录有效时长、账号、范围、设备、通道和规则版本。</x:v>
      </x:c>
      <x:c r="F116" s="428" t="str">
        <x:v>实际运行设置与本轮相符；模拟通道可用。短信后仍在域，电话播放完成后飞离并继续上报。</x:v>
      </x:c>
      <x:c r="G116" s="507" t="str">
        <x:v>还没测</x:v>
      </x:c>
      <x:c r="H116" s="507" t="str"/>
      <x:c r="I116" s="507" t="str"/>
      <x:c r="J116" s="508" t="str"/>
      <x:c r="K116" s="507" t="str"/>
      <x:c r="L116" s="507" t="str"/>
    </x:row>
    <x:row r="117" ht="78" customHeight="1">
      <x:c r="A117" s="491" t="str">
        <x:v>F12</x:v>
      </x:c>
      <x:c r="B117" s="491" t="n">
        <x:v>2</x:v>
      </x:c>
      <x:c r="C117" s="491" t="str">
        <x:v>输入数据并识别目标</x:v>
      </x:c>
      <x:c r="D117" s="491" t="str">
        <x:v>电话后飞离</x:v>
      </x:c>
      <x:c r="E117" s="429" t="str">
        <x:v>启动新批次，通过获准入口输入计划和目标数据；记录唯一目标、计划和设备编号。</x:v>
      </x:c>
      <x:c r="F117" s="429" t="str">
        <x:v>能在融合感知查到同一目标，位置、时间和模拟标记正确；发送成功不代替平台已接收。</x:v>
      </x:c>
      <x:c r="G117" s="483" t="str">
        <x:v>还没测</x:v>
      </x:c>
      <x:c r="H117" s="483" t="str"/>
      <x:c r="I117" s="483" t="str"/>
      <x:c r="J117" s="502" t="str"/>
      <x:c r="K117" s="483" t="str"/>
      <x:c r="L117" s="483" t="str"/>
    </x:row>
    <x:row r="118" ht="78" customHeight="1">
      <x:c r="A118" s="491" t="str">
        <x:v>F12</x:v>
      </x:c>
      <x:c r="B118" s="491" t="n">
        <x:v>3</x:v>
      </x:c>
      <x:c r="C118" s="491" t="str">
        <x:v>研判和告警关联</x:v>
      </x:c>
      <x:c r="D118" s="491" t="str">
        <x:v>电话后飞离</x:v>
      </x:c>
      <x:c r="E118" s="429" t="str">
        <x:v>打开计划、合法性研判和告警，核对同一目标、计划、研判和事件关系。</x:v>
      </x:c>
      <x:c r="F118" s="429" t="str">
        <x:v>主链准备明确违规且证据充分的事件；各页同一事实。若本轮是合法或误报分支，按该分支正确阻止后续。</x:v>
      </x:c>
      <x:c r="G118" s="483" t="str">
        <x:v>还没测</x:v>
      </x:c>
      <x:c r="H118" s="483" t="str"/>
      <x:c r="I118" s="483" t="str"/>
      <x:c r="J118" s="502" t="str"/>
      <x:c r="K118" s="483" t="str"/>
      <x:c r="L118" s="483" t="str"/>
    </x:row>
    <x:row r="119" ht="78" customHeight="1">
      <x:c r="A119" s="491" t="str">
        <x:v>F12</x:v>
      </x:c>
      <x:c r="B119" s="491" t="n">
        <x:v>4</x:v>
      </x:c>
      <x:c r="C119" s="491" t="str">
        <x:v>核实告警</x:v>
      </x:c>
      <x:c r="D119" s="491" t="str">
        <x:v>电话后飞离</x:v>
      </x:c>
      <x:c r="E119" s="429" t="str">
        <x:v>不点击核实，等待已启用规则满足。</x:v>
      </x:c>
      <x:c r="F119" s="429" t="str">
        <x:v>系统按规则核实一次；留有系统处理身份、时间和判定依据。</x:v>
      </x:c>
      <x:c r="G119" s="483" t="str">
        <x:v>还没测</x:v>
      </x:c>
      <x:c r="H119" s="483" t="str"/>
      <x:c r="I119" s="483" t="str"/>
      <x:c r="J119" s="502" t="str"/>
      <x:c r="K119" s="483" t="str"/>
      <x:c r="L119" s="483" t="str"/>
    </x:row>
    <x:row r="120" ht="78" customHeight="1">
      <x:c r="A120" s="491" t="str">
        <x:v>F12</x:v>
      </x:c>
      <x:c r="B120" s="491" t="n">
        <x:v>5</x:v>
      </x:c>
      <x:c r="C120" s="491" t="str">
        <x:v>飞手通知和位置观察</x:v>
      </x:c>
      <x:c r="D120" s="491" t="str">
        <x:v>电话后飞离</x:v>
      </x:c>
      <x:c r="E120" s="429" t="str">
        <x:v>检查短信发送/送达、观察开始/结束、电话接通/播放与新位置；按本轮条件操作目标。 短信后仍在域，电话播放完成后飞离并继续上报。</x:v>
      </x:c>
      <x:c r="F120" s="429" t="str">
        <x:v>第二段观察确认飞离，不继续反制；电话事实保留。</x:v>
      </x:c>
      <x:c r="G120" s="483" t="str">
        <x:v>还没测</x:v>
      </x:c>
      <x:c r="H120" s="483" t="str"/>
      <x:c r="I120" s="483" t="str"/>
      <x:c r="J120" s="502" t="str"/>
      <x:c r="K120" s="483" t="str"/>
      <x:c r="L120" s="483" t="str"/>
    </x:row>
    <x:row r="121" ht="78" customHeight="1">
      <x:c r="A121" s="491" t="str">
        <x:v>F12</x:v>
      </x:c>
      <x:c r="B121" s="491" t="n">
        <x:v>6</x:v>
      </x:c>
      <x:c r="C121" s="491" t="str">
        <x:v>反制正确阻断</x:v>
      </x:c>
      <x:c r="D121" s="491" t="str">
        <x:v>电话后飞离</x:v>
      </x:c>
      <x:c r="E121" s="429" t="str">
        <x:v>尝试查看/发起反制并检查后台是否产生了自动动作。</x:v>
      </x:c>
      <x:c r="F121" s="429" t="str">
        <x:v>第二段观察确认飞离，不继续反制；电话事实保留。 本步骤以正确阻断及无多余命令为通过。</x:v>
      </x:c>
      <x:c r="G121" s="483" t="str">
        <x:v>还没测</x:v>
      </x:c>
      <x:c r="H121" s="483" t="str"/>
      <x:c r="I121" s="483" t="str"/>
      <x:c r="J121" s="502" t="str"/>
      <x:c r="K121" s="483" t="str"/>
      <x:c r="L121" s="483" t="str"/>
    </x:row>
    <x:row r="122" ht="78" customHeight="1">
      <x:c r="A122" s="491" t="str">
        <x:v>F12</x:v>
      </x:c>
      <x:c r="B122" s="491" t="n">
        <x:v>7</x:v>
      </x:c>
      <x:c r="C122" s="491" t="str">
        <x:v>确认没有错误设备动作</x:v>
      </x:c>
      <x:c r="D122" s="491" t="str">
        <x:v>电话后飞离</x:v>
      </x:c>
      <x:c r="E122" s="429" t="str">
        <x:v>核对当前事件的指令记录和测试设备接收记录。</x:v>
      </x:c>
      <x:c r="F122" s="429" t="str">
        <x:v>本轮不应执行的动作确实没有发生；不能只因页面没显示就判为未下发。</x:v>
      </x:c>
      <x:c r="G122" s="483" t="str">
        <x:v>还没测</x:v>
      </x:c>
      <x:c r="H122" s="483" t="str"/>
      <x:c r="I122" s="483" t="str"/>
      <x:c r="J122" s="502" t="str"/>
      <x:c r="K122" s="483" t="str"/>
      <x:c r="L122" s="483" t="str"/>
    </x:row>
    <x:row r="123" ht="78" customHeight="1">
      <x:c r="A123" s="491" t="str">
        <x:v>F12</x:v>
      </x:c>
      <x:c r="B123" s="491" t="n">
        <x:v>8</x:v>
      </x:c>
      <x:c r="C123" s="491" t="str">
        <x:v>确认没有错误处罚交接</x:v>
      </x:c>
      <x:c r="D123" s="491" t="str">
        <x:v>电话后飞离</x:v>
      </x:c>
      <x:c r="E123" s="429" t="str">
        <x:v>核对本事件是否产生了不该有的处罚通知或交接；查看保留的历史。</x:v>
      </x:c>
      <x:c r="F123" s="429" t="str">
        <x:v>不因开了自动通知处罚就跳过实际依据；本轮无合法触发条件时不得错误移送。</x:v>
      </x:c>
      <x:c r="G123" s="483" t="str">
        <x:v>还没测</x:v>
      </x:c>
      <x:c r="H123" s="483" t="str"/>
      <x:c r="I123" s="483" t="str"/>
      <x:c r="J123" s="502" t="str"/>
      <x:c r="K123" s="483" t="str"/>
      <x:c r="L123" s="483" t="str"/>
    </x:row>
    <x:row r="124" ht="78" customHeight="1">
      <x:c r="A124" s="491" t="str">
        <x:v>F12</x:v>
      </x:c>
      <x:c r="B124" s="491" t="n">
        <x:v>9</x:v>
      </x:c>
      <x:c r="C124" s="491" t="str">
        <x:v>证据统计与跨页一致</x:v>
      </x:c>
      <x:c r="D124" s="491" t="str">
        <x:v>电话后飞离</x:v>
      </x:c>
      <x:c r="E124" s="429" t="str">
        <x:v>在证据、统计、告警、计划和移送页按同一事件核对。记录所有关联编号和重要时间。</x:v>
      </x:c>
      <x:c r="F124" s="429" t="str">
        <x:v>原始与冻结材料完整；事件、授权、命令、通知、交接能互相对应；统计按真实事实计数，不把签收当结案。</x:v>
      </x:c>
      <x:c r="G124" s="483" t="str">
        <x:v>还没测</x:v>
      </x:c>
      <x:c r="H124" s="483" t="str"/>
      <x:c r="I124" s="483" t="str"/>
      <x:c r="J124" s="502" t="str"/>
      <x:c r="K124" s="483" t="str"/>
      <x:c r="L124" s="483" t="str"/>
    </x:row>
    <x:row r="125" ht="78" customHeight="1">
      <x:c r="A125" s="491" t="str">
        <x:v>F12</x:v>
      </x:c>
      <x:c r="B125" s="491" t="n">
        <x:v>10</x:v>
      </x:c>
      <x:c r="C125" s="491" t="str">
        <x:v>关闭页面与重登复查</x:v>
      </x:c>
      <x:c r="D125" s="491" t="str">
        <x:v>电话后飞离</x:v>
      </x:c>
      <x:c r="E125" s="429" t="str">
        <x:v>本轮适用的自动等待阶段关闭页面再打开；结束后刷新、退出重登。核对动作次数并停止模拟。</x:v>
      </x:c>
      <x:c r="F125" s="429" t="str">
        <x:v>自动办理不依赖页面打开；刷新重登不重复动作；最终结果稳定，历史保留，模拟任务已明确停止。</x:v>
      </x:c>
      <x:c r="G125" s="483" t="str">
        <x:v>还没测</x:v>
      </x:c>
      <x:c r="H125" s="483" t="str"/>
      <x:c r="I125" s="483" t="str"/>
      <x:c r="J125" s="502" t="str"/>
      <x:c r="K125" s="483" t="str"/>
      <x:c r="L125" s="483" t="str"/>
    </x:row>
    <x:row r="126" ht="78" customHeight="1">
      <x:c r="A126" s="492" t="str">
        <x:v>F13</x:v>
      </x:c>
      <x:c r="B126" s="492" t="n">
        <x:v>1</x:v>
      </x:c>
      <x:c r="C126" s="492" t="str">
        <x:v>后台配置与测试准备</x:v>
      </x:c>
      <x:c r="D126" s="492" t="str">
        <x:v>通知后停止上报</x:v>
      </x:c>
      <x:c r="E126" s="430" t="str">
        <x:v>按M8设置三类规则，并保存回读。记录有效时长、账号、范围、设备、通道和规则版本。</x:v>
      </x:c>
      <x:c r="F126" s="430" t="str">
        <x:v>实际运行设置与本轮相符；模拟通道可用。短信送达后停掉主辅目标位置，设备心跳保留。</x:v>
      </x:c>
      <x:c r="G126" s="509" t="str">
        <x:v>还没测</x:v>
      </x:c>
      <x:c r="H126" s="509" t="str"/>
      <x:c r="I126" s="509" t="str"/>
      <x:c r="J126" s="510" t="str"/>
      <x:c r="K126" s="509" t="str"/>
      <x:c r="L126" s="509" t="str"/>
    </x:row>
    <x:row r="127" ht="78" customHeight="1">
      <x:c r="A127" s="493" t="str">
        <x:v>F13</x:v>
      </x:c>
      <x:c r="B127" s="493" t="n">
        <x:v>2</x:v>
      </x:c>
      <x:c r="C127" s="493" t="str">
        <x:v>输入数据并识别目标</x:v>
      </x:c>
      <x:c r="D127" s="493" t="str">
        <x:v>通知后停止上报</x:v>
      </x:c>
      <x:c r="E127" s="431" t="str">
        <x:v>启动新批次，通过获准入口输入计划和目标数据；记录唯一目标、计划和设备编号。</x:v>
      </x:c>
      <x:c r="F127" s="431" t="str">
        <x:v>能在融合感知查到同一目标，位置、时间和模拟标记正确；发送成功不代替平台已接收。</x:v>
      </x:c>
      <x:c r="G127" s="483" t="str">
        <x:v>还没测</x:v>
      </x:c>
      <x:c r="H127" s="483" t="str"/>
      <x:c r="I127" s="483" t="str"/>
      <x:c r="J127" s="502" t="str"/>
      <x:c r="K127" s="483" t="str"/>
      <x:c r="L127" s="483" t="str"/>
    </x:row>
    <x:row r="128" ht="78" customHeight="1">
      <x:c r="A128" s="493" t="str">
        <x:v>F13</x:v>
      </x:c>
      <x:c r="B128" s="493" t="n">
        <x:v>3</x:v>
      </x:c>
      <x:c r="C128" s="493" t="str">
        <x:v>研判和告警关联</x:v>
      </x:c>
      <x:c r="D128" s="493" t="str">
        <x:v>通知后停止上报</x:v>
      </x:c>
      <x:c r="E128" s="431" t="str">
        <x:v>打开计划、合法性研判和告警，核对同一目标、计划、研判和事件关系。</x:v>
      </x:c>
      <x:c r="F128" s="431" t="str">
        <x:v>主链准备明确违规且证据充分的事件；各页同一事实。若本轮是合法或误报分支，按该分支正确阻止后续。</x:v>
      </x:c>
      <x:c r="G128" s="483" t="str">
        <x:v>还没测</x:v>
      </x:c>
      <x:c r="H128" s="483" t="str"/>
      <x:c r="I128" s="483" t="str"/>
      <x:c r="J128" s="502" t="str"/>
      <x:c r="K128" s="483" t="str"/>
      <x:c r="L128" s="483" t="str"/>
    </x:row>
    <x:row r="129" ht="78" customHeight="1">
      <x:c r="A129" s="493" t="str">
        <x:v>F13</x:v>
      </x:c>
      <x:c r="B129" s="493" t="n">
        <x:v>4</x:v>
      </x:c>
      <x:c r="C129" s="493" t="str">
        <x:v>核实告警</x:v>
      </x:c>
      <x:c r="D129" s="493" t="str">
        <x:v>通知后停止上报</x:v>
      </x:c>
      <x:c r="E129" s="431" t="str">
        <x:v>不点击核实，等待已启用规则满足。</x:v>
      </x:c>
      <x:c r="F129" s="431" t="str">
        <x:v>系统按规则核实一次；留有系统处理身份、时间和判定依据。</x:v>
      </x:c>
      <x:c r="G129" s="483" t="str">
        <x:v>还没测</x:v>
      </x:c>
      <x:c r="H129" s="483" t="str"/>
      <x:c r="I129" s="483" t="str"/>
      <x:c r="J129" s="502" t="str"/>
      <x:c r="K129" s="483" t="str"/>
      <x:c r="L129" s="483" t="str"/>
    </x:row>
    <x:row r="130" ht="78" customHeight="1">
      <x:c r="A130" s="493" t="str">
        <x:v>F13</x:v>
      </x:c>
      <x:c r="B130" s="493" t="n">
        <x:v>5</x:v>
      </x:c>
      <x:c r="C130" s="493" t="str">
        <x:v>飞手通知和位置观察</x:v>
      </x:c>
      <x:c r="D130" s="493" t="str">
        <x:v>通知后停止上报</x:v>
      </x:c>
      <x:c r="E130" s="431" t="str">
        <x:v>检查短信发送/送达、观察开始/结束、电话接通/播放与新位置；按本轮条件操作目标。 短信送达后停掉主辅目标位置，设备心跳保留。</x:v>
      </x:c>
      <x:c r="F130" s="431" t="str">
        <x:v>显示无法确认离开；不误打电话或误反制，不能拿旧位置继续执行。</x:v>
      </x:c>
      <x:c r="G130" s="483" t="str">
        <x:v>还没测</x:v>
      </x:c>
      <x:c r="H130" s="483" t="str"/>
      <x:c r="I130" s="483" t="str"/>
      <x:c r="J130" s="502" t="str"/>
      <x:c r="K130" s="483" t="str"/>
      <x:c r="L130" s="483" t="str"/>
    </x:row>
    <x:row r="131" ht="78" customHeight="1">
      <x:c r="A131" s="493" t="str">
        <x:v>F13</x:v>
      </x:c>
      <x:c r="B131" s="493" t="n">
        <x:v>6</x:v>
      </x:c>
      <x:c r="C131" s="493" t="str">
        <x:v>反制正确阻断</x:v>
      </x:c>
      <x:c r="D131" s="493" t="str">
        <x:v>通知后停止上报</x:v>
      </x:c>
      <x:c r="E131" s="431" t="str">
        <x:v>尝试查看/发起反制并检查后台是否产生了自动动作。</x:v>
      </x:c>
      <x:c r="F131" s="431" t="str">
        <x:v>显示无法确认离开；不误打电话或误反制，不能拿旧位置继续执行。 本步骤以正确阻断及无多余命令为通过。</x:v>
      </x:c>
      <x:c r="G131" s="483" t="str">
        <x:v>还没测</x:v>
      </x:c>
      <x:c r="H131" s="483" t="str"/>
      <x:c r="I131" s="483" t="str"/>
      <x:c r="J131" s="502" t="str"/>
      <x:c r="K131" s="483" t="str"/>
      <x:c r="L131" s="483" t="str"/>
    </x:row>
    <x:row r="132" ht="78" customHeight="1">
      <x:c r="A132" s="493" t="str">
        <x:v>F13</x:v>
      </x:c>
      <x:c r="B132" s="493" t="n">
        <x:v>7</x:v>
      </x:c>
      <x:c r="C132" s="493" t="str">
        <x:v>确认没有错误设备动作</x:v>
      </x:c>
      <x:c r="D132" s="493" t="str">
        <x:v>通知后停止上报</x:v>
      </x:c>
      <x:c r="E132" s="431" t="str">
        <x:v>核对当前事件的指令记录和测试设备接收记录。</x:v>
      </x:c>
      <x:c r="F132" s="431" t="str">
        <x:v>本轮不应执行的动作确实没有发生；不能只因页面没显示就判为未下发。</x:v>
      </x:c>
      <x:c r="G132" s="483" t="str">
        <x:v>还没测</x:v>
      </x:c>
      <x:c r="H132" s="483" t="str"/>
      <x:c r="I132" s="483" t="str"/>
      <x:c r="J132" s="502" t="str"/>
      <x:c r="K132" s="483" t="str"/>
      <x:c r="L132" s="483" t="str"/>
    </x:row>
    <x:row r="133" ht="78" customHeight="1">
      <x:c r="A133" s="493" t="str">
        <x:v>F13</x:v>
      </x:c>
      <x:c r="B133" s="493" t="n">
        <x:v>8</x:v>
      </x:c>
      <x:c r="C133" s="493" t="str">
        <x:v>确认没有错误处罚交接</x:v>
      </x:c>
      <x:c r="D133" s="493" t="str">
        <x:v>通知后停止上报</x:v>
      </x:c>
      <x:c r="E133" s="431" t="str">
        <x:v>核对本事件是否产生了不该有的处罚通知或交接；查看保留的历史。</x:v>
      </x:c>
      <x:c r="F133" s="431" t="str">
        <x:v>不因开了自动通知处罚就跳过实际依据；本轮无合法触发条件时不得错误移送。</x:v>
      </x:c>
      <x:c r="G133" s="483" t="str">
        <x:v>还没测</x:v>
      </x:c>
      <x:c r="H133" s="483" t="str"/>
      <x:c r="I133" s="483" t="str"/>
      <x:c r="J133" s="502" t="str"/>
      <x:c r="K133" s="483" t="str"/>
      <x:c r="L133" s="483" t="str"/>
    </x:row>
    <x:row r="134" ht="78" customHeight="1">
      <x:c r="A134" s="493" t="str">
        <x:v>F13</x:v>
      </x:c>
      <x:c r="B134" s="493" t="n">
        <x:v>9</x:v>
      </x:c>
      <x:c r="C134" s="493" t="str">
        <x:v>证据统计与跨页一致</x:v>
      </x:c>
      <x:c r="D134" s="493" t="str">
        <x:v>通知后停止上报</x:v>
      </x:c>
      <x:c r="E134" s="431" t="str">
        <x:v>在证据、统计、告警、计划和移送页按同一事件核对。记录所有关联编号和重要时间。</x:v>
      </x:c>
      <x:c r="F134" s="431" t="str">
        <x:v>原始与冻结材料完整；事件、授权、命令、通知、交接能互相对应；统计按真实事实计数，不把签收当结案。</x:v>
      </x:c>
      <x:c r="G134" s="483" t="str">
        <x:v>还没测</x:v>
      </x:c>
      <x:c r="H134" s="483" t="str"/>
      <x:c r="I134" s="483" t="str"/>
      <x:c r="J134" s="502" t="str"/>
      <x:c r="K134" s="483" t="str"/>
      <x:c r="L134" s="483" t="str"/>
    </x:row>
    <x:row r="135" ht="78" customHeight="1">
      <x:c r="A135" s="493" t="str">
        <x:v>F13</x:v>
      </x:c>
      <x:c r="B135" s="493" t="n">
        <x:v>10</x:v>
      </x:c>
      <x:c r="C135" s="493" t="str">
        <x:v>关闭页面与重登复查</x:v>
      </x:c>
      <x:c r="D135" s="493" t="str">
        <x:v>通知后停止上报</x:v>
      </x:c>
      <x:c r="E135" s="431" t="str">
        <x:v>本轮适用的自动等待阶段关闭页面再打开；结束后刷新、退出重登。核对动作次数并停止模拟。</x:v>
      </x:c>
      <x:c r="F135" s="431" t="str">
        <x:v>自动办理不依赖页面打开；刷新重登不重复动作；最终结果稳定，历史保留，模拟任务已明确停止。</x:v>
      </x:c>
      <x:c r="G135" s="483" t="str">
        <x:v>还没测</x:v>
      </x:c>
      <x:c r="H135" s="483" t="str"/>
      <x:c r="I135" s="483" t="str"/>
      <x:c r="J135" s="502" t="str"/>
      <x:c r="K135" s="483" t="str"/>
      <x:c r="L135" s="483" t="str"/>
    </x:row>
    <x:row r="136" ht="78" customHeight="1">
      <x:c r="A136" s="494" t="str">
        <x:v>F14</x:v>
      </x:c>
      <x:c r="B136" s="494" t="n">
        <x:v>1</x:v>
      </x:c>
      <x:c r="C136" s="494" t="str">
        <x:v>后台配置与测试准备</x:v>
      </x:c>
      <x:c r="D136" s="494" t="str">
        <x:v>没有核验飞手或渠道不可用</x:v>
      </x:c>
      <x:c r="E136" s="432" t="str">
        <x:v>按M8设置三类规则，并保存回读。记录有效时长、账号、范围、设备、通道和规则版本。</x:v>
      </x:c>
      <x:c r="F136" s="432" t="str">
        <x:v>实际运行设置与本轮相符；模拟通道可用。分别测试无核验飞手、短信不可用、电话不可用三个子批次。</x:v>
      </x:c>
      <x:c r="G136" s="511" t="str">
        <x:v>还没测</x:v>
      </x:c>
      <x:c r="H136" s="511" t="str"/>
      <x:c r="I136" s="511" t="str"/>
      <x:c r="J136" s="512" t="str"/>
      <x:c r="K136" s="511" t="str"/>
      <x:c r="L136" s="511" t="str"/>
    </x:row>
    <x:row r="137" ht="78" customHeight="1">
      <x:c r="A137" s="495" t="str">
        <x:v>F14</x:v>
      </x:c>
      <x:c r="B137" s="495" t="n">
        <x:v>2</x:v>
      </x:c>
      <x:c r="C137" s="495" t="str">
        <x:v>输入数据并识别目标</x:v>
      </x:c>
      <x:c r="D137" s="495" t="str">
        <x:v>没有核验飞手或渠道不可用</x:v>
      </x:c>
      <x:c r="E137" s="433" t="str">
        <x:v>启动新批次，通过获准入口输入计划和目标数据；记录唯一目标、计划和设备编号。</x:v>
      </x:c>
      <x:c r="F137" s="433" t="str">
        <x:v>能在融合感知查到同一目标，位置、时间和模拟标记正确；发送成功不代替平台已接收。</x:v>
      </x:c>
      <x:c r="G137" s="483" t="str">
        <x:v>还没测</x:v>
      </x:c>
      <x:c r="H137" s="483" t="str"/>
      <x:c r="I137" s="483" t="str"/>
      <x:c r="J137" s="502" t="str"/>
      <x:c r="K137" s="483" t="str"/>
      <x:c r="L137" s="483" t="str"/>
    </x:row>
    <x:row r="138" ht="78" customHeight="1">
      <x:c r="A138" s="495" t="str">
        <x:v>F14</x:v>
      </x:c>
      <x:c r="B138" s="495" t="n">
        <x:v>3</x:v>
      </x:c>
      <x:c r="C138" s="495" t="str">
        <x:v>研判和告警关联</x:v>
      </x:c>
      <x:c r="D138" s="495" t="str">
        <x:v>没有核验飞手或渠道不可用</x:v>
      </x:c>
      <x:c r="E138" s="433" t="str">
        <x:v>打开计划、合法性研判和告警，核对同一目标、计划、研判和事件关系。</x:v>
      </x:c>
      <x:c r="F138" s="433" t="str">
        <x:v>主链准备明确违规且证据充分的事件；各页同一事实。若本轮是合法或误报分支，按该分支正确阻止后续。</x:v>
      </x:c>
      <x:c r="G138" s="483" t="str">
        <x:v>还没测</x:v>
      </x:c>
      <x:c r="H138" s="483" t="str"/>
      <x:c r="I138" s="483" t="str"/>
      <x:c r="J138" s="502" t="str"/>
      <x:c r="K138" s="483" t="str"/>
      <x:c r="L138" s="483" t="str"/>
    </x:row>
    <x:row r="139" ht="78" customHeight="1">
      <x:c r="A139" s="495" t="str">
        <x:v>F14</x:v>
      </x:c>
      <x:c r="B139" s="495" t="n">
        <x:v>4</x:v>
      </x:c>
      <x:c r="C139" s="495" t="str">
        <x:v>核实告警</x:v>
      </x:c>
      <x:c r="D139" s="495" t="str">
        <x:v>没有核验飞手或渠道不可用</x:v>
      </x:c>
      <x:c r="E139" s="433" t="str">
        <x:v>不点击核实，等待已启用规则满足。</x:v>
      </x:c>
      <x:c r="F139" s="433" t="str">
        <x:v>系统按规则核实一次；留有系统处理身份、时间和判定依据。</x:v>
      </x:c>
      <x:c r="G139" s="483" t="str">
        <x:v>还没测</x:v>
      </x:c>
      <x:c r="H139" s="483" t="str"/>
      <x:c r="I139" s="483" t="str"/>
      <x:c r="J139" s="502" t="str"/>
      <x:c r="K139" s="483" t="str"/>
      <x:c r="L139" s="483" t="str"/>
    </x:row>
    <x:row r="140" ht="78" customHeight="1">
      <x:c r="A140" s="495" t="str">
        <x:v>F14</x:v>
      </x:c>
      <x:c r="B140" s="495" t="n">
        <x:v>5</x:v>
      </x:c>
      <x:c r="C140" s="495" t="str">
        <x:v>飞手通知和位置观察</x:v>
      </x:c>
      <x:c r="D140" s="495" t="str">
        <x:v>没有核验飞手或渠道不可用</x:v>
      </x:c>
      <x:c r="E140" s="433" t="str">
        <x:v>检查短信发送/送达、观察开始/结束、电话接通/播放与新位置；按本轮条件操作目标。 分别测试无核验飞手、短信不可用、电话不可用三个子批次。</x:v>
      </x:c>
      <x:c r="F140" s="433" t="str">
        <x:v>无飞手/无短信不假造通知；电话不可用仍先短信观察。符合其他条件时才进入后续反制。 三个子批次分开记录。</x:v>
      </x:c>
      <x:c r="G140" s="483" t="str">
        <x:v>还没测</x:v>
      </x:c>
      <x:c r="H140" s="483" t="str"/>
      <x:c r="I140" s="483" t="str"/>
      <x:c r="J140" s="502" t="str"/>
      <x:c r="K140" s="483" t="str"/>
      <x:c r="L140" s="483" t="str"/>
    </x:row>
    <x:row r="141" ht="78" customHeight="1">
      <x:c r="A141" s="495" t="str">
        <x:v>F14</x:v>
      </x:c>
      <x:c r="B141" s="495" t="n">
        <x:v>6</x:v>
      </x:c>
      <x:c r="C141" s="495" t="str">
        <x:v>反制发起和授权</x:v>
      </x:c>
      <x:c r="D141" s="495" t="str">
        <x:v>没有核验飞手或渠道不可用</x:v>
      </x:c>
      <x:c r="E141" s="433" t="str">
        <x:v>进入待反制后不点发起，等待规则满足；检查当前证据和唯一可用测试设备。</x:v>
      </x:c>
      <x:c r="F141" s="433" t="str">
        <x:v>符合条件才由系统发起；记录系统身份和实际授权依据，不伪造人工审批。</x:v>
      </x:c>
      <x:c r="G141" s="483" t="str">
        <x:v>还没测</x:v>
      </x:c>
      <x:c r="H141" s="483" t="str"/>
      <x:c r="I141" s="483" t="str"/>
      <x:c r="J141" s="502" t="str"/>
      <x:c r="K141" s="483" t="str"/>
      <x:c r="L141" s="483" t="str"/>
    </x:row>
    <x:row r="142" ht="78" customHeight="1">
      <x:c r="A142" s="495" t="str">
        <x:v>F14</x:v>
      </x:c>
      <x:c r="B142" s="495" t="n">
        <x:v>7</x:v>
      </x:c>
      <x:c r="C142" s="495" t="str">
        <x:v>设备下发与实际结果</x:v>
      </x:c>
      <x:c r="D142" s="495" t="str">
        <x:v>没有核验飞手或渠道不可用</x:v>
      </x:c>
      <x:c r="E142" s="433" t="str">
        <x:v>核对同一授权的设备、命令、受理和实际回执；失败、超时及急停分支分别留证。</x:v>
      </x:c>
      <x:c r="F142" s="433" t="str">
        <x:v>主链取得明确测试执行结果；提交不等于成功，未知不盲目重发，急停不等于已经停机。</x:v>
      </x:c>
      <x:c r="G142" s="483" t="str">
        <x:v>还没测</x:v>
      </x:c>
      <x:c r="H142" s="483" t="str"/>
      <x:c r="I142" s="483" t="str"/>
      <x:c r="J142" s="502" t="str"/>
      <x:c r="K142" s="483" t="str"/>
      <x:c r="L142" s="483" t="str"/>
    </x:row>
    <x:row r="143" ht="78" customHeight="1">
      <x:c r="A143" s="495" t="str">
        <x:v>F14</x:v>
      </x:c>
      <x:c r="B143" s="495" t="n">
        <x:v>8</x:v>
      </x:c>
      <x:c r="C143" s="495" t="str">
        <x:v>移送送达签收与办理结果</x:v>
      </x:c>
      <x:c r="D143" s="495" t="str">
        <x:v>没有核验飞手或渠道不可用</x:v>
      </x:c>
      <x:c r="E143" s="433" t="str">
        <x:v>设备结果满足通知处罚条件后，不点击通知按钮，观察自动办理。 回读交接材料、送达、签收和办理结果。</x:v>
      </x:c>
      <x:c r="F143" s="433" t="str">
        <x:v>通知方式符合配置。发送、送达、签收分开；有正式办理结果才展示，没有就明确尚无结果，不能强行显示处罚完成。</x:v>
      </x:c>
      <x:c r="G143" s="483" t="str">
        <x:v>还没测</x:v>
      </x:c>
      <x:c r="H143" s="483" t="str"/>
      <x:c r="I143" s="483" t="str"/>
      <x:c r="J143" s="502" t="str"/>
      <x:c r="K143" s="483" t="str"/>
      <x:c r="L143" s="483" t="str"/>
    </x:row>
    <x:row r="144" ht="78" customHeight="1">
      <x:c r="A144" s="495" t="str">
        <x:v>F14</x:v>
      </x:c>
      <x:c r="B144" s="495" t="n">
        <x:v>9</x:v>
      </x:c>
      <x:c r="C144" s="495" t="str">
        <x:v>证据统计与跨页一致</x:v>
      </x:c>
      <x:c r="D144" s="495" t="str">
        <x:v>没有核验飞手或渠道不可用</x:v>
      </x:c>
      <x:c r="E144" s="433" t="str">
        <x:v>在证据、统计、告警、计划和移送页按同一事件核对。记录所有关联编号和重要时间。</x:v>
      </x:c>
      <x:c r="F144" s="433" t="str">
        <x:v>原始与冻结材料完整；事件、授权、命令、通知、交接能互相对应；统计按真实事实计数，不把签收当结案。</x:v>
      </x:c>
      <x:c r="G144" s="483" t="str">
        <x:v>还没测</x:v>
      </x:c>
      <x:c r="H144" s="483" t="str"/>
      <x:c r="I144" s="483" t="str"/>
      <x:c r="J144" s="502" t="str"/>
      <x:c r="K144" s="483" t="str"/>
      <x:c r="L144" s="483" t="str"/>
    </x:row>
    <x:row r="145" ht="78" customHeight="1">
      <x:c r="A145" s="495" t="str">
        <x:v>F14</x:v>
      </x:c>
      <x:c r="B145" s="495" t="n">
        <x:v>10</x:v>
      </x:c>
      <x:c r="C145" s="495" t="str">
        <x:v>关闭页面与重登复查</x:v>
      </x:c>
      <x:c r="D145" s="495" t="str">
        <x:v>没有核验飞手或渠道不可用</x:v>
      </x:c>
      <x:c r="E145" s="433" t="str">
        <x:v>本轮适用的自动等待阶段关闭页面再打开；结束后刷新、退出重登。核对动作次数并停止模拟。</x:v>
      </x:c>
      <x:c r="F145" s="433" t="str">
        <x:v>自动办理不依赖页面打开；刷新重登不重复动作；最终结果稳定，历史保留，模拟任务已明确停止。</x:v>
      </x:c>
      <x:c r="G145" s="483" t="str">
        <x:v>还没测</x:v>
      </x:c>
      <x:c r="H145" s="483" t="str"/>
      <x:c r="I145" s="483" t="str"/>
      <x:c r="J145" s="502" t="str"/>
      <x:c r="K145" s="483" t="str"/>
      <x:c r="L145" s="483" t="str"/>
    </x:row>
    <x:row r="146" ht="78" customHeight="1">
      <x:c r="A146" s="496" t="str">
        <x:v>F15</x:v>
      </x:c>
      <x:c r="B146" s="496" t="n">
        <x:v>1</x:v>
      </x:c>
      <x:c r="C146" s="496" t="str">
        <x:v>后台配置与测试准备</x:v>
      </x:c>
      <x:c r="D146" s="496" t="str">
        <x:v>自动改手动</x:v>
      </x:c>
      <x:c r="E146" s="434" t="str">
        <x:v>按M8→M1设置三类规则，并保存回读。记录有效时长、账号、范围、设备、通道和规则版本。</x:v>
      </x:c>
      <x:c r="F146" s="434" t="str">
        <x:v>实际运行设置与本轮相符；模拟通道可用。在核实前、反制排队未下发、通知处罚尚未发送三个节点，分别保存为手动。</x:v>
      </x:c>
      <x:c r="G146" s="513" t="str">
        <x:v>还没测</x:v>
      </x:c>
      <x:c r="H146" s="513" t="str"/>
      <x:c r="I146" s="513" t="str"/>
      <x:c r="J146" s="514" t="str"/>
      <x:c r="K146" s="513" t="str"/>
      <x:c r="L146" s="513" t="str"/>
    </x:row>
    <x:row r="147" ht="78" customHeight="1">
      <x:c r="A147" s="497" t="str">
        <x:v>F15</x:v>
      </x:c>
      <x:c r="B147" s="497" t="n">
        <x:v>2</x:v>
      </x:c>
      <x:c r="C147" s="497" t="str">
        <x:v>输入数据并识别目标</x:v>
      </x:c>
      <x:c r="D147" s="497" t="str">
        <x:v>自动改手动</x:v>
      </x:c>
      <x:c r="E147" s="435" t="str">
        <x:v>启动新批次，通过获准入口输入计划和目标数据；记录唯一目标、计划和设备编号。</x:v>
      </x:c>
      <x:c r="F147" s="435" t="str">
        <x:v>能在融合感知查到同一目标，位置、时间和模拟标记正确；发送成功不代替平台已接收。</x:v>
      </x:c>
      <x:c r="G147" s="483" t="str">
        <x:v>还没测</x:v>
      </x:c>
      <x:c r="H147" s="483" t="str"/>
      <x:c r="I147" s="483" t="str"/>
      <x:c r="J147" s="502" t="str"/>
      <x:c r="K147" s="483" t="str"/>
      <x:c r="L147" s="483" t="str"/>
    </x:row>
    <x:row r="148" ht="78" customHeight="1">
      <x:c r="A148" s="497" t="str">
        <x:v>F15</x:v>
      </x:c>
      <x:c r="B148" s="497" t="n">
        <x:v>3</x:v>
      </x:c>
      <x:c r="C148" s="497" t="str">
        <x:v>研判和告警关联</x:v>
      </x:c>
      <x:c r="D148" s="497" t="str">
        <x:v>自动改手动</x:v>
      </x:c>
      <x:c r="E148" s="435" t="str">
        <x:v>打开计划、合法性研判和告警，核对同一目标、计划、研判和事件关系。</x:v>
      </x:c>
      <x:c r="F148" s="435" t="str">
        <x:v>主链准备明确违规且证据充分的事件；各页同一事实。若本轮是合法或误报分支，按该分支正确阻止后续。</x:v>
      </x:c>
      <x:c r="G148" s="483" t="str">
        <x:v>还没测</x:v>
      </x:c>
      <x:c r="H148" s="483" t="str"/>
      <x:c r="I148" s="483" t="str"/>
      <x:c r="J148" s="502" t="str"/>
      <x:c r="K148" s="483" t="str"/>
      <x:c r="L148" s="483" t="str"/>
    </x:row>
    <x:row r="149" ht="78" customHeight="1">
      <x:c r="A149" s="497" t="str">
        <x:v>F15</x:v>
      </x:c>
      <x:c r="B149" s="497" t="n">
        <x:v>4</x:v>
      </x:c>
      <x:c r="C149" s="497" t="str">
        <x:v>核实告警</x:v>
      </x:c>
      <x:c r="D149" s="497" t="str">
        <x:v>自动改手动</x:v>
      </x:c>
      <x:c r="E149" s="435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435" t="str">
        <x:v>手动模式不自动核实；有权人员提交后记录真实操作人并进入后续阶段。 保存生效后未发送动作停止自动推进，有权人员可接手；已发动作继续核对实际结果。</x:v>
      </x:c>
      <x:c r="G149" s="483" t="str">
        <x:v>还没测</x:v>
      </x:c>
      <x:c r="H149" s="483" t="str"/>
      <x:c r="I149" s="483" t="str"/>
      <x:c r="J149" s="502" t="str"/>
      <x:c r="K149" s="483" t="str"/>
      <x:c r="L149" s="483" t="str"/>
    </x:row>
    <x:row r="150" ht="78" customHeight="1">
      <x:c r="A150" s="497" t="str">
        <x:v>F15</x:v>
      </x:c>
      <x:c r="B150" s="497" t="n">
        <x:v>5</x:v>
      </x:c>
      <x:c r="C150" s="497" t="str">
        <x:v>飞手通知和位置观察</x:v>
      </x:c>
      <x:c r="D150" s="497" t="str">
        <x:v>自动改手动</x:v>
      </x:c>
      <x:c r="E150" s="435" t="str">
        <x:v>检查短信发送/送达、观察开始/结束、电话接通/播放与新位置；按本轮条件操作目标。</x:v>
      </x:c>
      <x:c r="F150" s="435" t="str">
        <x:v>主链持续在域时按已确认时长推进到待反制；短信、电话、飞离各凭自己的真实依据。</x:v>
      </x:c>
      <x:c r="G150" s="483" t="str">
        <x:v>还没测</x:v>
      </x:c>
      <x:c r="H150" s="483" t="str"/>
      <x:c r="I150" s="483" t="str"/>
      <x:c r="J150" s="502" t="str"/>
      <x:c r="K150" s="483" t="str"/>
      <x:c r="L150" s="483" t="str"/>
    </x:row>
    <x:row r="151" ht="78" customHeight="1">
      <x:c r="A151" s="497" t="str">
        <x:v>F15</x:v>
      </x:c>
      <x:c r="B151" s="497" t="n">
        <x:v>6</x:v>
      </x:c>
      <x:c r="C151" s="497" t="str">
        <x:v>反制发起和授权</x:v>
      </x:c>
      <x:c r="D151" s="497" t="str">
        <x:v>自动改手动</x:v>
      </x:c>
      <x:c r="E151" s="435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435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483" t="str">
        <x:v>还没测</x:v>
      </x:c>
      <x:c r="H151" s="483" t="str"/>
      <x:c r="I151" s="483" t="str"/>
      <x:c r="J151" s="502" t="str"/>
      <x:c r="K151" s="483" t="str"/>
      <x:c r="L151" s="483" t="str"/>
    </x:row>
    <x:row r="152" ht="78" customHeight="1">
      <x:c r="A152" s="497" t="str">
        <x:v>F15</x:v>
      </x:c>
      <x:c r="B152" s="497" t="n">
        <x:v>7</x:v>
      </x:c>
      <x:c r="C152" s="497" t="str">
        <x:v>设备下发与实际结果</x:v>
      </x:c>
      <x:c r="D152" s="497" t="str">
        <x:v>自动改手动</x:v>
      </x:c>
      <x:c r="E152" s="435" t="str">
        <x:v>核对同一授权的设备、命令、受理和实际回执；失败、超时及急停分支分别留证。</x:v>
      </x:c>
      <x:c r="F152" s="435" t="str">
        <x:v>主链取得明确测试执行结果；提交不等于成功，未知不盲目重发，急停不等于已经停机。</x:v>
      </x:c>
      <x:c r="G152" s="483" t="str">
        <x:v>还没测</x:v>
      </x:c>
      <x:c r="H152" s="483" t="str"/>
      <x:c r="I152" s="483" t="str"/>
      <x:c r="J152" s="502" t="str"/>
      <x:c r="K152" s="483" t="str"/>
      <x:c r="L152" s="483" t="str"/>
    </x:row>
    <x:row r="153" ht="86" customHeight="1">
      <x:c r="A153" s="497" t="str">
        <x:v>F15</x:v>
      </x:c>
      <x:c r="B153" s="497" t="n">
        <x:v>8</x:v>
      </x:c>
      <x:c r="C153" s="497" t="str">
        <x:v>移送送达签收与办理结果</x:v>
      </x:c>
      <x:c r="D153" s="497" t="str">
        <x:v>自动改手动</x:v>
      </x:c>
      <x:c r="E153" s="435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435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483" t="str">
        <x:v>还没测</x:v>
      </x:c>
      <x:c r="H153" s="483" t="str"/>
      <x:c r="I153" s="483" t="str"/>
      <x:c r="J153" s="502" t="str"/>
      <x:c r="K153" s="483" t="str"/>
      <x:c r="L153" s="483" t="str"/>
    </x:row>
    <x:row r="154" ht="78" customHeight="1">
      <x:c r="A154" s="497" t="str">
        <x:v>F15</x:v>
      </x:c>
      <x:c r="B154" s="497" t="n">
        <x:v>9</x:v>
      </x:c>
      <x:c r="C154" s="497" t="str">
        <x:v>证据统计与跨页一致</x:v>
      </x:c>
      <x:c r="D154" s="497" t="str">
        <x:v>自动改手动</x:v>
      </x:c>
      <x:c r="E154" s="435" t="str">
        <x:v>在证据、统计、告警、计划和移送页按同一事件核对。记录所有关联编号和重要时间。</x:v>
      </x:c>
      <x:c r="F154" s="435" t="str">
        <x:v>原始与冻结材料完整；事件、授权、命令、通知、交接能互相对应；统计按真实事实计数，不把签收当结案。</x:v>
      </x:c>
      <x:c r="G154" s="483" t="str">
        <x:v>还没测</x:v>
      </x:c>
      <x:c r="H154" s="483" t="str"/>
      <x:c r="I154" s="483" t="str"/>
      <x:c r="J154" s="502" t="str"/>
      <x:c r="K154" s="483" t="str"/>
      <x:c r="L154" s="483" t="str"/>
    </x:row>
    <x:row r="155" ht="78" customHeight="1">
      <x:c r="A155" s="497" t="str">
        <x:v>F15</x:v>
      </x:c>
      <x:c r="B155" s="497" t="n">
        <x:v>10</x:v>
      </x:c>
      <x:c r="C155" s="497" t="str">
        <x:v>关闭页面与重登复查</x:v>
      </x:c>
      <x:c r="D155" s="497" t="str">
        <x:v>自动改手动</x:v>
      </x:c>
      <x:c r="E155" s="435" t="str">
        <x:v>本轮适用的自动等待阶段关闭页面再打开；结束后刷新、退出重登。核对动作次数并停止模拟。</x:v>
      </x:c>
      <x:c r="F155" s="435" t="str">
        <x:v>自动办理不依赖页面打开；刷新重登不重复动作；最终结果稳定，历史保留，模拟任务已明确停止。</x:v>
      </x:c>
      <x:c r="G155" s="483" t="str">
        <x:v>还没测</x:v>
      </x:c>
      <x:c r="H155" s="483" t="str"/>
      <x:c r="I155" s="483" t="str"/>
      <x:c r="J155" s="502" t="str"/>
      <x:c r="K155" s="483" t="str"/>
      <x:c r="L155" s="483" t="str"/>
    </x:row>
    <x:row r="156" ht="78" customHeight="1">
      <x:c r="A156" s="498" t="str">
        <x:v>F16</x:v>
      </x:c>
      <x:c r="B156" s="498" t="n">
        <x:v>1</x:v>
      </x:c>
      <x:c r="C156" s="498" t="str">
        <x:v>后台配置与测试准备</x:v>
      </x:c>
      <x:c r="D156" s="498" t="str">
        <x:v>手动改自动</x:v>
      </x:c>
      <x:c r="E156" s="436" t="str">
        <x:v>按M1→M8设置三类规则，并保存回读。记录有效时长、账号、范围、设备、通道和规则版本。</x:v>
      </x:c>
      <x:c r="F156" s="436" t="str">
        <x:v>实际运行设置与本轮相符；模拟通道可用。分别在待核实、待反制、可通知处罚但尚未发送时改为自动。</x:v>
      </x:c>
      <x:c r="G156" s="515" t="str">
        <x:v>还没测</x:v>
      </x:c>
      <x:c r="H156" s="515" t="str"/>
      <x:c r="I156" s="515" t="str"/>
      <x:c r="J156" s="516" t="str"/>
      <x:c r="K156" s="515" t="str"/>
      <x:c r="L156" s="515" t="str"/>
    </x:row>
    <x:row r="157" ht="78" customHeight="1">
      <x:c r="A157" s="499" t="str">
        <x:v>F16</x:v>
      </x:c>
      <x:c r="B157" s="499" t="n">
        <x:v>2</x:v>
      </x:c>
      <x:c r="C157" s="499" t="str">
        <x:v>输入数据并识别目标</x:v>
      </x:c>
      <x:c r="D157" s="499" t="str">
        <x:v>手动改自动</x:v>
      </x:c>
      <x:c r="E157" s="437" t="str">
        <x:v>启动新批次，通过获准入口输入计划和目标数据；记录唯一目标、计划和设备编号。</x:v>
      </x:c>
      <x:c r="F157" s="437" t="str">
        <x:v>能在融合感知查到同一目标，位置、时间和模拟标记正确；发送成功不代替平台已接收。</x:v>
      </x:c>
      <x:c r="G157" s="483" t="str">
        <x:v>还没测</x:v>
      </x:c>
      <x:c r="H157" s="483" t="str"/>
      <x:c r="I157" s="483" t="str"/>
      <x:c r="J157" s="502" t="str"/>
      <x:c r="K157" s="483" t="str"/>
      <x:c r="L157" s="483" t="str"/>
    </x:row>
    <x:row r="158" ht="78" customHeight="1">
      <x:c r="A158" s="499" t="str">
        <x:v>F16</x:v>
      </x:c>
      <x:c r="B158" s="499" t="n">
        <x:v>3</x:v>
      </x:c>
      <x:c r="C158" s="499" t="str">
        <x:v>研判和告警关联</x:v>
      </x:c>
      <x:c r="D158" s="499" t="str">
        <x:v>手动改自动</x:v>
      </x:c>
      <x:c r="E158" s="437" t="str">
        <x:v>打开计划、合法性研判和告警，核对同一目标、计划、研判和事件关系。</x:v>
      </x:c>
      <x:c r="F158" s="437" t="str">
        <x:v>主链准备明确违规且证据充分的事件；各页同一事实。若本轮是合法或误报分支，按该分支正确阻止后续。</x:v>
      </x:c>
      <x:c r="G158" s="483" t="str">
        <x:v>还没测</x:v>
      </x:c>
      <x:c r="H158" s="483" t="str"/>
      <x:c r="I158" s="483" t="str"/>
      <x:c r="J158" s="502" t="str"/>
      <x:c r="K158" s="483" t="str"/>
      <x:c r="L158" s="483" t="str"/>
    </x:row>
    <x:row r="159" ht="78" customHeight="1">
      <x:c r="A159" s="499" t="str">
        <x:v>F16</x:v>
      </x:c>
      <x:c r="B159" s="499" t="n">
        <x:v>4</x:v>
      </x:c>
      <x:c r="C159" s="499" t="str">
        <x:v>核实告警</x:v>
      </x:c>
      <x:c r="D159" s="499" t="str">
        <x:v>手动改自动</x:v>
      </x:c>
      <x:c r="E159" s="437" t="str">
        <x:v>不点击核实，等待已启用规则满足。 本节点另用独立子批次执行：分别在待核实、待反制、可通知处罚但尚未发送时改为自动。</x:v>
      </x:c>
      <x:c r="F159" s="437" t="str">
        <x:v>系统按规则核实一次；留有系统处理身份、时间和判定依据。 生效后重新检查当前依据和条件，只执行尚未完成的动作；不会重办已完成步骤。</x:v>
      </x:c>
      <x:c r="G159" s="483" t="str">
        <x:v>还没测</x:v>
      </x:c>
      <x:c r="H159" s="483" t="str"/>
      <x:c r="I159" s="483" t="str"/>
      <x:c r="J159" s="502" t="str"/>
      <x:c r="K159" s="483" t="str"/>
      <x:c r="L159" s="483" t="str"/>
    </x:row>
    <x:row r="160" ht="78" customHeight="1">
      <x:c r="A160" s="499" t="str">
        <x:v>F16</x:v>
      </x:c>
      <x:c r="B160" s="499" t="n">
        <x:v>5</x:v>
      </x:c>
      <x:c r="C160" s="499" t="str">
        <x:v>飞手通知和位置观察</x:v>
      </x:c>
      <x:c r="D160" s="499" t="str">
        <x:v>手动改自动</x:v>
      </x:c>
      <x:c r="E160" s="437" t="str">
        <x:v>检查短信发送/送达、观察开始/结束、电话接通/播放与新位置；按本轮条件操作目标。</x:v>
      </x:c>
      <x:c r="F160" s="437" t="str">
        <x:v>主链持续在域时按已确认时长推进到待反制；短信、电话、飞离各凭自己的真实依据。</x:v>
      </x:c>
      <x:c r="G160" s="483" t="str">
        <x:v>还没测</x:v>
      </x:c>
      <x:c r="H160" s="483" t="str"/>
      <x:c r="I160" s="483" t="str"/>
      <x:c r="J160" s="502" t="str"/>
      <x:c r="K160" s="483" t="str"/>
      <x:c r="L160" s="483" t="str"/>
    </x:row>
    <x:row r="161" ht="78" customHeight="1">
      <x:c r="A161" s="499" t="str">
        <x:v>F16</x:v>
      </x:c>
      <x:c r="B161" s="499" t="n">
        <x:v>6</x:v>
      </x:c>
      <x:c r="C161" s="499" t="str">
        <x:v>反制发起和授权</x:v>
      </x:c>
      <x:c r="D161" s="499" t="str">
        <x:v>手动改自动</x:v>
      </x:c>
      <x:c r="E161" s="437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437" t="str">
        <x:v>符合条件才由系统发起；记录系统身份和实际授权依据，不伪造人工审批。 生效后重新检查当前依据和条件，只执行尚未完成的动作；不会重办已完成步骤。</x:v>
      </x:c>
      <x:c r="G161" s="483" t="str">
        <x:v>还没测</x:v>
      </x:c>
      <x:c r="H161" s="483" t="str"/>
      <x:c r="I161" s="483" t="str"/>
      <x:c r="J161" s="502" t="str"/>
      <x:c r="K161" s="483" t="str"/>
      <x:c r="L161" s="483" t="str"/>
    </x:row>
    <x:row r="162" ht="78" customHeight="1">
      <x:c r="A162" s="499" t="str">
        <x:v>F16</x:v>
      </x:c>
      <x:c r="B162" s="499" t="n">
        <x:v>7</x:v>
      </x:c>
      <x:c r="C162" s="499" t="str">
        <x:v>设备下发与实际结果</x:v>
      </x:c>
      <x:c r="D162" s="499" t="str">
        <x:v>手动改自动</x:v>
      </x:c>
      <x:c r="E162" s="437" t="str">
        <x:v>核对同一授权的设备、命令、受理和实际回执；失败、超时及急停分支分别留证。</x:v>
      </x:c>
      <x:c r="F162" s="437" t="str">
        <x:v>主链取得明确测试执行结果；提交不等于成功，未知不盲目重发，急停不等于已经停机。</x:v>
      </x:c>
      <x:c r="G162" s="483" t="str">
        <x:v>还没测</x:v>
      </x:c>
      <x:c r="H162" s="483" t="str"/>
      <x:c r="I162" s="483" t="str"/>
      <x:c r="J162" s="502" t="str"/>
      <x:c r="K162" s="483" t="str"/>
      <x:c r="L162" s="483" t="str"/>
    </x:row>
    <x:row r="163" ht="86" customHeight="1">
      <x:c r="A163" s="499" t="str">
        <x:v>F16</x:v>
      </x:c>
      <x:c r="B163" s="499" t="n">
        <x:v>8</x:v>
      </x:c>
      <x:c r="C163" s="499" t="str">
        <x:v>移送送达签收与办理结果</x:v>
      </x:c>
      <x:c r="D163" s="499" t="str">
        <x:v>手动改自动</x:v>
      </x:c>
      <x:c r="E163" s="437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437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483" t="str">
        <x:v>还没测</x:v>
      </x:c>
      <x:c r="H163" s="483" t="str"/>
      <x:c r="I163" s="483" t="str"/>
      <x:c r="J163" s="502" t="str"/>
      <x:c r="K163" s="483" t="str"/>
      <x:c r="L163" s="483" t="str"/>
    </x:row>
    <x:row r="164" ht="78" customHeight="1">
      <x:c r="A164" s="499" t="str">
        <x:v>F16</x:v>
      </x:c>
      <x:c r="B164" s="499" t="n">
        <x:v>9</x:v>
      </x:c>
      <x:c r="C164" s="499" t="str">
        <x:v>证据统计与跨页一致</x:v>
      </x:c>
      <x:c r="D164" s="499" t="str">
        <x:v>手动改自动</x:v>
      </x:c>
      <x:c r="E164" s="437" t="str">
        <x:v>在证据、统计、告警、计划和移送页按同一事件核对。记录所有关联编号和重要时间。</x:v>
      </x:c>
      <x:c r="F164" s="437" t="str">
        <x:v>原始与冻结材料完整；事件、授权、命令、通知、交接能互相对应；统计按真实事实计数，不把签收当结案。</x:v>
      </x:c>
      <x:c r="G164" s="483" t="str">
        <x:v>还没测</x:v>
      </x:c>
      <x:c r="H164" s="483" t="str"/>
      <x:c r="I164" s="483" t="str"/>
      <x:c r="J164" s="502" t="str"/>
      <x:c r="K164" s="483" t="str"/>
      <x:c r="L164" s="483" t="str"/>
    </x:row>
    <x:row r="165" ht="78" customHeight="1">
      <x:c r="A165" s="499" t="str">
        <x:v>F16</x:v>
      </x:c>
      <x:c r="B165" s="499" t="n">
        <x:v>10</x:v>
      </x:c>
      <x:c r="C165" s="499" t="str">
        <x:v>关闭页面与重登复查</x:v>
      </x:c>
      <x:c r="D165" s="499" t="str">
        <x:v>手动改自动</x:v>
      </x:c>
      <x:c r="E165" s="437" t="str">
        <x:v>本轮适用的自动等待阶段关闭页面再打开；结束后刷新、退出重登。核对动作次数并停止模拟。</x:v>
      </x:c>
      <x:c r="F165" s="437" t="str">
        <x:v>自动办理不依赖页面打开；刷新重登不重复动作；最终结果稳定，历史保留，模拟任务已明确停止。</x:v>
      </x:c>
      <x:c r="G165" s="483" t="str">
        <x:v>还没测</x:v>
      </x:c>
      <x:c r="H165" s="483" t="str"/>
      <x:c r="I165" s="483" t="str"/>
      <x:c r="J165" s="502" t="str"/>
      <x:c r="K165" s="483" t="str"/>
      <x:c r="L165" s="483" t="str"/>
    </x:row>
    <x:row r="166" ht="78" customHeight="1">
      <x:c r="A166" s="484" t="str">
        <x:v>F17</x:v>
      </x:c>
      <x:c r="B166" s="484" t="n">
        <x:v>1</x:v>
      </x:c>
      <x:c r="C166" s="484" t="str">
        <x:v>后台配置与测试准备</x:v>
      </x:c>
      <x:c r="D166" s="484" t="str">
        <x:v>自动与人员同时操作</x:v>
      </x:c>
      <x:c r="E166" s="422" t="str">
        <x:v>按M8设置三类规则，并保存回读。记录有效时长、账号、范围、设备、通道和规则版本。</x:v>
      </x:c>
      <x:c r="F166" s="422" t="str">
        <x:v>实际运行设置与本轮相符；模拟通道可用。自动条件即将满足时，另一账号同时点击对应核实、反制或通知按钮。</x:v>
      </x:c>
      <x:c r="G166" s="500" t="str">
        <x:v>还没测</x:v>
      </x:c>
      <x:c r="H166" s="500" t="str"/>
      <x:c r="I166" s="500" t="str"/>
      <x:c r="J166" s="501" t="str"/>
      <x:c r="K166" s="500" t="str"/>
      <x:c r="L166" s="500" t="str"/>
    </x:row>
    <x:row r="167" ht="78" customHeight="1">
      <x:c r="A167" s="485" t="str">
        <x:v>F17</x:v>
      </x:c>
      <x:c r="B167" s="485" t="n">
        <x:v>2</x:v>
      </x:c>
      <x:c r="C167" s="485" t="str">
        <x:v>输入数据并识别目标</x:v>
      </x:c>
      <x:c r="D167" s="485" t="str">
        <x:v>自动与人员同时操作</x:v>
      </x:c>
      <x:c r="E167" s="423" t="str">
        <x:v>启动新批次，通过获准入口输入计划和目标数据；记录唯一目标、计划和设备编号。</x:v>
      </x:c>
      <x:c r="F167" s="423" t="str">
        <x:v>能在融合感知查到同一目标，位置、时间和模拟标记正确；发送成功不代替平台已接收。</x:v>
      </x:c>
      <x:c r="G167" s="483" t="str">
        <x:v>还没测</x:v>
      </x:c>
      <x:c r="H167" s="483" t="str"/>
      <x:c r="I167" s="483" t="str"/>
      <x:c r="J167" s="502" t="str"/>
      <x:c r="K167" s="483" t="str"/>
      <x:c r="L167" s="483" t="str"/>
    </x:row>
    <x:row r="168" ht="78" customHeight="1">
      <x:c r="A168" s="485" t="str">
        <x:v>F17</x:v>
      </x:c>
      <x:c r="B168" s="485" t="n">
        <x:v>3</x:v>
      </x:c>
      <x:c r="C168" s="485" t="str">
        <x:v>研判和告警关联</x:v>
      </x:c>
      <x:c r="D168" s="485" t="str">
        <x:v>自动与人员同时操作</x:v>
      </x:c>
      <x:c r="E168" s="423" t="str">
        <x:v>打开计划、合法性研判和告警，核对同一目标、计划、研判和事件关系。</x:v>
      </x:c>
      <x:c r="F168" s="423" t="str">
        <x:v>主链准备明确违规且证据充分的事件；各页同一事实。若本轮是合法或误报分支，按该分支正确阻止后续。</x:v>
      </x:c>
      <x:c r="G168" s="483" t="str">
        <x:v>还没测</x:v>
      </x:c>
      <x:c r="H168" s="483" t="str"/>
      <x:c r="I168" s="483" t="str"/>
      <x:c r="J168" s="502" t="str"/>
      <x:c r="K168" s="483" t="str"/>
      <x:c r="L168" s="483" t="str"/>
    </x:row>
    <x:row r="169" ht="78" customHeight="1">
      <x:c r="A169" s="485" t="str">
        <x:v>F17</x:v>
      </x:c>
      <x:c r="B169" s="485" t="n">
        <x:v>4</x:v>
      </x:c>
      <x:c r="C169" s="485" t="str">
        <x:v>核实告警</x:v>
      </x:c>
      <x:c r="D169" s="485" t="str">
        <x:v>自动与人员同时操作</x:v>
      </x:c>
      <x:c r="E169" s="423" t="str">
        <x:v>不点击核实，等待已启用规则满足。 本节点另用独立子批次执行：自动条件即将满足时，另一账号同时点击对应核实、反制或通知按钮。</x:v>
      </x:c>
      <x:c r="F169" s="423" t="str">
        <x:v>系统按规则核实一次；留有系统处理身份、时间和判定依据。 同一事件同一步只产生一次有效动作；冲突有提示，不重复发设备命令或通知。</x:v>
      </x:c>
      <x:c r="G169" s="483" t="str">
        <x:v>还没测</x:v>
      </x:c>
      <x:c r="H169" s="483" t="str"/>
      <x:c r="I169" s="483" t="str"/>
      <x:c r="J169" s="502" t="str"/>
      <x:c r="K169" s="483" t="str"/>
      <x:c r="L169" s="483" t="str"/>
    </x:row>
    <x:row r="170" ht="78" customHeight="1">
      <x:c r="A170" s="485" t="str">
        <x:v>F17</x:v>
      </x:c>
      <x:c r="B170" s="485" t="n">
        <x:v>5</x:v>
      </x:c>
      <x:c r="C170" s="485" t="str">
        <x:v>飞手通知和位置观察</x:v>
      </x:c>
      <x:c r="D170" s="485" t="str">
        <x:v>自动与人员同时操作</x:v>
      </x:c>
      <x:c r="E170" s="423" t="str">
        <x:v>检查短信发送/送达、观察开始/结束、电话接通/播放与新位置；按本轮条件操作目标。</x:v>
      </x:c>
      <x:c r="F170" s="423" t="str">
        <x:v>主链持续在域时按已确认时长推进到待反制；短信、电话、飞离各凭自己的真实依据。</x:v>
      </x:c>
      <x:c r="G170" s="483" t="str">
        <x:v>还没测</x:v>
      </x:c>
      <x:c r="H170" s="483" t="str"/>
      <x:c r="I170" s="483" t="str"/>
      <x:c r="J170" s="502" t="str"/>
      <x:c r="K170" s="483" t="str"/>
      <x:c r="L170" s="483" t="str"/>
    </x:row>
    <x:row r="171" ht="78" customHeight="1">
      <x:c r="A171" s="485" t="str">
        <x:v>F17</x:v>
      </x:c>
      <x:c r="B171" s="485" t="n">
        <x:v>6</x:v>
      </x:c>
      <x:c r="C171" s="485" t="str">
        <x:v>反制发起和授权</x:v>
      </x:c>
      <x:c r="D171" s="485" t="str">
        <x:v>自动与人员同时操作</x:v>
      </x:c>
      <x:c r="E171" s="423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423" t="str">
        <x:v>符合条件才由系统发起；记录系统身份和实际授权依据，不伪造人工审批。 同一事件同一步只产生一次有效动作；冲突有提示，不重复发设备命令或通知。</x:v>
      </x:c>
      <x:c r="G171" s="483" t="str">
        <x:v>还没测</x:v>
      </x:c>
      <x:c r="H171" s="483" t="str"/>
      <x:c r="I171" s="483" t="str"/>
      <x:c r="J171" s="502" t="str"/>
      <x:c r="K171" s="483" t="str"/>
      <x:c r="L171" s="483" t="str"/>
    </x:row>
    <x:row r="172" ht="78" customHeight="1">
      <x:c r="A172" s="485" t="str">
        <x:v>F17</x:v>
      </x:c>
      <x:c r="B172" s="485" t="n">
        <x:v>7</x:v>
      </x:c>
      <x:c r="C172" s="485" t="str">
        <x:v>设备下发与实际结果</x:v>
      </x:c>
      <x:c r="D172" s="485" t="str">
        <x:v>自动与人员同时操作</x:v>
      </x:c>
      <x:c r="E172" s="423" t="str">
        <x:v>核对同一授权的设备、命令、受理和实际回执；失败、超时及急停分支分别留证。</x:v>
      </x:c>
      <x:c r="F172" s="423" t="str">
        <x:v>主链取得明确测试执行结果；提交不等于成功，未知不盲目重发，急停不等于已经停机。</x:v>
      </x:c>
      <x:c r="G172" s="483" t="str">
        <x:v>还没测</x:v>
      </x:c>
      <x:c r="H172" s="483" t="str"/>
      <x:c r="I172" s="483" t="str"/>
      <x:c r="J172" s="502" t="str"/>
      <x:c r="K172" s="483" t="str"/>
      <x:c r="L172" s="483" t="str"/>
    </x:row>
    <x:row r="173" ht="86" customHeight="1">
      <x:c r="A173" s="485" t="str">
        <x:v>F17</x:v>
      </x:c>
      <x:c r="B173" s="485" t="n">
        <x:v>8</x:v>
      </x:c>
      <x:c r="C173" s="485" t="str">
        <x:v>移送送达签收与办理结果</x:v>
      </x:c>
      <x:c r="D173" s="485" t="str">
        <x:v>自动与人员同时操作</x:v>
      </x:c>
      <x:c r="E173" s="423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423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483" t="str">
        <x:v>还没测</x:v>
      </x:c>
      <x:c r="H173" s="483" t="str"/>
      <x:c r="I173" s="483" t="str"/>
      <x:c r="J173" s="502" t="str"/>
      <x:c r="K173" s="483" t="str"/>
      <x:c r="L173" s="483" t="str"/>
    </x:row>
    <x:row r="174" ht="78" customHeight="1">
      <x:c r="A174" s="485" t="str">
        <x:v>F17</x:v>
      </x:c>
      <x:c r="B174" s="485" t="n">
        <x:v>9</x:v>
      </x:c>
      <x:c r="C174" s="485" t="str">
        <x:v>证据统计与跨页一致</x:v>
      </x:c>
      <x:c r="D174" s="485" t="str">
        <x:v>自动与人员同时操作</x:v>
      </x:c>
      <x:c r="E174" s="423" t="str">
        <x:v>在证据、统计、告警、计划和移送页按同一事件核对。记录所有关联编号和重要时间。</x:v>
      </x:c>
      <x:c r="F174" s="423" t="str">
        <x:v>原始与冻结材料完整；事件、授权、命令、通知、交接能互相对应；统计按真实事实计数，不把签收当结案。</x:v>
      </x:c>
      <x:c r="G174" s="483" t="str">
        <x:v>还没测</x:v>
      </x:c>
      <x:c r="H174" s="483" t="str"/>
      <x:c r="I174" s="483" t="str"/>
      <x:c r="J174" s="502" t="str"/>
      <x:c r="K174" s="483" t="str"/>
      <x:c r="L174" s="483" t="str"/>
    </x:row>
    <x:row r="175" ht="78" customHeight="1">
      <x:c r="A175" s="485" t="str">
        <x:v>F17</x:v>
      </x:c>
      <x:c r="B175" s="485" t="n">
        <x:v>10</x:v>
      </x:c>
      <x:c r="C175" s="485" t="str">
        <x:v>关闭页面与重登复查</x:v>
      </x:c>
      <x:c r="D175" s="485" t="str">
        <x:v>自动与人员同时操作</x:v>
      </x:c>
      <x:c r="E175" s="423" t="str">
        <x:v>本轮适用的自动等待阶段关闭页面再打开；结束后刷新、退出重登。核对动作次数并停止模拟。</x:v>
      </x:c>
      <x:c r="F175" s="423" t="str">
        <x:v>自动办理不依赖页面打开；刷新重登不重复动作；最终结果稳定，历史保留，模拟任务已明确停止。</x:v>
      </x:c>
      <x:c r="G175" s="483" t="str">
        <x:v>还没测</x:v>
      </x:c>
      <x:c r="H175" s="483" t="str"/>
      <x:c r="I175" s="483" t="str"/>
      <x:c r="J175" s="502" t="str"/>
      <x:c r="K175" s="483" t="str"/>
      <x:c r="L175" s="483" t="str"/>
    </x:row>
    <x:row r="176" ht="78" customHeight="1">
      <x:c r="A176" s="486" t="str">
        <x:v>F18</x:v>
      </x:c>
      <x:c r="B176" s="486" t="n">
        <x:v>1</x:v>
      </x:c>
      <x:c r="C176" s="486" t="str">
        <x:v>后台配置与测试准备</x:v>
      </x:c>
      <x:c r="D176" s="486" t="str">
        <x:v>规则不满足后再满足</x:v>
      </x:c>
      <x:c r="E176" s="424" t="str">
        <x:v>按M8设置三类规则，并保存回读。记录有效时长、账号、范围、设备、通道和规则版本。 配好不满足/未知/时段外等子批次。</x:v>
      </x:c>
      <x:c r="F176" s="424" t="str">
        <x:v>实际运行设置与本轮相符；模拟通道可用。逐项测试一条不满足、未知、持续时间不足、范围外、时间窗外；再满足。</x:v>
      </x:c>
      <x:c r="G176" s="503" t="str">
        <x:v>还没测</x:v>
      </x:c>
      <x:c r="H176" s="503" t="str"/>
      <x:c r="I176" s="503" t="str"/>
      <x:c r="J176" s="504" t="str"/>
      <x:c r="K176" s="503" t="str"/>
      <x:c r="L176" s="503" t="str"/>
    </x:row>
    <x:row r="177" ht="78" customHeight="1">
      <x:c r="A177" s="487" t="str">
        <x:v>F18</x:v>
      </x:c>
      <x:c r="B177" s="487" t="n">
        <x:v>2</x:v>
      </x:c>
      <x:c r="C177" s="487" t="str">
        <x:v>输入数据并识别目标</x:v>
      </x:c>
      <x:c r="D177" s="487" t="str">
        <x:v>规则不满足后再满足</x:v>
      </x:c>
      <x:c r="E177" s="425" t="str">
        <x:v>启动新批次，通过获准入口输入计划和目标数据；记录唯一目标、计划和设备编号。</x:v>
      </x:c>
      <x:c r="F177" s="425" t="str">
        <x:v>能在融合感知查到同一目标，位置、时间和模拟标记正确；发送成功不代替平台已接收。</x:v>
      </x:c>
      <x:c r="G177" s="483" t="str">
        <x:v>还没测</x:v>
      </x:c>
      <x:c r="H177" s="483" t="str"/>
      <x:c r="I177" s="483" t="str"/>
      <x:c r="J177" s="502" t="str"/>
      <x:c r="K177" s="483" t="str"/>
      <x:c r="L177" s="483" t="str"/>
    </x:row>
    <x:row r="178" ht="78" customHeight="1">
      <x:c r="A178" s="487" t="str">
        <x:v>F18</x:v>
      </x:c>
      <x:c r="B178" s="487" t="n">
        <x:v>3</x:v>
      </x:c>
      <x:c r="C178" s="487" t="str">
        <x:v>研判和告警关联</x:v>
      </x:c>
      <x:c r="D178" s="487" t="str">
        <x:v>规则不满足后再满足</x:v>
      </x:c>
      <x:c r="E178" s="425" t="str">
        <x:v>打开计划、合法性研判和告警，核对同一目标、计划、研判和事件关系。</x:v>
      </x:c>
      <x:c r="F178" s="425" t="str">
        <x:v>主链准备明确违规且证据充分的事件；各页同一事实。若本轮是合法或误报分支，按该分支正确阻止后续。</x:v>
      </x:c>
      <x:c r="G178" s="483" t="str">
        <x:v>还没测</x:v>
      </x:c>
      <x:c r="H178" s="483" t="str"/>
      <x:c r="I178" s="483" t="str"/>
      <x:c r="J178" s="502" t="str"/>
      <x:c r="K178" s="483" t="str"/>
      <x:c r="L178" s="483" t="str"/>
    </x:row>
    <x:row r="179" ht="78" customHeight="1">
      <x:c r="A179" s="487" t="str">
        <x:v>F18</x:v>
      </x:c>
      <x:c r="B179" s="487" t="n">
        <x:v>4</x:v>
      </x:c>
      <x:c r="C179" s="487" t="str">
        <x:v>核实告警</x:v>
      </x:c>
      <x:c r="D179" s="487" t="str">
        <x:v>规则不满足后再满足</x:v>
      </x:c>
      <x:c r="E179" s="425" t="str">
        <x:v>不点击核实，等待已启用规则满足。 先观察条件不满足，再补足当前有效条件。</x:v>
      </x:c>
      <x:c r="F179" s="425" t="str">
        <x:v>系统按规则核实一次；留有系统处理身份、时间和判定依据。 先停在对应步骤并说明原因，不能自动通过；有效条件满足后只继续一次。</x:v>
      </x:c>
      <x:c r="G179" s="483" t="str">
        <x:v>还没测</x:v>
      </x:c>
      <x:c r="H179" s="483" t="str"/>
      <x:c r="I179" s="483" t="str"/>
      <x:c r="J179" s="502" t="str"/>
      <x:c r="K179" s="483" t="str"/>
      <x:c r="L179" s="483" t="str"/>
    </x:row>
    <x:row r="180" ht="78" customHeight="1">
      <x:c r="A180" s="487" t="str">
        <x:v>F18</x:v>
      </x:c>
      <x:c r="B180" s="487" t="n">
        <x:v>5</x:v>
      </x:c>
      <x:c r="C180" s="487" t="str">
        <x:v>飞手通知和位置观察</x:v>
      </x:c>
      <x:c r="D180" s="487" t="str">
        <x:v>规则不满足后再满足</x:v>
      </x:c>
      <x:c r="E180" s="425" t="str">
        <x:v>检查短信发送/送达、观察开始/结束、电话接通/播放与新位置；按本轮条件操作目标。</x:v>
      </x:c>
      <x:c r="F180" s="425" t="str">
        <x:v>主链持续在域时按已确认时长推进到待反制；短信、电话、飞离各凭自己的真实依据。</x:v>
      </x:c>
      <x:c r="G180" s="483" t="str">
        <x:v>还没测</x:v>
      </x:c>
      <x:c r="H180" s="483" t="str"/>
      <x:c r="I180" s="483" t="str"/>
      <x:c r="J180" s="502" t="str"/>
      <x:c r="K180" s="483" t="str"/>
      <x:c r="L180" s="483" t="str"/>
    </x:row>
    <x:row r="181" ht="78" customHeight="1">
      <x:c r="A181" s="487" t="str">
        <x:v>F18</x:v>
      </x:c>
      <x:c r="B181" s="487" t="n">
        <x:v>6</x:v>
      </x:c>
      <x:c r="C181" s="487" t="str">
        <x:v>反制发起和授权</x:v>
      </x:c>
      <x:c r="D181" s="487" t="str">
        <x:v>规则不满足后再满足</x:v>
      </x:c>
      <x:c r="E181" s="425" t="str">
        <x:v>进入待反制后不点发起，等待规则满足；检查当前证据和唯一可用测试设备。 先观察条件不满足，再补足当前有效条件。</x:v>
      </x:c>
      <x:c r="F181" s="425" t="str">
        <x:v>符合条件才由系统发起；记录系统身份和实际授权依据，不伪造人工审批。 先停在对应步骤并说明原因，不能自动通过；有效条件满足后只继续一次。</x:v>
      </x:c>
      <x:c r="G181" s="483" t="str">
        <x:v>还没测</x:v>
      </x:c>
      <x:c r="H181" s="483" t="str"/>
      <x:c r="I181" s="483" t="str"/>
      <x:c r="J181" s="502" t="str"/>
      <x:c r="K181" s="483" t="str"/>
      <x:c r="L181" s="483" t="str"/>
    </x:row>
    <x:row r="182" ht="78" customHeight="1">
      <x:c r="A182" s="487" t="str">
        <x:v>F18</x:v>
      </x:c>
      <x:c r="B182" s="487" t="n">
        <x:v>7</x:v>
      </x:c>
      <x:c r="C182" s="487" t="str">
        <x:v>设备下发与实际结果</x:v>
      </x:c>
      <x:c r="D182" s="487" t="str">
        <x:v>规则不满足后再满足</x:v>
      </x:c>
      <x:c r="E182" s="425" t="str">
        <x:v>核对同一授权的设备、命令、受理和实际回执；失败、超时及急停分支分别留证。</x:v>
      </x:c>
      <x:c r="F182" s="425" t="str">
        <x:v>主链取得明确测试执行结果；提交不等于成功，未知不盲目重发，急停不等于已经停机。</x:v>
      </x:c>
      <x:c r="G182" s="483" t="str">
        <x:v>还没测</x:v>
      </x:c>
      <x:c r="H182" s="483" t="str"/>
      <x:c r="I182" s="483" t="str"/>
      <x:c r="J182" s="502" t="str"/>
      <x:c r="K182" s="483" t="str"/>
      <x:c r="L182" s="483" t="str"/>
    </x:row>
    <x:row r="183" ht="78" customHeight="1">
      <x:c r="A183" s="487" t="str">
        <x:v>F18</x:v>
      </x:c>
      <x:c r="B183" s="487" t="n">
        <x:v>8</x:v>
      </x:c>
      <x:c r="C183" s="487" t="str">
        <x:v>移送送达签收与办理结果</x:v>
      </x:c>
      <x:c r="D183" s="487" t="str">
        <x:v>规则不满足后再满足</x:v>
      </x:c>
      <x:c r="E183" s="425" t="str">
        <x:v>设备结果满足通知处罚条件后，不点击通知按钮，观察自动办理。 回读交接材料、送达、签收和办理结果。 先观察条件不满足，再补足当前有效条件。</x:v>
      </x:c>
      <x:c r="F183" s="425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483" t="str">
        <x:v>还没测</x:v>
      </x:c>
      <x:c r="H183" s="483" t="str"/>
      <x:c r="I183" s="483" t="str"/>
      <x:c r="J183" s="502" t="str"/>
      <x:c r="K183" s="483" t="str"/>
      <x:c r="L183" s="483" t="str"/>
    </x:row>
    <x:row r="184" ht="78" customHeight="1">
      <x:c r="A184" s="487" t="str">
        <x:v>F18</x:v>
      </x:c>
      <x:c r="B184" s="487" t="n">
        <x:v>9</x:v>
      </x:c>
      <x:c r="C184" s="487" t="str">
        <x:v>证据统计与跨页一致</x:v>
      </x:c>
      <x:c r="D184" s="487" t="str">
        <x:v>规则不满足后再满足</x:v>
      </x:c>
      <x:c r="E184" s="425" t="str">
        <x:v>在证据、统计、告警、计划和移送页按同一事件核对。记录所有关联编号和重要时间。</x:v>
      </x:c>
      <x:c r="F184" s="425" t="str">
        <x:v>原始与冻结材料完整；事件、授权、命令、通知、交接能互相对应；统计按真实事实计数，不把签收当结案。</x:v>
      </x:c>
      <x:c r="G184" s="483" t="str">
        <x:v>还没测</x:v>
      </x:c>
      <x:c r="H184" s="483" t="str"/>
      <x:c r="I184" s="483" t="str"/>
      <x:c r="J184" s="502" t="str"/>
      <x:c r="K184" s="483" t="str"/>
      <x:c r="L184" s="483" t="str"/>
    </x:row>
    <x:row r="185" ht="78" customHeight="1">
      <x:c r="A185" s="487" t="str">
        <x:v>F18</x:v>
      </x:c>
      <x:c r="B185" s="487" t="n">
        <x:v>10</x:v>
      </x:c>
      <x:c r="C185" s="487" t="str">
        <x:v>关闭页面与重登复查</x:v>
      </x:c>
      <x:c r="D185" s="487" t="str">
        <x:v>规则不满足后再满足</x:v>
      </x:c>
      <x:c r="E185" s="425" t="str">
        <x:v>本轮适用的自动等待阶段关闭页面再打开；结束后刷新、退出重登。核对动作次数并停止模拟。</x:v>
      </x:c>
      <x:c r="F185" s="425" t="str">
        <x:v>自动办理不依赖页面打开；刷新重登不重复动作；最终结果稳定，历史保留，模拟任务已明确停止。</x:v>
      </x:c>
      <x:c r="G185" s="483" t="str">
        <x:v>还没测</x:v>
      </x:c>
      <x:c r="H185" s="483" t="str"/>
      <x:c r="I185" s="483" t="str"/>
      <x:c r="J185" s="502" t="str"/>
      <x:c r="K185" s="483" t="str"/>
      <x:c r="L185" s="483" t="str"/>
    </x:row>
    <x:row r="186" ht="78" customHeight="1">
      <x:c r="A186" s="488" t="str">
        <x:v>F19</x:v>
      </x:c>
      <x:c r="B186" s="488" t="n">
        <x:v>1</x:v>
      </x:c>
      <x:c r="C186" s="488" t="str">
        <x:v>后台配置与测试准备</x:v>
      </x:c>
      <x:c r="D186" s="488" t="str">
        <x:v>服务暂停或断网后恢复</x:v>
      </x:c>
      <x:c r="E186" s="426" t="str">
        <x:v>按M8设置三类规则，并保存回读。记录有效时长、账号、范围、设备、通道和规则版本。</x:v>
      </x:c>
      <x:c r="F186" s="426" t="str">
        <x:v>实际运行设置与本轮相符；模拟通道可用。分别模拟执行服务未启用/异常、页面断网、后台处理重启，然后恢复。</x:v>
      </x:c>
      <x:c r="G186" s="505" t="str">
        <x:v>还没测</x:v>
      </x:c>
      <x:c r="H186" s="505" t="str"/>
      <x:c r="I186" s="505" t="str"/>
      <x:c r="J186" s="506" t="str"/>
      <x:c r="K186" s="505" t="str"/>
      <x:c r="L186" s="505" t="str"/>
    </x:row>
    <x:row r="187" ht="78" customHeight="1">
      <x:c r="A187" s="489" t="str">
        <x:v>F19</x:v>
      </x:c>
      <x:c r="B187" s="489" t="n">
        <x:v>2</x:v>
      </x:c>
      <x:c r="C187" s="489" t="str">
        <x:v>输入数据并识别目标</x:v>
      </x:c>
      <x:c r="D187" s="489" t="str">
        <x:v>服务暂停或断网后恢复</x:v>
      </x:c>
      <x:c r="E187" s="427" t="str">
        <x:v>启动新批次，通过获准入口输入计划和目标数据；记录唯一目标、计划和设备编号。</x:v>
      </x:c>
      <x:c r="F187" s="427" t="str">
        <x:v>能在融合感知查到同一目标，位置、时间和模拟标记正确；发送成功不代替平台已接收。</x:v>
      </x:c>
      <x:c r="G187" s="483" t="str">
        <x:v>还没测</x:v>
      </x:c>
      <x:c r="H187" s="483" t="str"/>
      <x:c r="I187" s="483" t="str"/>
      <x:c r="J187" s="502" t="str"/>
      <x:c r="K187" s="483" t="str"/>
      <x:c r="L187" s="483" t="str"/>
    </x:row>
    <x:row r="188" ht="78" customHeight="1">
      <x:c r="A188" s="489" t="str">
        <x:v>F19</x:v>
      </x:c>
      <x:c r="B188" s="489" t="n">
        <x:v>3</x:v>
      </x:c>
      <x:c r="C188" s="489" t="str">
        <x:v>研判和告警关联</x:v>
      </x:c>
      <x:c r="D188" s="489" t="str">
        <x:v>服务暂停或断网后恢复</x:v>
      </x:c>
      <x:c r="E188" s="427" t="str">
        <x:v>打开计划、合法性研判和告警，核对同一目标、计划、研判和事件关系。</x:v>
      </x:c>
      <x:c r="F188" s="427" t="str">
        <x:v>主链准备明确违规且证据充分的事件；各页同一事实。若本轮是合法或误报分支，按该分支正确阻止后续。</x:v>
      </x:c>
      <x:c r="G188" s="483" t="str">
        <x:v>还没测</x:v>
      </x:c>
      <x:c r="H188" s="483" t="str"/>
      <x:c r="I188" s="483" t="str"/>
      <x:c r="J188" s="502" t="str"/>
      <x:c r="K188" s="483" t="str"/>
      <x:c r="L188" s="483" t="str"/>
    </x:row>
    <x:row r="189" ht="78" customHeight="1">
      <x:c r="A189" s="489" t="str">
        <x:v>F19</x:v>
      </x:c>
      <x:c r="B189" s="489" t="n">
        <x:v>4</x:v>
      </x:c>
      <x:c r="C189" s="489" t="str">
        <x:v>核实告警</x:v>
      </x:c>
      <x:c r="D189" s="489" t="str">
        <x:v>服务暂停或断网后恢复</x:v>
      </x:c>
      <x:c r="E189" s="427" t="str">
        <x:v>不点击核实，等待已启用规则满足。 请开发在此等待阶段制造服务异常或断网并恢复。</x:v>
      </x:c>
      <x:c r="F189" s="427" t="str">
        <x:v>系统按规则核实一次；留有系统处理身份、时间和判定依据。 未启用或异常如实显示；恢复后对账，不重复核实、通知、下发或移送。</x:v>
      </x:c>
      <x:c r="G189" s="483" t="str">
        <x:v>还没测</x:v>
      </x:c>
      <x:c r="H189" s="483" t="str"/>
      <x:c r="I189" s="483" t="str"/>
      <x:c r="J189" s="502" t="str"/>
      <x:c r="K189" s="483" t="str"/>
      <x:c r="L189" s="483" t="str"/>
    </x:row>
    <x:row r="190" ht="78" customHeight="1">
      <x:c r="A190" s="489" t="str">
        <x:v>F19</x:v>
      </x:c>
      <x:c r="B190" s="489" t="n">
        <x:v>5</x:v>
      </x:c>
      <x:c r="C190" s="489" t="str">
        <x:v>飞手通知和位置观察</x:v>
      </x:c>
      <x:c r="D190" s="489" t="str">
        <x:v>服务暂停或断网后恢复</x:v>
      </x:c>
      <x:c r="E190" s="427" t="str">
        <x:v>检查短信发送/送达、观察开始/结束、电话接通/播放与新位置；按本轮条件操作目标。 请开发在此等待阶段制造服务异常或断网并恢复。</x:v>
      </x:c>
      <x:c r="F190" s="427" t="str">
        <x:v>主链持续在域时按已确认时长推进到待反制；短信、电话、飞离各凭自己的真实依据。 未启用或异常如实显示；恢复后对账，不重复核实、通知、下发或移送。</x:v>
      </x:c>
      <x:c r="G190" s="483" t="str">
        <x:v>还没测</x:v>
      </x:c>
      <x:c r="H190" s="483" t="str"/>
      <x:c r="I190" s="483" t="str"/>
      <x:c r="J190" s="502" t="str"/>
      <x:c r="K190" s="483" t="str"/>
      <x:c r="L190" s="483" t="str"/>
    </x:row>
    <x:row r="191" ht="78" customHeight="1">
      <x:c r="A191" s="489" t="str">
        <x:v>F19</x:v>
      </x:c>
      <x:c r="B191" s="489" t="n">
        <x:v>6</x:v>
      </x:c>
      <x:c r="C191" s="489" t="str">
        <x:v>反制发起和授权</x:v>
      </x:c>
      <x:c r="D191" s="489" t="str">
        <x:v>服务暂停或断网后恢复</x:v>
      </x:c>
      <x:c r="E191" s="427" t="str">
        <x:v>进入待反制后不点发起，等待规则满足；检查当前证据和唯一可用测试设备。</x:v>
      </x:c>
      <x:c r="F191" s="427" t="str">
        <x:v>符合条件才由系统发起；记录系统身份和实际授权依据，不伪造人工审批。</x:v>
      </x:c>
      <x:c r="G191" s="483" t="str">
        <x:v>还没测</x:v>
      </x:c>
      <x:c r="H191" s="483" t="str"/>
      <x:c r="I191" s="483" t="str"/>
      <x:c r="J191" s="502" t="str"/>
      <x:c r="K191" s="483" t="str"/>
      <x:c r="L191" s="483" t="str"/>
    </x:row>
    <x:row r="192" ht="78" customHeight="1">
      <x:c r="A192" s="489" t="str">
        <x:v>F19</x:v>
      </x:c>
      <x:c r="B192" s="489" t="n">
        <x:v>7</x:v>
      </x:c>
      <x:c r="C192" s="489" t="str">
        <x:v>设备下发与实际结果</x:v>
      </x:c>
      <x:c r="D192" s="489" t="str">
        <x:v>服务暂停或断网后恢复</x:v>
      </x:c>
      <x:c r="E192" s="427" t="str">
        <x:v>核对同一授权的设备、命令、受理和实际回执；失败、超时及急停分支分别留证。 请开发在此等待阶段制造服务异常或断网并恢复。</x:v>
      </x:c>
      <x:c r="F192" s="427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483" t="str">
        <x:v>还没测</x:v>
      </x:c>
      <x:c r="H192" s="483" t="str"/>
      <x:c r="I192" s="483" t="str"/>
      <x:c r="J192" s="502" t="str"/>
      <x:c r="K192" s="483" t="str"/>
      <x:c r="L192" s="483" t="str"/>
    </x:row>
    <x:row r="193" ht="78" customHeight="1">
      <x:c r="A193" s="489" t="str">
        <x:v>F19</x:v>
      </x:c>
      <x:c r="B193" s="489" t="n">
        <x:v>8</x:v>
      </x:c>
      <x:c r="C193" s="489" t="str">
        <x:v>移送送达签收与办理结果</x:v>
      </x:c>
      <x:c r="D193" s="489" t="str">
        <x:v>服务暂停或断网后恢复</x:v>
      </x:c>
      <x:c r="E193" s="427" t="str">
        <x:v>设备结果满足通知处罚条件后，不点击通知按钮，观察自动办理。 回读交接材料、送达、签收和办理结果。 请开发在此等待阶段制造服务异常或断网并恢复。</x:v>
      </x:c>
      <x:c r="F193" s="427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483" t="str">
        <x:v>还没测</x:v>
      </x:c>
      <x:c r="H193" s="483" t="str"/>
      <x:c r="I193" s="483" t="str"/>
      <x:c r="J193" s="502" t="str"/>
      <x:c r="K193" s="483" t="str"/>
      <x:c r="L193" s="483" t="str"/>
    </x:row>
    <x:row r="194" ht="78" customHeight="1">
      <x:c r="A194" s="489" t="str">
        <x:v>F19</x:v>
      </x:c>
      <x:c r="B194" s="489" t="n">
        <x:v>9</x:v>
      </x:c>
      <x:c r="C194" s="489" t="str">
        <x:v>证据统计与跨页一致</x:v>
      </x:c>
      <x:c r="D194" s="489" t="str">
        <x:v>服务暂停或断网后恢复</x:v>
      </x:c>
      <x:c r="E194" s="427" t="str">
        <x:v>在证据、统计、告警、计划和移送页按同一事件核对。记录所有关联编号和重要时间。</x:v>
      </x:c>
      <x:c r="F194" s="427" t="str">
        <x:v>原始与冻结材料完整；事件、授权、命令、通知、交接能互相对应；统计按真实事实计数，不把签收当结案。</x:v>
      </x:c>
      <x:c r="G194" s="483" t="str">
        <x:v>还没测</x:v>
      </x:c>
      <x:c r="H194" s="483" t="str"/>
      <x:c r="I194" s="483" t="str"/>
      <x:c r="J194" s="502" t="str"/>
      <x:c r="K194" s="483" t="str"/>
      <x:c r="L194" s="483" t="str"/>
    </x:row>
    <x:row r="195" ht="78" customHeight="1">
      <x:c r="A195" s="489" t="str">
        <x:v>F19</x:v>
      </x:c>
      <x:c r="B195" s="489" t="n">
        <x:v>10</x:v>
      </x:c>
      <x:c r="C195" s="489" t="str">
        <x:v>关闭页面与重登复查</x:v>
      </x:c>
      <x:c r="D195" s="489" t="str">
        <x:v>服务暂停或断网后恢复</x:v>
      </x:c>
      <x:c r="E195" s="427" t="str">
        <x:v>本轮适用的自动等待阶段关闭页面再打开；结束后刷新、退出重登。核对动作次数并停止模拟。</x:v>
      </x:c>
      <x:c r="F195" s="427" t="str">
        <x:v>自动办理不依赖页面打开；刷新重登不重复动作；最终结果稳定，历史保留，模拟任务已明确停止。</x:v>
      </x:c>
      <x:c r="G195" s="483" t="str">
        <x:v>还没测</x:v>
      </x:c>
      <x:c r="H195" s="483" t="str"/>
      <x:c r="I195" s="483" t="str"/>
      <x:c r="J195" s="502" t="str"/>
      <x:c r="K195" s="483" t="str"/>
      <x:c r="L195" s="483" t="str"/>
    </x:row>
    <x:row r="196" ht="78" customHeight="1">
      <x:c r="A196" s="490" t="str">
        <x:v>F20</x:v>
      </x:c>
      <x:c r="B196" s="490" t="n">
        <x:v>1</x:v>
      </x:c>
      <x:c r="C196" s="490" t="str">
        <x:v>后台配置与测试准备</x:v>
      </x:c>
      <x:c r="D196" s="490" t="str">
        <x:v>设备失败并急停核查</x:v>
      </x:c>
      <x:c r="E196" s="428" t="str">
        <x:v>按M8设置三类规则，并保存回读。记录有效时长、账号、范围、设备、通道和规则版本。</x:v>
      </x:c>
      <x:c r="F196" s="428" t="str">
        <x:v>实际运行设置与本轮相符；模拟通道可用。分别模拟设备忙、命令失败、结果未知；另运行一批执行中急停。</x:v>
      </x:c>
      <x:c r="G196" s="507" t="str">
        <x:v>还没测</x:v>
      </x:c>
      <x:c r="H196" s="507" t="str"/>
      <x:c r="I196" s="507" t="str"/>
      <x:c r="J196" s="508" t="str"/>
      <x:c r="K196" s="507" t="str"/>
      <x:c r="L196" s="507" t="str"/>
    </x:row>
    <x:row r="197" ht="78" customHeight="1">
      <x:c r="A197" s="491" t="str">
        <x:v>F20</x:v>
      </x:c>
      <x:c r="B197" s="491" t="n">
        <x:v>2</x:v>
      </x:c>
      <x:c r="C197" s="491" t="str">
        <x:v>输入数据并识别目标</x:v>
      </x:c>
      <x:c r="D197" s="491" t="str">
        <x:v>设备失败并急停核查</x:v>
      </x:c>
      <x:c r="E197" s="429" t="str">
        <x:v>启动新批次，通过获准入口输入计划和目标数据；记录唯一目标、计划和设备编号。</x:v>
      </x:c>
      <x:c r="F197" s="429" t="str">
        <x:v>能在融合感知查到同一目标，位置、时间和模拟标记正确；发送成功不代替平台已接收。</x:v>
      </x:c>
      <x:c r="G197" s="483" t="str">
        <x:v>还没测</x:v>
      </x:c>
      <x:c r="H197" s="483" t="str"/>
      <x:c r="I197" s="483" t="str"/>
      <x:c r="J197" s="502" t="str"/>
      <x:c r="K197" s="483" t="str"/>
      <x:c r="L197" s="483" t="str"/>
    </x:row>
    <x:row r="198" ht="78" customHeight="1">
      <x:c r="A198" s="491" t="str">
        <x:v>F20</x:v>
      </x:c>
      <x:c r="B198" s="491" t="n">
        <x:v>3</x:v>
      </x:c>
      <x:c r="C198" s="491" t="str">
        <x:v>研判和告警关联</x:v>
      </x:c>
      <x:c r="D198" s="491" t="str">
        <x:v>设备失败并急停核查</x:v>
      </x:c>
      <x:c r="E198" s="429" t="str">
        <x:v>打开计划、合法性研判和告警，核对同一目标、计划、研判和事件关系。</x:v>
      </x:c>
      <x:c r="F198" s="429" t="str">
        <x:v>主链准备明确违规且证据充分的事件；各页同一事实。若本轮是合法或误报分支，按该分支正确阻止后续。</x:v>
      </x:c>
      <x:c r="G198" s="483" t="str">
        <x:v>还没测</x:v>
      </x:c>
      <x:c r="H198" s="483" t="str"/>
      <x:c r="I198" s="483" t="str"/>
      <x:c r="J198" s="502" t="str"/>
      <x:c r="K198" s="483" t="str"/>
      <x:c r="L198" s="483" t="str"/>
    </x:row>
    <x:row r="199" ht="78" customHeight="1">
      <x:c r="A199" s="491" t="str">
        <x:v>F20</x:v>
      </x:c>
      <x:c r="B199" s="491" t="n">
        <x:v>4</x:v>
      </x:c>
      <x:c r="C199" s="491" t="str">
        <x:v>核实告警</x:v>
      </x:c>
      <x:c r="D199" s="491" t="str">
        <x:v>设备失败并急停核查</x:v>
      </x:c>
      <x:c r="E199" s="429" t="str">
        <x:v>不点击核实，等待已启用规则满足。</x:v>
      </x:c>
      <x:c r="F199" s="429" t="str">
        <x:v>系统按规则核实一次；留有系统处理身份、时间和判定依据。</x:v>
      </x:c>
      <x:c r="G199" s="483" t="str">
        <x:v>还没测</x:v>
      </x:c>
      <x:c r="H199" s="483" t="str"/>
      <x:c r="I199" s="483" t="str"/>
      <x:c r="J199" s="502" t="str"/>
      <x:c r="K199" s="483" t="str"/>
      <x:c r="L199" s="483" t="str"/>
    </x:row>
    <x:row r="200" ht="78" customHeight="1">
      <x:c r="A200" s="491" t="str">
        <x:v>F20</x:v>
      </x:c>
      <x:c r="B200" s="491" t="n">
        <x:v>5</x:v>
      </x:c>
      <x:c r="C200" s="491" t="str">
        <x:v>飞手通知和位置观察</x:v>
      </x:c>
      <x:c r="D200" s="491" t="str">
        <x:v>设备失败并急停核查</x:v>
      </x:c>
      <x:c r="E200" s="429" t="str">
        <x:v>检查短信发送/送达、观察开始/结束、电话接通/播放与新位置；按本轮条件操作目标。</x:v>
      </x:c>
      <x:c r="F200" s="429" t="str">
        <x:v>主链持续在域时按已确认时长推进到待反制；短信、电话、飞离各凭自己的真实依据。</x:v>
      </x:c>
      <x:c r="G200" s="483" t="str">
        <x:v>还没测</x:v>
      </x:c>
      <x:c r="H200" s="483" t="str"/>
      <x:c r="I200" s="483" t="str"/>
      <x:c r="J200" s="502" t="str"/>
      <x:c r="K200" s="483" t="str"/>
      <x:c r="L200" s="483" t="str"/>
    </x:row>
    <x:row r="201" ht="78" customHeight="1">
      <x:c r="A201" s="491" t="str">
        <x:v>F20</x:v>
      </x:c>
      <x:c r="B201" s="491" t="n">
        <x:v>6</x:v>
      </x:c>
      <x:c r="C201" s="491" t="str">
        <x:v>反制发起和授权</x:v>
      </x:c>
      <x:c r="D201" s="491" t="str">
        <x:v>设备失败并急停核查</x:v>
      </x:c>
      <x:c r="E201" s="429" t="str">
        <x:v>进入待反制后不点发起，等待规则满足；检查当前证据和唯一可用测试设备。</x:v>
      </x:c>
      <x:c r="F201" s="429" t="str">
        <x:v>符合条件才由系统发起；记录系统身份和实际授权依据，不伪造人工审批。</x:v>
      </x:c>
      <x:c r="G201" s="483" t="str">
        <x:v>还没测</x:v>
      </x:c>
      <x:c r="H201" s="483" t="str"/>
      <x:c r="I201" s="483" t="str"/>
      <x:c r="J201" s="502" t="str"/>
      <x:c r="K201" s="483" t="str"/>
      <x:c r="L201" s="483" t="str"/>
    </x:row>
    <x:row r="202" ht="78" customHeight="1">
      <x:c r="A202" s="491" t="str">
        <x:v>F20</x:v>
      </x:c>
      <x:c r="B202" s="491" t="n">
        <x:v>7</x:v>
      </x:c>
      <x:c r="C202" s="491" t="str">
        <x:v>设备下发与实际结果</x:v>
      </x:c>
      <x:c r="D202" s="491" t="str">
        <x:v>设备失败并急停核查</x:v>
      </x:c>
      <x:c r="E202" s="429" t="str">
        <x:v>分别模拟设备忙、命令失败、结果未知；另运行一批执行中急停。</x:v>
      </x:c>
      <x:c r="F202" s="429" t="str">
        <x:v>失败不能当成功，不虚构后续移送；急停需要回复与实际停机核查，切换模式不替代急停。</x:v>
      </x:c>
      <x:c r="G202" s="483" t="str">
        <x:v>还没测</x:v>
      </x:c>
      <x:c r="H202" s="483" t="str"/>
      <x:c r="I202" s="483" t="str"/>
      <x:c r="J202" s="502" t="str"/>
      <x:c r="K202" s="483" t="str"/>
      <x:c r="L202" s="483" t="str"/>
    </x:row>
    <x:row r="203" ht="78" customHeight="1">
      <x:c r="A203" s="491" t="str">
        <x:v>F20</x:v>
      </x:c>
      <x:c r="B203" s="491" t="n">
        <x:v>8</x:v>
      </x:c>
      <x:c r="C203" s="491" t="str">
        <x:v>移送送达签收与办理结果</x:v>
      </x:c>
      <x:c r="D203" s="491" t="str">
        <x:v>设备失败并急停核查</x:v>
      </x:c>
      <x:c r="E203" s="429" t="str">
        <x:v>设备结果满足通知处罚条件后，不点击通知按钮，观察自动办理。 回读交接材料、送达、签收和办理结果。</x:v>
      </x:c>
      <x:c r="F203" s="429" t="str">
        <x:v>设备失败、未知或停止不能伪装成已完成干扰并触发后续；每个子批次只按其实际结果办理。</x:v>
      </x:c>
      <x:c r="G203" s="483" t="str">
        <x:v>还没测</x:v>
      </x:c>
      <x:c r="H203" s="483" t="str"/>
      <x:c r="I203" s="483" t="str"/>
      <x:c r="J203" s="502" t="str"/>
      <x:c r="K203" s="483" t="str"/>
      <x:c r="L203" s="483" t="str"/>
    </x:row>
    <x:row r="204" ht="78" customHeight="1">
      <x:c r="A204" s="491" t="str">
        <x:v>F20</x:v>
      </x:c>
      <x:c r="B204" s="491" t="n">
        <x:v>9</x:v>
      </x:c>
      <x:c r="C204" s="491" t="str">
        <x:v>证据统计与跨页一致</x:v>
      </x:c>
      <x:c r="D204" s="491" t="str">
        <x:v>设备失败并急停核查</x:v>
      </x:c>
      <x:c r="E204" s="429" t="str">
        <x:v>在证据、统计、告警、计划和移送页按同一事件核对。记录所有关联编号和重要时间。</x:v>
      </x:c>
      <x:c r="F204" s="429" t="str">
        <x:v>原始与冻结材料完整；事件、授权、命令、通知、交接能互相对应；统计按真实事实计数，不把签收当结案。</x:v>
      </x:c>
      <x:c r="G204" s="483" t="str">
        <x:v>还没测</x:v>
      </x:c>
      <x:c r="H204" s="483" t="str"/>
      <x:c r="I204" s="483" t="str"/>
      <x:c r="J204" s="502" t="str"/>
      <x:c r="K204" s="483" t="str"/>
      <x:c r="L204" s="483" t="str"/>
    </x:row>
    <x:row r="205" ht="78" customHeight="1">
      <x:c r="A205" s="491" t="str">
        <x:v>F20</x:v>
      </x:c>
      <x:c r="B205" s="491" t="n">
        <x:v>10</x:v>
      </x:c>
      <x:c r="C205" s="491" t="str">
        <x:v>关闭页面与重登复查</x:v>
      </x:c>
      <x:c r="D205" s="491" t="str">
        <x:v>设备失败并急停核查</x:v>
      </x:c>
      <x:c r="E205" s="429" t="str">
        <x:v>本轮适用的自动等待阶段关闭页面再打开；结束后刷新、退出重登。核对动作次数并停止模拟。</x:v>
      </x:c>
      <x:c r="F205" s="429" t="str">
        <x:v>自动办理不依赖页面打开；刷新重登不重复动作；最终结果稳定，历史保留，模拟任务已明确停止。</x:v>
      </x:c>
      <x:c r="G205" s="483" t="str">
        <x:v>还没测</x:v>
      </x:c>
      <x:c r="H205" s="483" t="str"/>
      <x:c r="I205" s="483" t="str"/>
      <x:c r="J205" s="502" t="str"/>
      <x:c r="K205" s="483" t="str"/>
      <x:c r="L205" s="483" t="str"/>
    </x:row>
    <x:row r="206" ht="78" customHeight="1">
      <x:c r="A206" s="492" t="str">
        <x:v>F21</x:v>
      </x:c>
      <x:c r="B206" s="492" t="n">
        <x:v>1</x:v>
      </x:c>
      <x:c r="C206" s="492" t="str">
        <x:v>后台配置与测试准备</x:v>
      </x:c>
      <x:c r="D206" s="492" t="str">
        <x:v>排队后资格变化</x:v>
      </x:c>
      <x:c r="E206" s="430" t="str">
        <x:v>按M8设置三类规则，并保存回读。记录有效时长、账号、范围、设备、通道和规则版本。</x:v>
      </x:c>
      <x:c r="F206" s="430" t="str">
        <x:v>实际运行设置与本轮相符；模拟通道可用。在排队及续链前，让授权/规则时段到期、观测过期，或取消可执行资格。</x:v>
      </x:c>
      <x:c r="G206" s="509" t="str">
        <x:v>还没测</x:v>
      </x:c>
      <x:c r="H206" s="509" t="str"/>
      <x:c r="I206" s="509" t="str"/>
      <x:c r="J206" s="510" t="str"/>
      <x:c r="K206" s="509" t="str"/>
      <x:c r="L206" s="509" t="str"/>
    </x:row>
    <x:row r="207" ht="78" customHeight="1">
      <x:c r="A207" s="493" t="str">
        <x:v>F21</x:v>
      </x:c>
      <x:c r="B207" s="493" t="n">
        <x:v>2</x:v>
      </x:c>
      <x:c r="C207" s="493" t="str">
        <x:v>输入数据并识别目标</x:v>
      </x:c>
      <x:c r="D207" s="493" t="str">
        <x:v>排队后资格变化</x:v>
      </x:c>
      <x:c r="E207" s="431" t="str">
        <x:v>启动新批次，通过获准入口输入计划和目标数据；记录唯一目标、计划和设备编号。</x:v>
      </x:c>
      <x:c r="F207" s="431" t="str">
        <x:v>能在融合感知查到同一目标，位置、时间和模拟标记正确；发送成功不代替平台已接收。</x:v>
      </x:c>
      <x:c r="G207" s="483" t="str">
        <x:v>还没测</x:v>
      </x:c>
      <x:c r="H207" s="483" t="str"/>
      <x:c r="I207" s="483" t="str"/>
      <x:c r="J207" s="502" t="str"/>
      <x:c r="K207" s="483" t="str"/>
      <x:c r="L207" s="483" t="str"/>
    </x:row>
    <x:row r="208" ht="78" customHeight="1">
      <x:c r="A208" s="493" t="str">
        <x:v>F21</x:v>
      </x:c>
      <x:c r="B208" s="493" t="n">
        <x:v>3</x:v>
      </x:c>
      <x:c r="C208" s="493" t="str">
        <x:v>研判和告警关联</x:v>
      </x:c>
      <x:c r="D208" s="493" t="str">
        <x:v>排队后资格变化</x:v>
      </x:c>
      <x:c r="E208" s="431" t="str">
        <x:v>打开计划、合法性研判和告警，核对同一目标、计划、研判和事件关系。</x:v>
      </x:c>
      <x:c r="F208" s="431" t="str">
        <x:v>主链准备明确违规且证据充分的事件；各页同一事实。若本轮是合法或误报分支，按该分支正确阻止后续。</x:v>
      </x:c>
      <x:c r="G208" s="483" t="str">
        <x:v>还没测</x:v>
      </x:c>
      <x:c r="H208" s="483" t="str"/>
      <x:c r="I208" s="483" t="str"/>
      <x:c r="J208" s="502" t="str"/>
      <x:c r="K208" s="483" t="str"/>
      <x:c r="L208" s="483" t="str"/>
    </x:row>
    <x:row r="209" ht="78" customHeight="1">
      <x:c r="A209" s="493" t="str">
        <x:v>F21</x:v>
      </x:c>
      <x:c r="B209" s="493" t="n">
        <x:v>4</x:v>
      </x:c>
      <x:c r="C209" s="493" t="str">
        <x:v>核实告警</x:v>
      </x:c>
      <x:c r="D209" s="493" t="str">
        <x:v>排队后资格变化</x:v>
      </x:c>
      <x:c r="E209" s="431" t="str">
        <x:v>不点击核实，等待已启用规则满足。</x:v>
      </x:c>
      <x:c r="F209" s="431" t="str">
        <x:v>系统按规则核实一次；留有系统处理身份、时间和判定依据。</x:v>
      </x:c>
      <x:c r="G209" s="483" t="str">
        <x:v>还没测</x:v>
      </x:c>
      <x:c r="H209" s="483" t="str"/>
      <x:c r="I209" s="483" t="str"/>
      <x:c r="J209" s="502" t="str"/>
      <x:c r="K209" s="483" t="str"/>
      <x:c r="L209" s="483" t="str"/>
    </x:row>
    <x:row r="210" ht="78" customHeight="1">
      <x:c r="A210" s="493" t="str">
        <x:v>F21</x:v>
      </x:c>
      <x:c r="B210" s="493" t="n">
        <x:v>5</x:v>
      </x:c>
      <x:c r="C210" s="493" t="str">
        <x:v>飞手通知和位置观察</x:v>
      </x:c>
      <x:c r="D210" s="493" t="str">
        <x:v>排队后资格变化</x:v>
      </x:c>
      <x:c r="E210" s="431" t="str">
        <x:v>检查短信发送/送达、观察开始/结束、电话接通/播放与新位置；按本轮条件操作目标。</x:v>
      </x:c>
      <x:c r="F210" s="431" t="str">
        <x:v>主链持续在域时按已确认时长推进到待反制；短信、电话、飞离各凭自己的真实依据。</x:v>
      </x:c>
      <x:c r="G210" s="483" t="str">
        <x:v>还没测</x:v>
      </x:c>
      <x:c r="H210" s="483" t="str"/>
      <x:c r="I210" s="483" t="str"/>
      <x:c r="J210" s="502" t="str"/>
      <x:c r="K210" s="483" t="str"/>
      <x:c r="L210" s="483" t="str"/>
    </x:row>
    <x:row r="211" ht="78" customHeight="1">
      <x:c r="A211" s="493" t="str">
        <x:v>F21</x:v>
      </x:c>
      <x:c r="B211" s="493" t="n">
        <x:v>6</x:v>
      </x:c>
      <x:c r="C211" s="493" t="str">
        <x:v>反制发起和授权</x:v>
      </x:c>
      <x:c r="D211" s="493" t="str">
        <x:v>排队后资格变化</x:v>
      </x:c>
      <x:c r="E211" s="431" t="str">
        <x:v>进入待反制后不点发起，等待规则满足；检查当前证据和唯一可用测试设备。 在排队及续链前，让授权/规则时段到期、观测过期，或取消可执行资格。</x:v>
      </x:c>
      <x:c r="F211" s="431" t="str">
        <x:v>符合条件才由系统发起；记录系统身份和实际授权依据，不伪造人工审批。</x:v>
      </x:c>
      <x:c r="G211" s="483" t="str">
        <x:v>还没测</x:v>
      </x:c>
      <x:c r="H211" s="483" t="str"/>
      <x:c r="I211" s="483" t="str"/>
      <x:c r="J211" s="502" t="str"/>
      <x:c r="K211" s="483" t="str"/>
      <x:c r="L211" s="483" t="str"/>
    </x:row>
    <x:row r="212" ht="78" customHeight="1">
      <x:c r="A212" s="493" t="str">
        <x:v>F21</x:v>
      </x:c>
      <x:c r="B212" s="493" t="n">
        <x:v>7</x:v>
      </x:c>
      <x:c r="C212" s="493" t="str">
        <x:v>设备下发与实际结果</x:v>
      </x:c>
      <x:c r="D212" s="493" t="str">
        <x:v>排队后资格变化</x:v>
      </x:c>
      <x:c r="E212" s="431" t="str">
        <x:v>核对同一授权的设备、命令、受理和实际回执；失败、超时及急停分支分别留证。</x:v>
      </x:c>
      <x:c r="F212" s="431" t="str">
        <x:v>真正发送前重新检查，不超范围或原授权窗口，不拿以前规则通过的结果继续下发。</x:v>
      </x:c>
      <x:c r="G212" s="483" t="str">
        <x:v>还没测</x:v>
      </x:c>
      <x:c r="H212" s="483" t="str"/>
      <x:c r="I212" s="483" t="str"/>
      <x:c r="J212" s="502" t="str"/>
      <x:c r="K212" s="483" t="str"/>
      <x:c r="L212" s="483" t="str"/>
    </x:row>
    <x:row r="213" ht="78" customHeight="1">
      <x:c r="A213" s="493" t="str">
        <x:v>F21</x:v>
      </x:c>
      <x:c r="B213" s="493" t="n">
        <x:v>8</x:v>
      </x:c>
      <x:c r="C213" s="493" t="str">
        <x:v>移送送达签收与办理结果</x:v>
      </x:c>
      <x:c r="D213" s="493" t="str">
        <x:v>排队后资格变化</x:v>
      </x:c>
      <x:c r="E213" s="431" t="str">
        <x:v>设备结果满足通知处罚条件后，不点击通知按钮，观察自动办理。 回读交接材料、送达、签收和办理结果。</x:v>
      </x:c>
      <x:c r="F213" s="431" t="str">
        <x:v>未取得允许的设备实际结果，不应冒充完成进入自动处罚通知。</x:v>
      </x:c>
      <x:c r="G213" s="483" t="str">
        <x:v>还没测</x:v>
      </x:c>
      <x:c r="H213" s="483" t="str"/>
      <x:c r="I213" s="483" t="str"/>
      <x:c r="J213" s="502" t="str"/>
      <x:c r="K213" s="483" t="str"/>
      <x:c r="L213" s="483" t="str"/>
    </x:row>
    <x:row r="214" ht="78" customHeight="1">
      <x:c r="A214" s="493" t="str">
        <x:v>F21</x:v>
      </x:c>
      <x:c r="B214" s="493" t="n">
        <x:v>9</x:v>
      </x:c>
      <x:c r="C214" s="493" t="str">
        <x:v>证据统计与跨页一致</x:v>
      </x:c>
      <x:c r="D214" s="493" t="str">
        <x:v>排队后资格变化</x:v>
      </x:c>
      <x:c r="E214" s="431" t="str">
        <x:v>在证据、统计、告警、计划和移送页按同一事件核对。记录所有关联编号和重要时间。</x:v>
      </x:c>
      <x:c r="F214" s="431" t="str">
        <x:v>原始与冻结材料完整；事件、授权、命令、通知、交接能互相对应；统计按真实事实计数，不把签收当结案。</x:v>
      </x:c>
      <x:c r="G214" s="483" t="str">
        <x:v>还没测</x:v>
      </x:c>
      <x:c r="H214" s="483" t="str"/>
      <x:c r="I214" s="483" t="str"/>
      <x:c r="J214" s="502" t="str"/>
      <x:c r="K214" s="483" t="str"/>
      <x:c r="L214" s="483" t="str"/>
    </x:row>
    <x:row r="215" ht="78" customHeight="1">
      <x:c r="A215" s="493" t="str">
        <x:v>F21</x:v>
      </x:c>
      <x:c r="B215" s="493" t="n">
        <x:v>10</x:v>
      </x:c>
      <x:c r="C215" s="493" t="str">
        <x:v>关闭页面与重登复查</x:v>
      </x:c>
      <x:c r="D215" s="493" t="str">
        <x:v>排队后资格变化</x:v>
      </x:c>
      <x:c r="E215" s="431" t="str">
        <x:v>本轮适用的自动等待阶段关闭页面再打开；结束后刷新、退出重登。核对动作次数并停止模拟。</x:v>
      </x:c>
      <x:c r="F215" s="431" t="str">
        <x:v>自动办理不依赖页面打开；刷新重登不重复动作；最终结果稳定，历史保留，模拟任务已明确停止。</x:v>
      </x:c>
      <x:c r="G215" s="483" t="str">
        <x:v>还没测</x:v>
      </x:c>
      <x:c r="H215" s="483" t="str"/>
      <x:c r="I215" s="483" t="str"/>
      <x:c r="J215" s="502" t="str"/>
      <x:c r="K215" s="483" t="str"/>
      <x:c r="L215" s="483" t="str"/>
    </x:row>
    <x:row r="216" ht="78" customHeight="1">
      <x:c r="A216" s="494" t="str">
        <x:v>F22</x:v>
      </x:c>
      <x:c r="B216" s="494" t="n">
        <x:v>1</x:v>
      </x:c>
      <x:c r="C216" s="494" t="str">
        <x:v>后台配置与测试准备</x:v>
      </x:c>
      <x:c r="D216" s="494" t="str">
        <x:v>权限不足人员尝试接手</x:v>
      </x:c>
      <x:c r="E216" s="432" t="str">
        <x:v>按M8设置三类规则，并保存回读。记录有效时长、账号、范围、设备、通道和规则版本。</x:v>
      </x:c>
      <x:c r="F216" s="432" t="str">
        <x:v>实际运行设置与本轮相符；模拟通道可用。系统自动条件暂未满足时，用只读和范围受限账号分别操作；再换有权账号。</x:v>
      </x:c>
      <x:c r="G216" s="511" t="str">
        <x:v>还没测</x:v>
      </x:c>
      <x:c r="H216" s="511" t="str"/>
      <x:c r="I216" s="511" t="str"/>
      <x:c r="J216" s="512" t="str"/>
      <x:c r="K216" s="511" t="str"/>
      <x:c r="L216" s="511" t="str"/>
    </x:row>
    <x:row r="217" ht="78" customHeight="1">
      <x:c r="A217" s="495" t="str">
        <x:v>F22</x:v>
      </x:c>
      <x:c r="B217" s="495" t="n">
        <x:v>2</x:v>
      </x:c>
      <x:c r="C217" s="495" t="str">
        <x:v>输入数据并识别目标</x:v>
      </x:c>
      <x:c r="D217" s="495" t="str">
        <x:v>权限不足人员尝试接手</x:v>
      </x:c>
      <x:c r="E217" s="433" t="str">
        <x:v>启动新批次，通过获准入口输入计划和目标数据；记录唯一目标、计划和设备编号。</x:v>
      </x:c>
      <x:c r="F217" s="433" t="str">
        <x:v>能在融合感知查到同一目标，位置、时间和模拟标记正确；发送成功不代替平台已接收。</x:v>
      </x:c>
      <x:c r="G217" s="483" t="str">
        <x:v>还没测</x:v>
      </x:c>
      <x:c r="H217" s="483" t="str"/>
      <x:c r="I217" s="483" t="str"/>
      <x:c r="J217" s="502" t="str"/>
      <x:c r="K217" s="483" t="str"/>
      <x:c r="L217" s="483" t="str"/>
    </x:row>
    <x:row r="218" ht="78" customHeight="1">
      <x:c r="A218" s="495" t="str">
        <x:v>F22</x:v>
      </x:c>
      <x:c r="B218" s="495" t="n">
        <x:v>3</x:v>
      </x:c>
      <x:c r="C218" s="495" t="str">
        <x:v>研判和告警关联</x:v>
      </x:c>
      <x:c r="D218" s="495" t="str">
        <x:v>权限不足人员尝试接手</x:v>
      </x:c>
      <x:c r="E218" s="433" t="str">
        <x:v>打开计划、合法性研判和告警，核对同一目标、计划、研判和事件关系。</x:v>
      </x:c>
      <x:c r="F218" s="433" t="str">
        <x:v>主链准备明确违规且证据充分的事件；各页同一事实。若本轮是合法或误报分支，按该分支正确阻止后续。</x:v>
      </x:c>
      <x:c r="G218" s="483" t="str">
        <x:v>还没测</x:v>
      </x:c>
      <x:c r="H218" s="483" t="str"/>
      <x:c r="I218" s="483" t="str"/>
      <x:c r="J218" s="502" t="str"/>
      <x:c r="K218" s="483" t="str"/>
      <x:c r="L218" s="483" t="str"/>
    </x:row>
    <x:row r="219" ht="78" customHeight="1">
      <x:c r="A219" s="495" t="str">
        <x:v>F22</x:v>
      </x:c>
      <x:c r="B219" s="495" t="n">
        <x:v>4</x:v>
      </x:c>
      <x:c r="C219" s="495" t="str">
        <x:v>核实告警</x:v>
      </x:c>
      <x:c r="D219" s="495" t="str">
        <x:v>权限不足人员尝试接手</x:v>
      </x:c>
      <x:c r="E219" s="433" t="str">
        <x:v>不点击核实，等待已启用规则满足。 本环节另用无权、范围受限账号尝试，再用有权账号。</x:v>
      </x:c>
      <x:c r="F219" s="433" t="str">
        <x:v>系统按规则核实一次；留有系统处理身份、时间和判定依据。 无权人员不能接手，自动模式不授予个人权限；换有权账号也须满足当前业务条件。</x:v>
      </x:c>
      <x:c r="G219" s="483" t="str">
        <x:v>还没测</x:v>
      </x:c>
      <x:c r="H219" s="483" t="str"/>
      <x:c r="I219" s="483" t="str"/>
      <x:c r="J219" s="502" t="str"/>
      <x:c r="K219" s="483" t="str"/>
      <x:c r="L219" s="483" t="str"/>
    </x:row>
    <x:row r="220" ht="78" customHeight="1">
      <x:c r="A220" s="495" t="str">
        <x:v>F22</x:v>
      </x:c>
      <x:c r="B220" s="495" t="n">
        <x:v>5</x:v>
      </x:c>
      <x:c r="C220" s="495" t="str">
        <x:v>飞手通知和位置观察</x:v>
      </x:c>
      <x:c r="D220" s="495" t="str">
        <x:v>权限不足人员尝试接手</x:v>
      </x:c>
      <x:c r="E220" s="433" t="str">
        <x:v>检查短信发送/送达、观察开始/结束、电话接通/播放与新位置；按本轮条件操作目标。</x:v>
      </x:c>
      <x:c r="F220" s="433" t="str">
        <x:v>主链持续在域时按已确认时长推进到待反制；短信、电话、飞离各凭自己的真实依据。</x:v>
      </x:c>
      <x:c r="G220" s="483" t="str">
        <x:v>还没测</x:v>
      </x:c>
      <x:c r="H220" s="483" t="str"/>
      <x:c r="I220" s="483" t="str"/>
      <x:c r="J220" s="502" t="str"/>
      <x:c r="K220" s="483" t="str"/>
      <x:c r="L220" s="483" t="str"/>
    </x:row>
    <x:row r="221" ht="78" customHeight="1">
      <x:c r="A221" s="495" t="str">
        <x:v>F22</x:v>
      </x:c>
      <x:c r="B221" s="495" t="n">
        <x:v>6</x:v>
      </x:c>
      <x:c r="C221" s="495" t="str">
        <x:v>反制发起和授权</x:v>
      </x:c>
      <x:c r="D221" s="495" t="str">
        <x:v>权限不足人员尝试接手</x:v>
      </x:c>
      <x:c r="E221" s="433" t="str">
        <x:v>进入待反制后不点发起，等待规则满足；检查当前证据和唯一可用测试设备。 本环节另用无权、范围受限账号尝试，再用有权账号。</x:v>
      </x:c>
      <x:c r="F221" s="433" t="str">
        <x:v>符合条件才由系统发起；记录系统身份和实际授权依据，不伪造人工审批。 无权人员不能接手，自动模式不授予个人权限；换有权账号也须满足当前业务条件。</x:v>
      </x:c>
      <x:c r="G221" s="483" t="str">
        <x:v>还没测</x:v>
      </x:c>
      <x:c r="H221" s="483" t="str"/>
      <x:c r="I221" s="483" t="str"/>
      <x:c r="J221" s="502" t="str"/>
      <x:c r="K221" s="483" t="str"/>
      <x:c r="L221" s="483" t="str"/>
    </x:row>
    <x:row r="222" ht="78" customHeight="1">
      <x:c r="A222" s="495" t="str">
        <x:v>F22</x:v>
      </x:c>
      <x:c r="B222" s="495" t="n">
        <x:v>7</x:v>
      </x:c>
      <x:c r="C222" s="495" t="str">
        <x:v>设备下发与实际结果</x:v>
      </x:c>
      <x:c r="D222" s="495" t="str">
        <x:v>权限不足人员尝试接手</x:v>
      </x:c>
      <x:c r="E222" s="433" t="str">
        <x:v>核对同一授权的设备、命令、受理和实际回执；失败、超时及急停分支分别留证。</x:v>
      </x:c>
      <x:c r="F222" s="433" t="str">
        <x:v>主链取得明确测试执行结果；提交不等于成功，未知不盲目重发，急停不等于已经停机。</x:v>
      </x:c>
      <x:c r="G222" s="483" t="str">
        <x:v>还没测</x:v>
      </x:c>
      <x:c r="H222" s="483" t="str"/>
      <x:c r="I222" s="483" t="str"/>
      <x:c r="J222" s="502" t="str"/>
      <x:c r="K222" s="483" t="str"/>
      <x:c r="L222" s="483" t="str"/>
    </x:row>
    <x:row r="223" ht="78" customHeight="1">
      <x:c r="A223" s="495" t="str">
        <x:v>F22</x:v>
      </x:c>
      <x:c r="B223" s="495" t="n">
        <x:v>8</x:v>
      </x:c>
      <x:c r="C223" s="495" t="str">
        <x:v>移送送达签收与办理结果</x:v>
      </x:c>
      <x:c r="D223" s="495" t="str">
        <x:v>权限不足人员尝试接手</x:v>
      </x:c>
      <x:c r="E223" s="433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433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483" t="str">
        <x:v>还没测</x:v>
      </x:c>
      <x:c r="H223" s="483" t="str"/>
      <x:c r="I223" s="483" t="str"/>
      <x:c r="J223" s="502" t="str"/>
      <x:c r="K223" s="483" t="str"/>
      <x:c r="L223" s="483" t="str"/>
    </x:row>
    <x:row r="224" ht="78" customHeight="1">
      <x:c r="A224" s="495" t="str">
        <x:v>F22</x:v>
      </x:c>
      <x:c r="B224" s="495" t="n">
        <x:v>9</x:v>
      </x:c>
      <x:c r="C224" s="495" t="str">
        <x:v>证据统计与跨页一致</x:v>
      </x:c>
      <x:c r="D224" s="495" t="str">
        <x:v>权限不足人员尝试接手</x:v>
      </x:c>
      <x:c r="E224" s="433" t="str">
        <x:v>在证据、统计、告警、计划和移送页按同一事件核对。记录所有关联编号和重要时间。</x:v>
      </x:c>
      <x:c r="F224" s="433" t="str">
        <x:v>原始与冻结材料完整；事件、授权、命令、通知、交接能互相对应；统计按真实事实计数，不把签收当结案。</x:v>
      </x:c>
      <x:c r="G224" s="483" t="str">
        <x:v>还没测</x:v>
      </x:c>
      <x:c r="H224" s="483" t="str"/>
      <x:c r="I224" s="483" t="str"/>
      <x:c r="J224" s="502" t="str"/>
      <x:c r="K224" s="483" t="str"/>
      <x:c r="L224" s="483" t="str"/>
    </x:row>
    <x:row r="225" ht="78" customHeight="1">
      <x:c r="A225" s="495" t="str">
        <x:v>F22</x:v>
      </x:c>
      <x:c r="B225" s="495" t="n">
        <x:v>10</x:v>
      </x:c>
      <x:c r="C225" s="495" t="str">
        <x:v>关闭页面与重登复查</x:v>
      </x:c>
      <x:c r="D225" s="495" t="str">
        <x:v>权限不足人员尝试接手</x:v>
      </x:c>
      <x:c r="E225" s="433" t="str">
        <x:v>本轮适用的自动等待阶段关闭页面再打开；结束后刷新、退出重登。核对动作次数并停止模拟。</x:v>
      </x:c>
      <x:c r="F225" s="433" t="str">
        <x:v>自动办理不依赖页面打开；刷新重登不重复动作；最终结果稳定，历史保留，模拟任务已明确停止。</x:v>
      </x:c>
      <x:c r="G225" s="483" t="str">
        <x:v>还没测</x:v>
      </x:c>
      <x:c r="H225" s="483" t="str"/>
      <x:c r="I225" s="483" t="str"/>
      <x:c r="J225" s="502" t="str"/>
      <x:c r="K225" s="483" t="str"/>
      <x:c r="L225" s="483" t="str"/>
    </x:row>
    <x:row r="226" ht="78" customHeight="1">
      <x:c r="A226" s="496" t="str">
        <x:v>F23</x:v>
      </x:c>
      <x:c r="B226" s="496" t="n">
        <x:v>1</x:v>
      </x:c>
      <x:c r="C226" s="496" t="str">
        <x:v>后台配置与测试准备</x:v>
      </x:c>
      <x:c r="D226" s="496" t="str">
        <x:v>人员直接反制完整链路</x:v>
      </x:c>
      <x:c r="E226" s="434" t="str">
        <x:v>按M1设置三类规则，并保存回读。记录有效时长、账号、范围、设备、通道和规则版本。</x:v>
      </x:c>
      <x:c r="F226" s="434" t="str">
        <x:v>实际运行设置与本轮相符；模拟通道可用。换显式直接授权账号人工发起；另用未授直接权限的管理员尝试。</x:v>
      </x:c>
      <x:c r="G226" s="513" t="str">
        <x:v>还没测</x:v>
      </x:c>
      <x:c r="H226" s="513" t="str"/>
      <x:c r="I226" s="513" t="str"/>
      <x:c r="J226" s="514" t="str"/>
      <x:c r="K226" s="513" t="str"/>
      <x:c r="L226" s="513" t="str"/>
    </x:row>
    <x:row r="227" ht="78" customHeight="1">
      <x:c r="A227" s="497" t="str">
        <x:v>F23</x:v>
      </x:c>
      <x:c r="B227" s="497" t="n">
        <x:v>2</x:v>
      </x:c>
      <x:c r="C227" s="497" t="str">
        <x:v>输入数据并识别目标</x:v>
      </x:c>
      <x:c r="D227" s="497" t="str">
        <x:v>人员直接反制完整链路</x:v>
      </x:c>
      <x:c r="E227" s="435" t="str">
        <x:v>启动新批次，通过获准入口输入计划和目标数据；记录唯一目标、计划和设备编号。</x:v>
      </x:c>
      <x:c r="F227" s="435" t="str">
        <x:v>能在融合感知查到同一目标，位置、时间和模拟标记正确；发送成功不代替平台已接收。</x:v>
      </x:c>
      <x:c r="G227" s="483" t="str">
        <x:v>还没测</x:v>
      </x:c>
      <x:c r="H227" s="483" t="str"/>
      <x:c r="I227" s="483" t="str"/>
      <x:c r="J227" s="502" t="str"/>
      <x:c r="K227" s="483" t="str"/>
      <x:c r="L227" s="483" t="str"/>
    </x:row>
    <x:row r="228" ht="78" customHeight="1">
      <x:c r="A228" s="497" t="str">
        <x:v>F23</x:v>
      </x:c>
      <x:c r="B228" s="497" t="n">
        <x:v>3</x:v>
      </x:c>
      <x:c r="C228" s="497" t="str">
        <x:v>研判和告警关联</x:v>
      </x:c>
      <x:c r="D228" s="497" t="str">
        <x:v>人员直接反制完整链路</x:v>
      </x:c>
      <x:c r="E228" s="435" t="str">
        <x:v>打开计划、合法性研判和告警，核对同一目标、计划、研判和事件关系。</x:v>
      </x:c>
      <x:c r="F228" s="435" t="str">
        <x:v>主链准备明确违规且证据充分的事件；各页同一事实。若本轮是合法或误报分支，按该分支正确阻止后续。</x:v>
      </x:c>
      <x:c r="G228" s="483" t="str">
        <x:v>还没测</x:v>
      </x:c>
      <x:c r="H228" s="483" t="str"/>
      <x:c r="I228" s="483" t="str"/>
      <x:c r="J228" s="502" t="str"/>
      <x:c r="K228" s="483" t="str"/>
      <x:c r="L228" s="483" t="str"/>
    </x:row>
    <x:row r="229" ht="78" customHeight="1">
      <x:c r="A229" s="497" t="str">
        <x:v>F23</x:v>
      </x:c>
      <x:c r="B229" s="497" t="n">
        <x:v>4</x:v>
      </x:c>
      <x:c r="C229" s="497" t="str">
        <x:v>核实告警</x:v>
      </x:c>
      <x:c r="D229" s="497" t="str">
        <x:v>人员直接反制完整链路</x:v>
      </x:c>
      <x:c r="E229" s="435" t="str">
        <x:v>用值班账号核实属实；提交前先观察系统是否等待人工。</x:v>
      </x:c>
      <x:c r="F229" s="435" t="str">
        <x:v>手动模式不自动核实；有权人员提交后记录真实操作人并进入后续阶段。</x:v>
      </x:c>
      <x:c r="G229" s="483" t="str">
        <x:v>还没测</x:v>
      </x:c>
      <x:c r="H229" s="483" t="str"/>
      <x:c r="I229" s="483" t="str"/>
      <x:c r="J229" s="502" t="str"/>
      <x:c r="K229" s="483" t="str"/>
      <x:c r="L229" s="483" t="str"/>
    </x:row>
    <x:row r="230" ht="78" customHeight="1">
      <x:c r="A230" s="497" t="str">
        <x:v>F23</x:v>
      </x:c>
      <x:c r="B230" s="497" t="n">
        <x:v>5</x:v>
      </x:c>
      <x:c r="C230" s="497" t="str">
        <x:v>飞手通知和位置观察</x:v>
      </x:c>
      <x:c r="D230" s="497" t="str">
        <x:v>人员直接反制完整链路</x:v>
      </x:c>
      <x:c r="E230" s="435" t="str">
        <x:v>检查短信发送/送达、观察开始/结束、电话接通/播放与新位置；按本轮条件操作目标。</x:v>
      </x:c>
      <x:c r="F230" s="435" t="str">
        <x:v>主链持续在域时按已确认时长推进到待反制；短信、电话、飞离各凭自己的真实依据。</x:v>
      </x:c>
      <x:c r="G230" s="483" t="str">
        <x:v>还没测</x:v>
      </x:c>
      <x:c r="H230" s="483" t="str"/>
      <x:c r="I230" s="483" t="str"/>
      <x:c r="J230" s="502" t="str"/>
      <x:c r="K230" s="483" t="str"/>
      <x:c r="L230" s="483" t="str"/>
    </x:row>
    <x:row r="231" ht="78" customHeight="1">
      <x:c r="A231" s="497" t="str">
        <x:v>F23</x:v>
      </x:c>
      <x:c r="B231" s="497" t="n">
        <x:v>6</x:v>
      </x:c>
      <x:c r="C231" s="497" t="str">
        <x:v>人工直接反制与对照账号</x:v>
      </x:c>
      <x:c r="D231" s="497" t="str">
        <x:v>人员直接反制完整链路</x:v>
      </x:c>
      <x:c r="E231" s="435" t="str">
        <x:v>被明确授予直接权限的人员手动发起；另一子批次用没有direct的管理员尝试。</x:v>
      </x:c>
      <x:c r="F231" s="435" t="str">
        <x:v>有权限且条件满足才免逐次审批；真实发起人保留；对照账号被拒绝且未下发。</x:v>
      </x:c>
      <x:c r="G231" s="483" t="str">
        <x:v>还没测</x:v>
      </x:c>
      <x:c r="H231" s="483" t="str"/>
      <x:c r="I231" s="483" t="str"/>
      <x:c r="J231" s="502" t="str"/>
      <x:c r="K231" s="483" t="str"/>
      <x:c r="L231" s="483" t="str"/>
    </x:row>
    <x:row r="232" ht="78" customHeight="1">
      <x:c r="A232" s="497" t="str">
        <x:v>F23</x:v>
      </x:c>
      <x:c r="B232" s="497" t="n">
        <x:v>7</x:v>
      </x:c>
      <x:c r="C232" s="497" t="str">
        <x:v>设备下发与实际结果</x:v>
      </x:c>
      <x:c r="D232" s="497" t="str">
        <x:v>人员直接反制完整链路</x:v>
      </x:c>
      <x:c r="E232" s="435" t="str">
        <x:v>核对同一授权的设备、命令、受理和实际回执；失败、超时及急停分支分别留证。</x:v>
      </x:c>
      <x:c r="F232" s="435" t="str">
        <x:v>主链取得明确测试执行结果；提交不等于成功，未知不盲目重发，急停不等于已经停机。</x:v>
      </x:c>
      <x:c r="G232" s="483" t="str">
        <x:v>还没测</x:v>
      </x:c>
      <x:c r="H232" s="483" t="str"/>
      <x:c r="I232" s="483" t="str"/>
      <x:c r="J232" s="502" t="str"/>
      <x:c r="K232" s="483" t="str"/>
      <x:c r="L232" s="483" t="str"/>
    </x:row>
    <x:row r="233" ht="78" customHeight="1">
      <x:c r="A233" s="497" t="str">
        <x:v>F23</x:v>
      </x:c>
      <x:c r="B233" s="497" t="n">
        <x:v>8</x:v>
      </x:c>
      <x:c r="C233" s="497" t="str">
        <x:v>移送送达签收与办理结果</x:v>
      </x:c>
      <x:c r="D233" s="497" t="str">
        <x:v>人员直接反制完整链路</x:v>
      </x:c>
      <x:c r="E233" s="435" t="str">
        <x:v>设备结果满足条件后，先确认系统等待人工，再由有权人员通知处罚部门。 回读交接材料、送达、签收和办理结果。</x:v>
      </x:c>
      <x:c r="F233" s="435" t="str">
        <x:v>通知方式符合配置。发送、送达、签收分开；有正式办理结果才展示，没有就明确尚无结果，不能强行显示处罚完成。</x:v>
      </x:c>
      <x:c r="G233" s="483" t="str">
        <x:v>还没测</x:v>
      </x:c>
      <x:c r="H233" s="483" t="str"/>
      <x:c r="I233" s="483" t="str"/>
      <x:c r="J233" s="502" t="str"/>
      <x:c r="K233" s="483" t="str"/>
      <x:c r="L233" s="483" t="str"/>
    </x:row>
    <x:row r="234" ht="78" customHeight="1">
      <x:c r="A234" s="497" t="str">
        <x:v>F23</x:v>
      </x:c>
      <x:c r="B234" s="497" t="n">
        <x:v>9</x:v>
      </x:c>
      <x:c r="C234" s="497" t="str">
        <x:v>证据统计与跨页一致</x:v>
      </x:c>
      <x:c r="D234" s="497" t="str">
        <x:v>人员直接反制完整链路</x:v>
      </x:c>
      <x:c r="E234" s="435" t="str">
        <x:v>在证据、统计、告警、计划和移送页按同一事件核对。记录所有关联编号和重要时间。</x:v>
      </x:c>
      <x:c r="F234" s="435" t="str">
        <x:v>原始与冻结材料完整；事件、授权、命令、通知、交接能互相对应；统计按真实事实计数，不把签收当结案。</x:v>
      </x:c>
      <x:c r="G234" s="483" t="str">
        <x:v>还没测</x:v>
      </x:c>
      <x:c r="H234" s="483" t="str"/>
      <x:c r="I234" s="483" t="str"/>
      <x:c r="J234" s="502" t="str"/>
      <x:c r="K234" s="483" t="str"/>
      <x:c r="L234" s="483" t="str"/>
    </x:row>
    <x:row r="235" ht="78" customHeight="1">
      <x:c r="A235" s="497" t="str">
        <x:v>F23</x:v>
      </x:c>
      <x:c r="B235" s="497" t="n">
        <x:v>10</x:v>
      </x:c>
      <x:c r="C235" s="497" t="str">
        <x:v>关闭页面与重登复查</x:v>
      </x:c>
      <x:c r="D235" s="497" t="str">
        <x:v>人员直接反制完整链路</x:v>
      </x:c>
      <x:c r="E235" s="435" t="str">
        <x:v>本轮适用的自动等待阶段关闭页面再打开；结束后刷新、退出重登。核对动作次数并停止模拟。</x:v>
      </x:c>
      <x:c r="F235" s="435" t="str">
        <x:v>自动办理不依赖页面打开；刷新重登不重复动作；最终结果稳定，历史保留，模拟任务已明确停止。</x:v>
      </x:c>
      <x:c r="G235" s="483" t="str">
        <x:v>还没测</x:v>
      </x:c>
      <x:c r="H235" s="483" t="str"/>
      <x:c r="I235" s="483" t="str"/>
      <x:c r="J235" s="502" t="str"/>
      <x:c r="K235" s="483" t="str"/>
      <x:c r="L235" s="483" t="str"/>
    </x:row>
    <x:row r="236" ht="78" customHeight="1">
      <x:c r="A236" s="498" t="str">
        <x:v>F24</x:v>
      </x:c>
      <x:c r="B236" s="498" t="n">
        <x:v>1</x:v>
      </x:c>
      <x:c r="C236" s="498" t="str">
        <x:v>后台配置与测试准备</x:v>
      </x:c>
      <x:c r="D236" s="498" t="str">
        <x:v>处罚通知失败及迟到回执</x:v>
      </x:c>
      <x:c r="E236" s="436" t="str">
        <x:v>按M8设置三类规则，并保存回读。记录有效时长、账号、范围、设备、通道和规则版本。</x:v>
      </x:c>
      <x:c r="F236" s="436" t="str">
        <x:v>实际运行设置与本轮相符；模拟通道可用。设备执行完成后模拟移送发送失败、送达未知、签收超时，再补迟到/重复回复。</x:v>
      </x:c>
      <x:c r="G236" s="515" t="str">
        <x:v>还没测</x:v>
      </x:c>
      <x:c r="H236" s="515" t="str"/>
      <x:c r="I236" s="515" t="str"/>
      <x:c r="J236" s="516" t="str"/>
      <x:c r="K236" s="515" t="str"/>
      <x:c r="L236" s="515" t="str"/>
    </x:row>
    <x:row r="237" ht="78" customHeight="1">
      <x:c r="A237" s="499" t="str">
        <x:v>F24</x:v>
      </x:c>
      <x:c r="B237" s="499" t="n">
        <x:v>2</x:v>
      </x:c>
      <x:c r="C237" s="499" t="str">
        <x:v>输入数据并识别目标</x:v>
      </x:c>
      <x:c r="D237" s="499" t="str">
        <x:v>处罚通知失败及迟到回执</x:v>
      </x:c>
      <x:c r="E237" s="437" t="str">
        <x:v>启动新批次，通过获准入口输入计划和目标数据；记录唯一目标、计划和设备编号。</x:v>
      </x:c>
      <x:c r="F237" s="437" t="str">
        <x:v>能在融合感知查到同一目标，位置、时间和模拟标记正确；发送成功不代替平台已接收。</x:v>
      </x:c>
      <x:c r="G237" s="483" t="str">
        <x:v>还没测</x:v>
      </x:c>
      <x:c r="H237" s="483" t="str"/>
      <x:c r="I237" s="483" t="str"/>
      <x:c r="J237" s="502" t="str"/>
      <x:c r="K237" s="483" t="str"/>
      <x:c r="L237" s="483" t="str"/>
    </x:row>
    <x:row r="238" ht="78" customHeight="1">
      <x:c r="A238" s="499" t="str">
        <x:v>F24</x:v>
      </x:c>
      <x:c r="B238" s="499" t="n">
        <x:v>3</x:v>
      </x:c>
      <x:c r="C238" s="499" t="str">
        <x:v>研判和告警关联</x:v>
      </x:c>
      <x:c r="D238" s="499" t="str">
        <x:v>处罚通知失败及迟到回执</x:v>
      </x:c>
      <x:c r="E238" s="437" t="str">
        <x:v>打开计划、合法性研判和告警，核对同一目标、计划、研判和事件关系。</x:v>
      </x:c>
      <x:c r="F238" s="437" t="str">
        <x:v>主链准备明确违规且证据充分的事件；各页同一事实。若本轮是合法或误报分支，按该分支正确阻止后续。</x:v>
      </x:c>
      <x:c r="G238" s="483" t="str">
        <x:v>还没测</x:v>
      </x:c>
      <x:c r="H238" s="483" t="str"/>
      <x:c r="I238" s="483" t="str"/>
      <x:c r="J238" s="502" t="str"/>
      <x:c r="K238" s="483" t="str"/>
      <x:c r="L238" s="483" t="str"/>
    </x:row>
    <x:row r="239" ht="78" customHeight="1">
      <x:c r="A239" s="499" t="str">
        <x:v>F24</x:v>
      </x:c>
      <x:c r="B239" s="499" t="n">
        <x:v>4</x:v>
      </x:c>
      <x:c r="C239" s="499" t="str">
        <x:v>核实告警</x:v>
      </x:c>
      <x:c r="D239" s="499" t="str">
        <x:v>处罚通知失败及迟到回执</x:v>
      </x:c>
      <x:c r="E239" s="437" t="str">
        <x:v>不点击核实，等待已启用规则满足。</x:v>
      </x:c>
      <x:c r="F239" s="437" t="str">
        <x:v>系统按规则核实一次；留有系统处理身份、时间和判定依据。</x:v>
      </x:c>
      <x:c r="G239" s="483" t="str">
        <x:v>还没测</x:v>
      </x:c>
      <x:c r="H239" s="483" t="str"/>
      <x:c r="I239" s="483" t="str"/>
      <x:c r="J239" s="502" t="str"/>
      <x:c r="K239" s="483" t="str"/>
      <x:c r="L239" s="483" t="str"/>
    </x:row>
    <x:row r="240" ht="78" customHeight="1">
      <x:c r="A240" s="499" t="str">
        <x:v>F24</x:v>
      </x:c>
      <x:c r="B240" s="499" t="n">
        <x:v>5</x:v>
      </x:c>
      <x:c r="C240" s="499" t="str">
        <x:v>飞手通知和位置观察</x:v>
      </x:c>
      <x:c r="D240" s="499" t="str">
        <x:v>处罚通知失败及迟到回执</x:v>
      </x:c>
      <x:c r="E240" s="437" t="str">
        <x:v>检查短信发送/送达、观察开始/结束、电话接通/播放与新位置；按本轮条件操作目标。</x:v>
      </x:c>
      <x:c r="F240" s="437" t="str">
        <x:v>主链持续在域时按已确认时长推进到待反制；短信、电话、飞离各凭自己的真实依据。</x:v>
      </x:c>
      <x:c r="G240" s="483" t="str">
        <x:v>还没测</x:v>
      </x:c>
      <x:c r="H240" s="483" t="str"/>
      <x:c r="I240" s="483" t="str"/>
      <x:c r="J240" s="502" t="str"/>
      <x:c r="K240" s="483" t="str"/>
      <x:c r="L240" s="483" t="str"/>
    </x:row>
    <x:row r="241" ht="78" customHeight="1">
      <x:c r="A241" s="499" t="str">
        <x:v>F24</x:v>
      </x:c>
      <x:c r="B241" s="499" t="n">
        <x:v>6</x:v>
      </x:c>
      <x:c r="C241" s="499" t="str">
        <x:v>反制发起和授权</x:v>
      </x:c>
      <x:c r="D241" s="499" t="str">
        <x:v>处罚通知失败及迟到回执</x:v>
      </x:c>
      <x:c r="E241" s="437" t="str">
        <x:v>进入待反制后不点发起，等待规则满足；检查当前证据和唯一可用测试设备。</x:v>
      </x:c>
      <x:c r="F241" s="437" t="str">
        <x:v>符合条件才由系统发起；记录系统身份和实际授权依据，不伪造人工审批。</x:v>
      </x:c>
      <x:c r="G241" s="483" t="str">
        <x:v>还没测</x:v>
      </x:c>
      <x:c r="H241" s="483" t="str"/>
      <x:c r="I241" s="483" t="str"/>
      <x:c r="J241" s="502" t="str"/>
      <x:c r="K241" s="483" t="str"/>
      <x:c r="L241" s="483" t="str"/>
    </x:row>
    <x:row r="242" ht="78" customHeight="1">
      <x:c r="A242" s="499" t="str">
        <x:v>F24</x:v>
      </x:c>
      <x:c r="B242" s="499" t="n">
        <x:v>7</x:v>
      </x:c>
      <x:c r="C242" s="499" t="str">
        <x:v>设备下发与实际结果</x:v>
      </x:c>
      <x:c r="D242" s="499" t="str">
        <x:v>处罚通知失败及迟到回执</x:v>
      </x:c>
      <x:c r="E242" s="437" t="str">
        <x:v>核对同一授权的设备、命令、受理和实际回执；失败、超时及急停分支分别留证。</x:v>
      </x:c>
      <x:c r="F242" s="437" t="str">
        <x:v>主链取得明确测试执行结果；提交不等于成功，未知不盲目重发，急停不等于已经停机。</x:v>
      </x:c>
      <x:c r="G242" s="483" t="str">
        <x:v>还没测</x:v>
      </x:c>
      <x:c r="H242" s="483" t="str"/>
      <x:c r="I242" s="483" t="str"/>
      <x:c r="J242" s="502" t="str"/>
      <x:c r="K242" s="483" t="str"/>
      <x:c r="L242" s="483" t="str"/>
    </x:row>
    <x:row r="243" ht="86" customHeight="1">
      <x:c r="A243" s="499" t="str">
        <x:v>F24</x:v>
      </x:c>
      <x:c r="B243" s="499" t="n">
        <x:v>8</x:v>
      </x:c>
      <x:c r="C243" s="499" t="str">
        <x:v>移送送达签收与办理结果</x:v>
      </x:c>
      <x:c r="D243" s="499" t="str">
        <x:v>处罚通知失败及迟到回执</x:v>
      </x:c>
      <x:c r="E243" s="437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437" t="str">
        <x:v>失败与未知明确；先对账再决定补发；只更新同一交接，不重复移送、不把签收当处罚办结。</x:v>
      </x:c>
      <x:c r="G243" s="483" t="str">
        <x:v>还没测</x:v>
      </x:c>
      <x:c r="H243" s="483" t="str"/>
      <x:c r="I243" s="483" t="str"/>
      <x:c r="J243" s="502" t="str"/>
      <x:c r="K243" s="483" t="str"/>
      <x:c r="L243" s="483" t="str"/>
    </x:row>
    <x:row r="244" ht="78" customHeight="1">
      <x:c r="A244" s="499" t="str">
        <x:v>F24</x:v>
      </x:c>
      <x:c r="B244" s="499" t="n">
        <x:v>9</x:v>
      </x:c>
      <x:c r="C244" s="499" t="str">
        <x:v>证据统计与跨页一致</x:v>
      </x:c>
      <x:c r="D244" s="499" t="str">
        <x:v>处罚通知失败及迟到回执</x:v>
      </x:c>
      <x:c r="E244" s="437" t="str">
        <x:v>在证据、统计、告警、计划和移送页按同一事件核对。记录所有关联编号和重要时间。</x:v>
      </x:c>
      <x:c r="F244" s="437" t="str">
        <x:v>原始与冻结材料完整；事件、授权、命令、通知、交接能互相对应；统计按真实事实计数，不把签收当结案。</x:v>
      </x:c>
      <x:c r="G244" s="483" t="str">
        <x:v>还没测</x:v>
      </x:c>
      <x:c r="H244" s="483" t="str"/>
      <x:c r="I244" s="483" t="str"/>
      <x:c r="J244" s="502" t="str"/>
      <x:c r="K244" s="483" t="str"/>
      <x:c r="L244" s="483" t="str"/>
    </x:row>
    <x:row r="245" ht="78" customHeight="1">
      <x:c r="A245" s="499" t="str">
        <x:v>F24</x:v>
      </x:c>
      <x:c r="B245" s="499" t="n">
        <x:v>10</x:v>
      </x:c>
      <x:c r="C245" s="499" t="str">
        <x:v>关闭页面与重登复查</x:v>
      </x:c>
      <x:c r="D245" s="499" t="str">
        <x:v>处罚通知失败及迟到回执</x:v>
      </x:c>
      <x:c r="E245" s="437" t="str">
        <x:v>本轮适用的自动等待阶段关闭页面再打开；结束后刷新、退出重登。核对动作次数并停止模拟。</x:v>
      </x:c>
      <x:c r="F245" s="437" t="str">
        <x:v>自动办理不依赖页面打开；刷新重登不重复动作；最终结果稳定，历史保留，模拟任务已明确停止。</x:v>
      </x:c>
      <x:c r="G245" s="483" t="str">
        <x:v>还没测</x:v>
      </x:c>
      <x:c r="H245" s="483" t="str"/>
      <x:c r="I245" s="483" t="str"/>
      <x:c r="J245" s="502" t="str"/>
      <x:c r="K245" s="483" t="str"/>
      <x:c r="L245" s="483" t="str"/>
    </x:row>
    <x:row r="246" ht="78" customHeight="1">
      <x:c r="A246" s="484" t="str">
        <x:v>F25</x:v>
      </x:c>
      <x:c r="B246" s="484" t="n">
        <x:v>1</x:v>
      </x:c>
      <x:c r="C246" s="484" t="str">
        <x:v>准备计划和天气</x:v>
      </x:c>
      <x:c r="D246" s="484" t="str">
        <x:v>计划天气风险与通知上级</x:v>
      </x:c>
      <x:c r="E246" s="422" t="str">
        <x:v>经获准入口录入计划、空域和覆盖飞行时段的有效测试预报。</x:v>
      </x:c>
      <x:c r="F246" s="422" t="str">
        <x:v>计划资料、预报来源和时段正确；与无人机告警到处罚的三类自动开关分开记录。</x:v>
      </x:c>
      <x:c r="G246" s="500" t="str">
        <x:v>还没测</x:v>
      </x:c>
      <x:c r="H246" s="500" t="str"/>
      <x:c r="I246" s="500" t="str"/>
      <x:c r="J246" s="501" t="str"/>
      <x:c r="K246" s="500" t="str"/>
      <x:c r="L246" s="500" t="str"/>
    </x:row>
    <x:row r="247" ht="78" customHeight="1">
      <x:c r="A247" s="485" t="str">
        <x:v>F25</x:v>
      </x:c>
      <x:c r="B247" s="485" t="n">
        <x:v>2</x:v>
      </x:c>
      <x:c r="C247" s="485" t="str">
        <x:v>风险进入计划</x:v>
      </x:c>
      <x:c r="D247" s="485" t="str">
        <x:v>计划天气风险与通知上级</x:v>
      </x:c>
      <x:c r="E247" s="423" t="str">
        <x:v>运行已接入的风险判断，查看本计划当前风险及全部风险事件。</x:v>
      </x:c>
      <x:c r="F247" s="423" t="str">
        <x:v>同一计划出现对应风险；缺依据或未接入如实显示，不能人工把结果表改成成功。</x:v>
      </x:c>
      <x:c r="G247" s="483" t="str">
        <x:v>还没测</x:v>
      </x:c>
      <x:c r="H247" s="483" t="str"/>
      <x:c r="I247" s="483" t="str"/>
      <x:c r="J247" s="502" t="str"/>
      <x:c r="K247" s="483" t="str"/>
      <x:c r="L247" s="483" t="str"/>
    </x:row>
    <x:row r="248" ht="78" customHeight="1">
      <x:c r="A248" s="485" t="str">
        <x:v>F25</x:v>
      </x:c>
      <x:c r="B248" s="485" t="n">
        <x:v>3</x:v>
      </x:c>
      <x:c r="C248" s="485" t="str">
        <x:v>跨页面定位</x:v>
      </x:c>
      <x:c r="D248" s="485" t="str">
        <x:v>计划天气风险与通知上级</x:v>
      </x:c>
      <x:c r="E248" s="423" t="str">
        <x:v>从计划进入风险详情，再到空域查看同一风险。</x:v>
      </x:c>
      <x:c r="F248" s="423" t="str">
        <x:v>计划、空域、风险编号及生效时间一致，不打开其他风险替代。</x:v>
      </x:c>
      <x:c r="G248" s="483" t="str">
        <x:v>还没测</x:v>
      </x:c>
      <x:c r="H248" s="483" t="str"/>
      <x:c r="I248" s="483" t="str"/>
      <x:c r="J248" s="502" t="str"/>
      <x:c r="K248" s="483" t="str"/>
      <x:c r="L248" s="483" t="str"/>
    </x:row>
    <x:row r="249" ht="78" customHeight="1">
      <x:c r="A249" s="485" t="str">
        <x:v>F25</x:v>
      </x:c>
      <x:c r="B249" s="485" t="n">
        <x:v>4</x:v>
      </x:c>
      <x:c r="C249" s="485" t="str">
        <x:v>核验风险</x:v>
      </x:c>
      <x:c r="D249" s="485" t="str">
        <x:v>计划天气风险与通知上级</x:v>
      </x:c>
      <x:c r="E249" s="423" t="str">
        <x:v>在风险详情用有权账号核验属实；另测排除分支。</x:v>
      </x:c>
      <x:c r="F249" s="423" t="str">
        <x:v>记录真实核验结论；通知与回执页签不重复核验，排除分支没有误通知。</x:v>
      </x:c>
      <x:c r="G249" s="483" t="str">
        <x:v>还没测</x:v>
      </x:c>
      <x:c r="H249" s="483" t="str"/>
      <x:c r="I249" s="483" t="str"/>
      <x:c r="J249" s="502" t="str"/>
      <x:c r="K249" s="483" t="str"/>
      <x:c r="L249" s="483" t="str"/>
    </x:row>
    <x:row r="250" ht="78" customHeight="1">
      <x:c r="A250" s="485" t="str">
        <x:v>F25</x:v>
      </x:c>
      <x:c r="B250" s="485" t="n">
        <x:v>5</x:v>
      </x:c>
      <x:c r="C250" s="485" t="str">
        <x:v>通知上级</x:v>
      </x:c>
      <x:c r="D250" s="485" t="str">
        <x:v>计划天气风险与通知上级</x:v>
      </x:c>
      <x:c r="E250" s="423" t="str">
        <x:v>按实际允许的入口通知上级，记录发送结果。</x:v>
      </x:c>
      <x:c r="F250" s="423" t="str">
        <x:v>接收对象为上级；不额外要求选职责单位，不因配置通知处罚而发错收件人。</x:v>
      </x:c>
      <x:c r="G250" s="483" t="str">
        <x:v>还没测</x:v>
      </x:c>
      <x:c r="H250" s="483" t="str"/>
      <x:c r="I250" s="483" t="str"/>
      <x:c r="J250" s="502" t="str"/>
      <x:c r="K250" s="483" t="str"/>
      <x:c r="L250" s="483" t="str"/>
    </x:row>
    <x:row r="251" ht="78" customHeight="1">
      <x:c r="A251" s="485" t="str">
        <x:v>F25</x:v>
      </x:c>
      <x:c r="B251" s="485" t="n">
        <x:v>6</x:v>
      </x:c>
      <x:c r="C251" s="485" t="str">
        <x:v>送达和签收</x:v>
      </x:c>
      <x:c r="D251" s="485" t="str">
        <x:v>计划天气风险与通知上级</x:v>
      </x:c>
      <x:c r="E251" s="423" t="str">
        <x:v>查看已发送、送达未知、成功、失败及签收；各异常子批次分开记录。</x:v>
      </x:c>
      <x:c r="F251" s="423" t="str">
        <x:v>阶段清楚，未知先对账；重复或迟到回复不能串风险或重复通知。</x:v>
      </x:c>
      <x:c r="G251" s="483" t="str">
        <x:v>还没测</x:v>
      </x:c>
      <x:c r="H251" s="483" t="str"/>
      <x:c r="I251" s="483" t="str"/>
      <x:c r="J251" s="502" t="str"/>
      <x:c r="K251" s="483" t="str"/>
      <x:c r="L251" s="483" t="str"/>
    </x:row>
    <x:row r="252" ht="78" customHeight="1">
      <x:c r="A252" s="485" t="str">
        <x:v>F25</x:v>
      </x:c>
      <x:c r="B252" s="485" t="n">
        <x:v>7</x:v>
      </x:c>
      <x:c r="C252" s="485" t="str">
        <x:v>签收后风险仍在</x:v>
      </x:c>
      <x:c r="D252" s="485" t="str">
        <x:v>计划天气风险与通知上级</x:v>
      </x:c>
      <x:c r="E252" s="423" t="str">
        <x:v>保持风险有效，刷新计划当前风险与地图。</x:v>
      </x:c>
      <x:c r="F252" s="423" t="str">
        <x:v>送达或签收不会自动解除风险；当前数量与列表一致。</x:v>
      </x:c>
      <x:c r="G252" s="483" t="str">
        <x:v>还没测</x:v>
      </x:c>
      <x:c r="H252" s="483" t="str"/>
      <x:c r="I252" s="483" t="str"/>
      <x:c r="J252" s="502" t="str"/>
      <x:c r="K252" s="483" t="str"/>
      <x:c r="L252" s="483" t="str"/>
    </x:row>
    <x:row r="253" ht="78" customHeight="1">
      <x:c r="A253" s="485" t="str">
        <x:v>F25</x:v>
      </x:c>
      <x:c r="B253" s="485" t="n">
        <x:v>8</x:v>
      </x:c>
      <x:c r="C253" s="485" t="str">
        <x:v>风险解除及待确认</x:v>
      </x:c>
      <x:c r="D253" s="485" t="str">
        <x:v>计划天气风险与通知上级</x:v>
      </x:c>
      <x:c r="E253" s="423" t="str">
        <x:v>提供有效解除依据；另一子批次只停止更新而不提供依据。</x:v>
      </x:c>
      <x:c r="F253" s="423" t="str">
        <x:v>有依据才按规则解除；无法确认的单独标记，不因失联当解除。</x:v>
      </x:c>
      <x:c r="G253" s="483" t="str">
        <x:v>还没测</x:v>
      </x:c>
      <x:c r="H253" s="483" t="str"/>
      <x:c r="I253" s="483" t="str"/>
      <x:c r="J253" s="502" t="str"/>
      <x:c r="K253" s="483" t="str"/>
      <x:c r="L253" s="483" t="str"/>
    </x:row>
    <x:row r="254" ht="78" customHeight="1">
      <x:c r="A254" s="485" t="str">
        <x:v>F25</x:v>
      </x:c>
      <x:c r="B254" s="485" t="n">
        <x:v>9</x:v>
      </x:c>
      <x:c r="C254" s="485" t="str">
        <x:v>历史证据和统计</x:v>
      </x:c>
      <x:c r="D254" s="485" t="str">
        <x:v>计划天气风险与通知上级</x:v>
      </x:c>
      <x:c r="E254" s="423" t="str">
        <x:v>核对风险历史、通知内容、接收方和同范围统计。</x:v>
      </x:c>
      <x:c r="F254" s="423" t="str">
        <x:v>旧记录保留且关联同一计划；历史通知快照不随配置变化重写。</x:v>
      </x:c>
      <x:c r="G254" s="483" t="str">
        <x:v>还没测</x:v>
      </x:c>
      <x:c r="H254" s="483" t="str"/>
      <x:c r="I254" s="483" t="str"/>
      <x:c r="J254" s="502" t="str"/>
      <x:c r="K254" s="483" t="str"/>
      <x:c r="L254" s="483" t="str"/>
    </x:row>
    <x:row r="255" ht="78" customHeight="1">
      <x:c r="A255" s="485" t="str">
        <x:v>F25</x:v>
      </x:c>
      <x:c r="B255" s="485" t="n">
        <x:v>10</x:v>
      </x:c>
      <x:c r="C255" s="485" t="str">
        <x:v>刷新重登检查</x:v>
      </x:c>
      <x:c r="D255" s="485" t="str">
        <x:v>计划天气风险与通知上级</x:v>
      </x:c>
      <x:c r="E255" s="423" t="str">
        <x:v>重新登录，从计划与空域分别回查本风险并停止模拟。</x:v>
      </x:c>
      <x:c r="F255" s="423" t="str">
        <x:v>处理结果一致，无重复通知；受限账号看不到范围外数据。</x:v>
      </x:c>
      <x:c r="G255" s="483" t="str">
        <x:v>还没测</x:v>
      </x:c>
      <x:c r="H255" s="483" t="str"/>
      <x:c r="I255" s="483" t="str"/>
      <x:c r="J255" s="502" t="str"/>
      <x:c r="K255" s="483" t="str"/>
      <x:c r="L255" s="483" t="str"/>
    </x:row>
    <x:row r="256" ht="78" customHeight="1">
      <x:c r="A256" s="486" t="str">
        <x:v>F26</x:v>
      </x:c>
      <x:c r="B256" s="486" t="n">
        <x:v>1</x:v>
      </x:c>
      <x:c r="C256" s="486" t="str">
        <x:v>准备计划与测试设备</x:v>
      </x:c>
      <x:c r="D256" s="486" t="str">
        <x:v>计划未见目标与设备恢复</x:v>
      </x:c>
      <x:c r="E256" s="424" t="str">
        <x:v>准备已到计划起飞时间但未收到目标的计划；设备异常、正常、信息不足三个子批次。</x:v>
      </x:c>
      <x:c r="F256" s="424" t="str">
        <x:v>设备与计划范围匹配，独立编号可追溯；只用测试设备。</x:v>
      </x:c>
      <x:c r="G256" s="503" t="str">
        <x:v>还没测</x:v>
      </x:c>
      <x:c r="H256" s="503" t="str"/>
      <x:c r="I256" s="503" t="str"/>
      <x:c r="J256" s="504" t="str"/>
      <x:c r="K256" s="503" t="str"/>
      <x:c r="L256" s="503" t="str"/>
    </x:row>
    <x:row r="257" ht="78" customHeight="1">
      <x:c r="A257" s="487" t="str">
        <x:v>F26</x:v>
      </x:c>
      <x:c r="B257" s="487" t="n">
        <x:v>2</x:v>
      </x:c>
      <x:c r="C257" s="487" t="str">
        <x:v>前台发现未见目标</x:v>
      </x:c>
      <x:c r="D257" s="487" t="str">
        <x:v>计划未见目标与设备恢复</x:v>
      </x:c>
      <x:c r="E257" s="425" t="str">
        <x:v>打开飞行计划检查结果和最近观测。</x:v>
      </x:c>
      <x:c r="F257" s="425" t="str">
        <x:v>未见目标不直接当作没有起飞；说明当前设备和观测依据。</x:v>
      </x:c>
      <x:c r="G257" s="483" t="str">
        <x:v>还没测</x:v>
      </x:c>
      <x:c r="H257" s="483" t="str"/>
      <x:c r="I257" s="483" t="str"/>
      <x:c r="J257" s="502" t="str"/>
      <x:c r="K257" s="483" t="str"/>
      <x:c r="L257" s="483" t="str"/>
    </x:row>
    <x:row r="258" ht="78" customHeight="1">
      <x:c r="A258" s="487" t="str">
        <x:v>F26</x:v>
      </x:c>
      <x:c r="B258" s="487" t="n">
        <x:v>3</x:v>
      </x:c>
      <x:c r="C258" s="487" t="str">
        <x:v>检查附近设备</x:v>
      </x:c>
      <x:c r="D258" s="487" t="str">
        <x:v>计划未见目标与设备恢复</x:v>
      </x:c>
      <x:c r="E258" s="425" t="str">
        <x:v>按已有规则读取设备检查；对照实际设备异常及最近上报。</x:v>
      </x:c>
      <x:c r="F258" s="425" t="str">
        <x:v>设备异常、设备正常、资料不足分开；缺依据不造出检查通过。</x:v>
      </x:c>
      <x:c r="G258" s="483" t="str">
        <x:v>还没测</x:v>
      </x:c>
      <x:c r="H258" s="483" t="str"/>
      <x:c r="I258" s="483" t="str"/>
      <x:c r="J258" s="502" t="str"/>
      <x:c r="K258" s="483" t="str"/>
      <x:c r="L258" s="483" t="str"/>
    </x:row>
    <x:row r="259" ht="78" customHeight="1">
      <x:c r="A259" s="487" t="str">
        <x:v>F26</x:v>
      </x:c>
      <x:c r="B259" s="487" t="n">
        <x:v>4</x:v>
      </x:c>
      <x:c r="C259" s="487" t="str">
        <x:v>发送设备异常通知</x:v>
      </x:c>
      <x:c r="D259" s="487" t="str">
        <x:v>计划未见目标与设备恢复</x:v>
      </x:c>
      <x:c r="E259" s="425" t="str">
        <x:v>对实际异常用有权账号通知，重复点击并记录操作结果。</x:v>
      </x:c>
      <x:c r="F259" s="425" t="str">
        <x:v>通知对应同一设备/计划；无权账号被拒；不重复创建处理事项。</x:v>
      </x:c>
      <x:c r="G259" s="483" t="str">
        <x:v>还没测</x:v>
      </x:c>
      <x:c r="H259" s="483" t="str"/>
      <x:c r="I259" s="483" t="str"/>
      <x:c r="J259" s="502" t="str"/>
      <x:c r="K259" s="483" t="str"/>
      <x:c r="L259" s="483" t="str"/>
    </x:row>
    <x:row r="260" ht="78" customHeight="1">
      <x:c r="A260" s="487" t="str">
        <x:v>F26</x:v>
      </x:c>
      <x:c r="B260" s="487" t="n">
        <x:v>5</x:v>
      </x:c>
      <x:c r="C260" s="487" t="str">
        <x:v>后台接到处理事项</x:v>
      </x:c>
      <x:c r="D260" s="487" t="str">
        <x:v>计划未见目标与设备恢复</x:v>
      </x:c>
      <x:c r="E260" s="425" t="str">
        <x:v>在管理后台找到前台产生的同一事项，核对设备、时间及异常原因。</x:v>
      </x:c>
      <x:c r="F260" s="425" t="str">
        <x:v>前后台同一件事；不是拿另一条历史待办替代。</x:v>
      </x:c>
      <x:c r="G260" s="483" t="str">
        <x:v>还没测</x:v>
      </x:c>
      <x:c r="H260" s="483" t="str"/>
      <x:c r="I260" s="483" t="str"/>
      <x:c r="J260" s="502" t="str"/>
      <x:c r="K260" s="483" t="str"/>
      <x:c r="L260" s="483" t="str"/>
    </x:row>
    <x:row r="261" ht="78" customHeight="1">
      <x:c r="A261" s="487" t="str">
        <x:v>F26</x:v>
      </x:c>
      <x:c r="B261" s="487" t="n">
        <x:v>6</x:v>
      </x:c>
      <x:c r="C261" s="487" t="str">
        <x:v>后台办理并记录结果</x:v>
      </x:c>
      <x:c r="D261" s="487" t="str">
        <x:v>计划未见目标与设备恢复</x:v>
      </x:c>
      <x:c r="E261" s="425" t="str">
        <x:v>按已有流程处理测试设备异常；分别模拟处理成功、失败及回复未知。</x:v>
      </x:c>
      <x:c r="F261" s="425" t="str">
        <x:v>操作提交、设备回复和后台办理状态分开；未知不标成功。</x:v>
      </x:c>
      <x:c r="G261" s="483" t="str">
        <x:v>还没测</x:v>
      </x:c>
      <x:c r="H261" s="483" t="str"/>
      <x:c r="I261" s="483" t="str"/>
      <x:c r="J261" s="502" t="str"/>
      <x:c r="K261" s="483" t="str"/>
      <x:c r="L261" s="483" t="str"/>
    </x:row>
    <x:row r="262" ht="78" customHeight="1">
      <x:c r="A262" s="487" t="str">
        <x:v>F26</x:v>
      </x:c>
      <x:c r="B262" s="487" t="n">
        <x:v>7</x:v>
      </x:c>
      <x:c r="C262" s="487" t="str">
        <x:v>验证实际恢复</x:v>
      </x:c>
      <x:c r="D262" s="487" t="str">
        <x:v>计划未见目标与设备恢复</x:v>
      </x:c>
      <x:c r="E262" s="425" t="str">
        <x:v>恢复设备上报和健康数据；另一子批次仅完成后台处理但不恢复设备。</x:v>
      </x:c>
      <x:c r="F262" s="425" t="str">
        <x:v>实际恢复需真实依据；工单处理完、收到命令、设备心跳恢复不能互相替代。</x:v>
      </x:c>
      <x:c r="G262" s="483" t="str">
        <x:v>还没测</x:v>
      </x:c>
      <x:c r="H262" s="483" t="str"/>
      <x:c r="I262" s="483" t="str"/>
      <x:c r="J262" s="502" t="str"/>
      <x:c r="K262" s="483" t="str"/>
      <x:c r="L262" s="483" t="str"/>
    </x:row>
    <x:row r="263" ht="78" customHeight="1">
      <x:c r="A263" s="487" t="str">
        <x:v>F26</x:v>
      </x:c>
      <x:c r="B263" s="487" t="n">
        <x:v>8</x:v>
      </x:c>
      <x:c r="C263" s="487" t="str">
        <x:v>前台回读检查结果</x:v>
      </x:c>
      <x:c r="D263" s="487" t="str">
        <x:v>计划未见目标与设备恢复</x:v>
      </x:c>
      <x:c r="E263" s="425" t="str">
        <x:v>回到原计划和融合感知查看设备状态、异常提示及检查依据。</x:v>
      </x:c>
      <x:c r="F263" s="425" t="str">
        <x:v>已验证恢复才更新对应异常；未恢复继续提示，计划和设备仍正确关联。</x:v>
      </x:c>
      <x:c r="G263" s="483" t="str">
        <x:v>还没测</x:v>
      </x:c>
      <x:c r="H263" s="483" t="str"/>
      <x:c r="I263" s="483" t="str"/>
      <x:c r="J263" s="502" t="str"/>
      <x:c r="K263" s="483" t="str"/>
      <x:c r="L263" s="483" t="str"/>
    </x:row>
    <x:row r="264" ht="78" customHeight="1">
      <x:c r="A264" s="487" t="str">
        <x:v>F26</x:v>
      </x:c>
      <x:c r="B264" s="487" t="n">
        <x:v>9</x:v>
      </x:c>
      <x:c r="C264" s="487" t="str">
        <x:v>计划与历史一致</x:v>
      </x:c>
      <x:c r="D264" s="487" t="str">
        <x:v>计划未见目标与设备恢复</x:v>
      </x:c>
      <x:c r="E264" s="425" t="str">
        <x:v>核对计划未见目标提示、处理历史及异常通知记录。</x:v>
      </x:c>
      <x:c r="F264" s="425" t="str">
        <x:v>设备恢复不等于无人机已起飞或计划获准；历史异常与通知不删除。</x:v>
      </x:c>
      <x:c r="G264" s="483" t="str">
        <x:v>还没测</x:v>
      </x:c>
      <x:c r="H264" s="483" t="str"/>
      <x:c r="I264" s="483" t="str"/>
      <x:c r="J264" s="502" t="str"/>
      <x:c r="K264" s="483" t="str"/>
      <x:c r="L264" s="483" t="str"/>
    </x:row>
    <x:row r="265" ht="78" customHeight="1">
      <x:c r="A265" s="487" t="str">
        <x:v>F26</x:v>
      </x:c>
      <x:c r="B265" s="487" t="n">
        <x:v>10</x:v>
      </x:c>
      <x:c r="C265" s="487" t="str">
        <x:v>刷新重登检查</x:v>
      </x:c>
      <x:c r="D265" s="487" t="str">
        <x:v>计划未见目标与设备恢复</x:v>
      </x:c>
      <x:c r="E265" s="425" t="str">
        <x:v>重新登录回查同一计划和设备；结束模拟并核对停止。</x:v>
      </x:c>
      <x:c r="F265" s="425" t="str">
        <x:v>数据一致、不重复生成待办；权限范围依旧有效。</x:v>
      </x:c>
      <x:c r="G265" s="483" t="str">
        <x:v>还没测</x:v>
      </x:c>
      <x:c r="H265" s="483" t="str"/>
      <x:c r="I265" s="483" t="str"/>
      <x:c r="J265" s="502" t="str"/>
      <x:c r="K265" s="483" t="str"/>
      <x:c r="L265" s="483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dataValidations count="1">
    <x:dataValidation type="list" sqref="G6:G2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23ea9612cf4578"/>
  </x:tableParts>
</x:worksheet>
</file>