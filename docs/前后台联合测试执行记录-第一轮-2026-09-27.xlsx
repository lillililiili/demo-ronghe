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6f291ab5c244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总览" sheetId="1" r:id="R1eeb71b2396b4949"/>
    <x:sheet xmlns:r="http://schemas.openxmlformats.org/officeDocument/2006/relationships" name="测试清单" sheetId="2" r:id="R1f1743e96bfd4100"/>
    <x:sheet xmlns:r="http://schemas.openxmlformats.org/officeDocument/2006/relationships" name="准备与流程" sheetId="3" r:id="Ra3c91a3c1a3f458e"/>
    <x:sheet xmlns:r="http://schemas.openxmlformats.org/officeDocument/2006/relationships" name="问题记录" sheetId="4" r:id="R2b4f26a572174f4a"/>
    <x:sheet xmlns:r="http://schemas.openxmlformats.org/officeDocument/2006/relationships" name="自动手动组合" sheetId="5" r:id="R32f45f3475e4482b"/>
    <x:sheet xmlns:r="http://schemas.openxmlformats.org/officeDocument/2006/relationships" name="全流程验收" sheetId="6" r:id="R3f5080c3c2ae4302"/>
    <x:sheet xmlns:r="http://schemas.openxmlformats.org/officeDocument/2006/relationships" name="流程步骤记录" sheetId="7" r:id="R40f3c3c1a14341ae"/>
    <x:sheet xmlns:r="http://schemas.openxmlformats.org/officeDocument/2006/relationships" name="审查结论" sheetId="8" r:id="R1952abe51bdf4288"/>
    <x:sheet xmlns:r="http://schemas.openxmlformats.org/officeDocument/2006/relationships" name="补充测试清单" sheetId="9" r:id="Ra1e4dfb70e7d49c8"/>
    <x:sheet xmlns:r="http://schemas.openxmlformats.org/officeDocument/2006/relationships" name="设备运维清单" sheetId="10" r:id="R1fb192851909496e"/>
    <x:sheet xmlns:r="http://schemas.openxmlformats.org/officeDocument/2006/relationships" name="本轮执行记录" sheetId="11" r:id="Rcb4ca5ac8cf743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00"/>
    <x:numFmt numFmtId="201" formatCode="yyyy-mm-dd"/>
    <x:numFmt numFmtId="202" formatCode="0%"/>
  </x:numFmts>
  <x:fonts count="50">
    <x:font>
      <x:sz val="11"/>
      <x:name val="Carlito"/>
    </x:font>
    <x:font>
      <x:sz val="11"/>
      <x:color rgb="FF1E293B"/>
      <x:name val="Microsoft YaHei"/>
    </x:font>
    <x:font>
      <x:b/>
      <x:sz val="17"/>
      <x:color rgb="FF16324F"/>
      <x:name val="Microsoft YaHei"/>
    </x:font>
    <x:font>
      <x:b/>
      <x:sz val="11"/>
      <x:color rgb="FFFFFFFF"/>
      <x:name val="Microsoft YaHei"/>
    </x:font>
    <x:font>
      <x:b/>
      <x:sz val="11"/>
      <x:color rgb="FF2563EB"/>
      <x:name val="Microsoft YaHei"/>
    </x:font>
    <x:font>
      <x:b/>
      <x:sz val="11"/>
      <x:color rgb="FF0891B2"/>
      <x:name val="Microsoft YaHei"/>
    </x:font>
    <x:font>
      <x:b/>
      <x:sz val="11"/>
      <x:color rgb="FF059669"/>
      <x:name val="Microsoft YaHei"/>
    </x:font>
    <x:font>
      <x:b/>
      <x:sz val="11"/>
      <x:color rgb="FF7C3AED"/>
      <x:name val="Microsoft YaHei"/>
    </x:font>
    <x:font>
      <x:b/>
      <x:sz val="11"/>
      <x:color rgb="FF0D9488"/>
      <x:name val="Microsoft YaHei"/>
    </x:font>
    <x:font>
      <x:b/>
      <x:sz val="11"/>
      <x:color rgb="FFCA8A04"/>
      <x:name val="Microsoft YaHei"/>
    </x:font>
    <x:font>
      <x:b/>
      <x:sz val="11"/>
      <x:color rgb="FFEA580C"/>
      <x:name val="Microsoft YaHei"/>
    </x:font>
    <x:font>
      <x:b/>
      <x:sz val="11"/>
      <x:color rgb="FFDB2777"/>
      <x:name val="Microsoft YaHei"/>
    </x:font>
    <x:font>
      <x:b/>
      <x:sz val="11"/>
      <x:color rgb="FFDC2626"/>
      <x:name val="Microsoft YaHei"/>
    </x:font>
    <x:font>
      <x:b/>
      <x:sz val="11"/>
      <x:color rgb="FF9333EA"/>
      <x:name val="Microsoft YaHei"/>
    </x:font>
    <x:font>
      <x:b/>
      <x:sz val="11"/>
      <x:color rgb="FF0284C7"/>
      <x:name val="Microsoft YaHei"/>
    </x:font>
    <x:font>
      <x:b/>
      <x:sz val="11"/>
      <x:color rgb="FF4F46E5"/>
      <x:name val="Microsoft YaHei"/>
    </x:font>
    <x:font>
      <x:b/>
      <x:sz val="11"/>
      <x:color rgb="FF0F766E"/>
      <x:name val="Microsoft YaHei"/>
    </x:font>
    <x:font>
      <x:b/>
      <x:sz val="11"/>
      <x:color rgb="FFC2410C"/>
      <x:name val="Microsoft YaHei"/>
    </x:font>
    <x:font>
      <x:b/>
      <x:sz val="11"/>
      <x:color rgb="FF475569"/>
      <x:name val="Microsoft YaHei"/>
    </x:font>
    <x:font>
      <x:b/>
      <x:sz val="11"/>
      <x:color rgb="FFA21CAF"/>
      <x:name val="Microsoft YaHei"/>
    </x:font>
    <x:font>
      <x:sz val="11"/>
      <x:color rgb="FF64748B"/>
      <x:name val="Microsoft YaHei"/>
    </x:font>
    <x:font>
      <x:b/>
      <x:sz val="17"/>
      <x:color rgb="FF1E293B"/>
      <x:name val="Microsoft YaHei"/>
    </x:font>
    <x:font>
      <x:b/>
      <x:sz val="11"/>
      <x:color rgb="FFB45309"/>
      <x:name val="Microsoft YaHei"/>
    </x:font>
    <x:font>
      <x:b/>
      <x:sz val="17"/>
      <x:color rgb="FF16324F"/>
      <x:name val="Carlito"/>
    </x:font>
    <x:font>
      <x:b/>
      <x:sz val="11"/>
      <x:color rgb="FFFFFFFF"/>
      <x:name val="Carlito"/>
    </x:font>
    <x:font>
      <x:b/>
      <x:sz val="11"/>
      <x:color rgb="FF2563EB"/>
      <x:name val="Carlito"/>
    </x:font>
    <x:font>
      <x:b/>
      <x:sz val="11"/>
      <x:color rgb="FF059669"/>
      <x:name val="Carlito"/>
    </x:font>
    <x:font>
      <x:b/>
      <x:sz val="11"/>
      <x:color rgb="FF7C3AED"/>
      <x:name val="Carlito"/>
    </x:font>
    <x:font>
      <x:b/>
      <x:sz val="11"/>
      <x:color rgb="FFEA580C"/>
      <x:name val="Carlito"/>
    </x:font>
    <x:font>
      <x:b/>
      <x:sz val="11"/>
      <x:color rgb="FF0891B2"/>
      <x:name val="Carlito"/>
    </x:font>
    <x:font>
      <x:b/>
      <x:sz val="11"/>
      <x:color rgb="FFDB2777"/>
      <x:name val="Carlito"/>
    </x:font>
    <x:font>
      <x:b/>
      <x:sz val="11"/>
      <x:color rgb="FF4F46E5"/>
      <x:name val="Carlito"/>
    </x:font>
    <x:font>
      <x:b/>
      <x:sz val="11"/>
      <x:color rgb="FFB45309"/>
      <x:name val="Carlito"/>
    </x:font>
    <x:font>
      <x:sz val="11"/>
      <x:color rgb="FF2563EB"/>
      <x:name val="Carlito"/>
    </x:font>
    <x:font>
      <x:sz val="11"/>
      <x:color rgb="FF059669"/>
      <x:name val="Carlito"/>
    </x:font>
    <x:font>
      <x:sz val="11"/>
      <x:color rgb="FF7C3AED"/>
      <x:name val="Carlito"/>
    </x:font>
    <x:font>
      <x:sz val="11"/>
      <x:color rgb="FFEA580C"/>
      <x:name val="Carlito"/>
    </x:font>
    <x:font>
      <x:sz val="11"/>
      <x:color rgb="FF0891B2"/>
      <x:name val="Carlito"/>
    </x:font>
    <x:font>
      <x:sz val="11"/>
      <x:color rgb="FFDB2777"/>
      <x:name val="Carlito"/>
    </x:font>
    <x:font>
      <x:sz val="11"/>
      <x:color rgb="FF4F46E5"/>
      <x:name val="Carlito"/>
    </x:font>
    <x:font>
      <x:sz val="11"/>
      <x:color rgb="FFB45309"/>
      <x:name val="Carlito"/>
    </x:font>
    <x:font>
      <x:b/>
      <x:sz val="15"/>
      <x:color rgb="FF7C3AED"/>
      <x:name val="Microsoft YaHei"/>
    </x:font>
    <x:font>
      <x:b/>
      <x:sz val="13"/>
      <x:color rgb="FF1E293B"/>
      <x:name val="Microsoft YaHei"/>
    </x:font>
    <x:font>
      <x:b/>
      <x:sz val="15"/>
      <x:color rgb="FF059669"/>
      <x:name val="Microsoft YaHei"/>
    </x:font>
    <x:font>
      <x:b/>
      <x:sz val="14"/>
      <x:color rgb="FF16324F"/>
      <x:name val="Microsoft YaHei"/>
    </x:font>
    <x:font>
      <x:b/>
      <x:sz val="15"/>
      <x:color rgb="FF0891B2"/>
      <x:name val="Microsoft YaHei"/>
    </x:font>
    <x:font>
      <x:b/>
      <x:sz val="18"/>
      <x:color rgb="FFFFFFFF"/>
      <x:name val="Microsoft YaHei"/>
    </x:font>
    <x:font>
      <x:sz val="11"/>
      <x:color rgb="FF334155"/>
      <x:name val="Microsoft YaHei"/>
    </x:font>
    <x:font>
      <x:sz val="10"/>
      <x:name val="Microsoft YaHei"/>
    </x:font>
    <x:font>
      <x:sz val="11"/>
      <x:name val="Microsoft YaHei"/>
    </x:font>
  </x:fonts>
  <x:fills count="7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FF7DB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  <x:fill>
      <x:patternFill patternType="solid">
        <x:fgColor rgb="FFEFF6FF"/>
      </x:patternFill>
    </x:fill>
    <x:fill>
      <x:patternFill patternType="solid">
        <x:fgColor rgb="FFECFEFF"/>
      </x:patternFill>
    </x:fill>
    <x:fill>
      <x:patternFill patternType="solid">
        <x:fgColor rgb="FFECFDF5"/>
      </x:patternFill>
    </x:fill>
    <x:fill>
      <x:patternFill patternType="solid">
        <x:fgColor rgb="FFF5F3FF"/>
      </x:patternFill>
    </x:fill>
    <x:fill>
      <x:patternFill patternType="solid">
        <x:fgColor rgb="FFF0FDFA"/>
      </x:patternFill>
    </x:fill>
    <x:fill>
      <x:patternFill patternType="solid">
        <x:fgColor rgb="FFFEFCE8"/>
      </x:patternFill>
    </x:fill>
    <x:fill>
      <x:patternFill patternType="solid">
        <x:fgColor rgb="FFFFF7ED"/>
      </x:patternFill>
    </x:fill>
    <x:fill>
      <x:patternFill patternType="solid">
        <x:fgColor rgb="FFFDF2F8"/>
      </x:patternFill>
    </x:fill>
    <x:fill>
      <x:patternFill patternType="solid">
        <x:fgColor rgb="FFFEF2F2"/>
      </x:patternFill>
    </x:fill>
    <x:fill>
      <x:patternFill patternType="solid">
        <x:fgColor rgb="FFFAF5FF"/>
      </x:patternFill>
    </x:fill>
    <x:fill>
      <x:patternFill patternType="solid">
        <x:fgColor rgb="FFF0F9FF"/>
      </x:patternFill>
    </x:fill>
    <x:fill>
      <x:patternFill patternType="solid">
        <x:fgColor rgb="FFEEF2FF"/>
      </x:patternFill>
    </x:fill>
    <x:fill>
      <x:patternFill patternType="solid">
        <x:fgColor rgb="FFF1F5F9"/>
      </x:patternFill>
    </x:fill>
    <x:fill>
      <x:patternFill patternType="solid">
        <x:fgColor rgb="FFFDF4FF"/>
      </x:patternFill>
    </x:fill>
    <x:fill>
      <x:patternFill patternType="solid">
        <x:fgColor rgb="FFDBEAFE"/>
      </x:patternFill>
    </x:fill>
    <x:fill>
      <x:patternFill patternType="solid">
        <x:fgColor rgb="FFDCFCE7"/>
      </x:patternFill>
    </x:fill>
    <x:fill>
      <x:patternFill patternType="solid">
        <x:fgColor rgb="FFFEE2E2"/>
      </x:patternFill>
    </x:fill>
    <x:fill>
      <x:patternFill patternType="solid">
        <x:fgColor rgb="FFFEF3C7"/>
      </x:patternFill>
    </x:fill>
    <x:fill>
      <x:patternFill patternType="solid">
        <x:fgColor rgb="FFEDE9FE"/>
      </x:patternFill>
    </x:fill>
    <x:fill>
      <x:patternFill patternType="solid">
        <x:fgColor rgb="FFCFFAFE"/>
      </x:patternFill>
    </x:fill>
    <x:fill>
      <x:patternFill patternType="solid">
        <x:fgColor rgb="FFD1FAE5"/>
      </x:patternFill>
    </x:fill>
    <x:fill>
      <x:patternFill patternType="solid">
        <x:fgColor rgb="FFFFFBEB"/>
      </x:patternFill>
    </x:fill>
    <x:fill>
      <x:patternFill patternType="solid">
        <x:fgColor rgb="FF2563EB"/>
      </x:patternFill>
    </x:fill>
    <x:fill>
      <x:patternFill patternType="solid">
        <x:fgColor rgb="FF0891B2"/>
      </x:patternFill>
    </x:fill>
    <x:fill>
      <x:patternFill patternType="solid">
        <x:fgColor rgb="FF059669"/>
      </x:patternFill>
    </x:fill>
    <x:fill>
      <x:patternFill patternType="solid">
        <x:fgColor rgb="FF7C3AED"/>
      </x:patternFill>
    </x:fill>
    <x:fill>
      <x:patternFill patternType="solid">
        <x:fgColor rgb="FF0D9488"/>
      </x:patternFill>
    </x:fill>
    <x:fill>
      <x:patternFill patternType="solid">
        <x:fgColor rgb="FFCA8A04"/>
      </x:patternFill>
    </x:fill>
    <x:fill>
      <x:patternFill patternType="solid">
        <x:fgColor rgb="FFEA580C"/>
      </x:patternFill>
    </x:fill>
    <x:fill>
      <x:patternFill patternType="solid">
        <x:fgColor rgb="FFDB2777"/>
      </x:patternFill>
    </x:fill>
    <x:fill>
      <x:patternFill patternType="solid">
        <x:fgColor rgb="FFDC2626"/>
      </x:patternFill>
    </x:fill>
    <x:fill>
      <x:patternFill patternType="solid">
        <x:fgColor rgb="FF9333EA"/>
      </x:patternFill>
    </x:fill>
    <x:fill>
      <x:patternFill patternType="solid">
        <x:fgColor rgb="FF0284C7"/>
      </x:patternFill>
    </x:fill>
    <x:fill>
      <x:patternFill patternType="solid">
        <x:fgColor rgb="FF4F46E5"/>
      </x:patternFill>
    </x:fill>
    <x:fill>
      <x:patternFill patternType="solid">
        <x:fgColor rgb="FF0F766E"/>
      </x:patternFill>
    </x:fill>
    <x:fill>
      <x:patternFill patternType="solid">
        <x:fgColor rgb="FFC2410C"/>
      </x:patternFill>
    </x:fill>
    <x:fill>
      <x:patternFill patternType="solid">
        <x:fgColor rgb="FF475569"/>
      </x:patternFill>
    </x:fill>
    <x:fill>
      <x:patternFill patternType="solid">
        <x:fgColor rgb="FFA21CAF"/>
      </x:patternFill>
    </x:fill>
    <x:fill>
      <x:patternFill patternType="solid">
        <x:fgColor rgb="FF16324F"/>
      </x:patternFill>
    </x:fill>
    <x:fill>
      <x:patternFill patternType="solid">
        <x:fgColor rgb="FFEFF6FF"/>
      </x:patternFill>
    </x:fill>
    <x:fill>
      <x:patternFill patternType="solid">
        <x:fgColor rgb="FFECFDF5"/>
      </x:patternFill>
    </x:fill>
    <x:fill>
      <x:patternFill patternType="solid">
        <x:fgColor rgb="FFF5F3FF"/>
      </x:patternFill>
    </x:fill>
    <x:fill>
      <x:patternFill patternType="solid">
        <x:fgColor rgb="FFFFF7ED"/>
      </x:patternFill>
    </x:fill>
    <x:fill>
      <x:patternFill patternType="solid">
        <x:fgColor rgb="FFECFEFF"/>
      </x:patternFill>
    </x:fill>
    <x:fill>
      <x:patternFill patternType="solid">
        <x:fgColor rgb="FFFDF2F8"/>
      </x:patternFill>
    </x:fill>
    <x:fill>
      <x:patternFill patternType="solid">
        <x:fgColor rgb="FFEEF2FF"/>
      </x:patternFill>
    </x:fill>
    <x:fill>
      <x:patternFill patternType="solid">
        <x:fgColor rgb="FFFFFBEB"/>
      </x:patternFill>
    </x:fill>
    <x:fill>
      <x:patternFill patternType="solid">
        <x:fgColor rgb="FFFFFFFF"/>
      </x:patternFill>
    </x:fill>
    <x:fill>
      <x:patternFill patternType="solid">
        <x:fgColor rgb="FFF8FAFC"/>
      </x:patternFill>
    </x:fill>
    <x:fill>
      <x:patternFill patternType="solid">
        <x:fgColor rgb="FFFFF7DB"/>
      </x:patternFill>
    </x:fill>
    <x:fill>
      <x:patternFill patternType="solid">
        <x:fgColor rgb="FF16324F"/>
      </x:patternFill>
    </x:fill>
    <x:fill>
      <x:patternFill patternType="solid">
        <x:fgColor rgb="FFFFF7DB"/>
      </x:patternFill>
    </x:fill>
    <x:fill>
      <x:patternFill patternType="solid">
        <x:fgColor rgb="FFFFF1F2"/>
      </x:patternFill>
    </x:fill>
    <x:fill>
      <x:patternFill patternType="solid">
        <x:fgColor rgb="FFEFF6FF"/>
      </x:patternFill>
    </x:fill>
    <x:fill>
      <x:patternFill patternType="solid">
        <x:fgColor rgb="FFF5F3FF"/>
      </x:patternFill>
    </x:fill>
    <x:fill>
      <x:patternFill patternType="solid">
        <x:fgColor rgb="FFFFFFFF"/>
      </x:patternFill>
    </x:fill>
    <x:fill>
      <x:patternFill patternType="solid">
        <x:fgColor rgb="FFECFDF5"/>
      </x:patternFill>
    </x:fill>
    <x:fill>
      <x:patternFill patternType="solid">
        <x:fgColor rgb="FF16324F"/>
      </x:patternFill>
    </x:fill>
    <x:fill>
      <x:patternFill patternType="solid">
        <x:fgColor rgb="FFEFF6FF"/>
      </x:patternFill>
    </x:fill>
    <x:fill>
      <x:patternFill patternType="solid">
        <x:fgColor rgb="FFECFDF5"/>
      </x:patternFill>
    </x:fill>
    <x:fill>
      <x:patternFill patternType="solid">
        <x:fgColor rgb="FFF5F3FF"/>
      </x:patternFill>
    </x:fill>
    <x:fill>
      <x:patternFill patternType="solid">
        <x:fgColor rgb="FFFFF7ED"/>
      </x:patternFill>
    </x:fill>
    <x:fill>
      <x:patternFill patternType="solid">
        <x:fgColor rgb="FFECFEFF"/>
      </x:patternFill>
    </x:fill>
    <x:fill>
      <x:patternFill patternType="solid">
        <x:fgColor rgb="FFFDF2F8"/>
      </x:patternFill>
    </x:fill>
    <x:fill>
      <x:patternFill patternType="solid">
        <x:fgColor rgb="FFEEF2FF"/>
      </x:patternFill>
    </x:fill>
    <x:fill>
      <x:patternFill patternType="solid">
        <x:fgColor rgb="FFFFF7DB"/>
      </x:patternFill>
    </x:fill>
    <x:fill>
      <x:patternFill patternType="solid">
        <x:fgColor rgb="FFFFFFFF"/>
      </x:patternFill>
    </x:fill>
    <x:fill>
      <x:patternFill patternType="solid">
        <x:fgColor rgb="FF16324F"/>
      </x:patternFill>
    </x:fill>
    <x:fill>
      <x:patternFill patternType="solid">
        <x:fgColor rgb="FF2563EB"/>
      </x:patternFill>
    </x:fill>
    <x:fill>
      <x:patternFill patternType="solid">
        <x:fgColor rgb="FFFFFFFF"/>
      </x:patternFill>
    </x:fill>
    <x:fill>
      <x:patternFill patternType="solid">
        <x:fgColor rgb="FFEFF6FF"/>
      </x:patternFill>
    </x:fill>
  </x:fills>
  <x:borders count="19">
    <x:border/>
    <x:border>
      <x:bottom style="thin">
        <x:color rgb="FF93C5FD"/>
      </x:bottom>
    </x:border>
    <x:border>
      <x:top style="medium">
        <x:color rgb="FF2563EB"/>
      </x:top>
    </x:border>
    <x:border>
      <x:top style="medium">
        <x:color rgb="FF0891B2"/>
      </x:top>
    </x:border>
    <x:border>
      <x:top style="medium">
        <x:color rgb="FF059669"/>
      </x:top>
    </x:border>
    <x:border>
      <x:top style="medium">
        <x:color rgb="FF7C3AED"/>
      </x:top>
    </x:border>
    <x:border>
      <x:top style="medium">
        <x:color rgb="FF0D9488"/>
      </x:top>
    </x:border>
    <x:border>
      <x:top style="medium">
        <x:color rgb="FFCA8A04"/>
      </x:top>
    </x:border>
    <x:border>
      <x:top style="medium">
        <x:color rgb="FFEA580C"/>
      </x:top>
    </x:border>
    <x:border>
      <x:top style="medium">
        <x:color rgb="FFDB2777"/>
      </x:top>
    </x:border>
    <x:border>
      <x:top style="medium">
        <x:color rgb="FFDC2626"/>
      </x:top>
    </x:border>
    <x:border>
      <x:top style="medium">
        <x:color rgb="FF9333EA"/>
      </x:top>
    </x:border>
    <x:border>
      <x:top style="medium">
        <x:color rgb="FF0284C7"/>
      </x:top>
    </x:border>
    <x:border>
      <x:top style="medium">
        <x:color rgb="FF4F46E5"/>
      </x:top>
    </x:border>
    <x:border>
      <x:top style="medium">
        <x:color rgb="FF0F766E"/>
      </x:top>
    </x:border>
    <x:border>
      <x:top style="medium">
        <x:color rgb="FFC2410C"/>
      </x:top>
    </x:border>
    <x:border>
      <x:top style="medium">
        <x:color rgb="FF475569"/>
      </x:top>
    </x:border>
    <x:border>
      <x:top style="medium">
        <x:color rgb="FFA21CAF"/>
      </x:top>
    </x:border>
    <x:border>
      <x:top style="medium">
        <x:color rgb="FFB45309"/>
      </x:top>
    </x:border>
  </x:borders>
  <x:cellStyleXfs count="1">
    <x:xf numFmtId="0" fontId="0" fillId="0" borderId="0"/>
  </x:cellStyleXfs>
  <x:cellXfs count="65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200" fontId="1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200" fontId="1" fillId="6" borderId="2" xfId="0" applyNumberFormat="1" applyFont="1" applyFill="1" applyBorder="1" applyAlignment="1">
      <x:alignment vertical="center"/>
    </x:xf>
    <x:xf numFmtId="0" fontId="4" fillId="6" borderId="2" xfId="0" applyNumberFormat="1" applyFont="1" applyFill="1" applyBorder="1" applyAlignment="1">
      <x:alignment vertical="center"/>
    </x:xf>
    <x:xf numFmtId="0" fontId="1" fillId="6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top" wrapText="1"/>
    </x:xf>
    <x:xf numFmtId="0" fontId="1" fillId="3" borderId="2" xfId="0" applyNumberFormat="1" applyFont="1" applyFill="1" applyBorder="1" applyAlignment="1">
      <x:alignment vertical="center" wrapText="1"/>
    </x:xf>
    <x:xf numFmtId="201" fontId="1" fillId="3" borderId="2" xfId="0" applyNumberFormat="1" applyFont="1" applyFill="1" applyBorder="1" applyAlignment="1">
      <x:alignment vertical="center" wrapText="1"/>
    </x:xf>
    <x:xf numFmtId="200" fontId="1" fillId="7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5" fillId="7" borderId="0" xfId="0" applyNumberFormat="1" applyFont="1" applyFill="1" applyBorder="1" applyAlignment="1">
      <x:alignment vertical="center"/>
    </x:xf>
    <x:xf numFmtId="200" fontId="1" fillId="7" borderId="3" xfId="0" applyNumberFormat="1" applyFont="1" applyFill="1" applyBorder="1" applyAlignment="1">
      <x:alignment vertical="center"/>
    </x:xf>
    <x:xf numFmtId="0" fontId="5" fillId="7" borderId="3" xfId="0" applyNumberFormat="1" applyFont="1" applyFill="1" applyBorder="1" applyAlignment="1">
      <x:alignment vertical="center"/>
    </x:xf>
    <x:xf numFmtId="0" fontId="1" fillId="7" borderId="3" xfId="0" applyNumberFormat="1" applyFont="1" applyFill="1" applyBorder="1" applyAlignment="1">
      <x:alignment vertical="center"/>
    </x:xf>
    <x:xf numFmtId="0" fontId="1" fillId="4" borderId="3" xfId="0" applyNumberFormat="1" applyFont="1" applyFill="1" applyBorder="1" applyAlignment="1">
      <x:alignment vertical="top" wrapText="1"/>
    </x:xf>
    <x:xf numFmtId="0" fontId="1" fillId="3" borderId="3" xfId="0" applyNumberFormat="1" applyFont="1" applyFill="1" applyBorder="1" applyAlignment="1">
      <x:alignment vertical="center" wrapText="1"/>
    </x:xf>
    <x:xf numFmtId="201" fontId="1" fillId="3" borderId="3" xfId="0" applyNumberFormat="1" applyFont="1" applyFill="1" applyBorder="1" applyAlignment="1">
      <x:alignment vertical="center" wrapText="1"/>
    </x:xf>
    <x:xf numFmtId="200" fontId="1" fillId="8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6" fillId="8" borderId="0" xfId="0" applyNumberFormat="1" applyFont="1" applyFill="1" applyBorder="1" applyAlignment="1">
      <x:alignment vertical="center"/>
    </x:xf>
    <x:xf numFmtId="200" fontId="1" fillId="8" borderId="4" xfId="0" applyNumberFormat="1" applyFont="1" applyFill="1" applyBorder="1" applyAlignment="1">
      <x:alignment vertical="center"/>
    </x:xf>
    <x:xf numFmtId="0" fontId="6" fillId="8" borderId="4" xfId="0" applyNumberFormat="1" applyFont="1" applyFill="1" applyBorder="1" applyAlignment="1">
      <x:alignment vertical="center"/>
    </x:xf>
    <x:xf numFmtId="0" fontId="1" fillId="8" borderId="4" xfId="0" applyNumberFormat="1" applyFont="1" applyFill="1" applyBorder="1" applyAlignment="1">
      <x:alignment vertical="center"/>
    </x:xf>
    <x:xf numFmtId="0" fontId="1" fillId="4" borderId="4" xfId="0" applyNumberFormat="1" applyFont="1" applyFill="1" applyBorder="1" applyAlignment="1">
      <x:alignment vertical="top" wrapText="1"/>
    </x:xf>
    <x:xf numFmtId="0" fontId="1" fillId="3" borderId="4" xfId="0" applyNumberFormat="1" applyFont="1" applyFill="1" applyBorder="1" applyAlignment="1">
      <x:alignment vertical="center" wrapText="1"/>
    </x:xf>
    <x:xf numFmtId="201" fontId="1" fillId="3" borderId="4" xfId="0" applyNumberFormat="1" applyFont="1" applyFill="1" applyBorder="1" applyAlignment="1">
      <x:alignment vertical="center" wrapText="1"/>
    </x:xf>
    <x:xf numFmtId="200" fontId="1" fillId="9" borderId="0" xfId="0" applyNumberFormat="1" applyFont="1" applyFill="1" applyBorder="1" applyAlignment="1">
      <x:alignment vertical="center"/>
    </x:xf>
    <x:xf numFmtId="0" fontId="1" fillId="9" borderId="0" xfId="0" applyNumberFormat="1" applyFont="1" applyFill="1" applyBorder="1" applyAlignment="1">
      <x:alignment vertical="center"/>
    </x:xf>
    <x:xf numFmtId="0" fontId="7" fillId="9" borderId="0" xfId="0" applyNumberFormat="1" applyFont="1" applyFill="1" applyBorder="1" applyAlignment="1">
      <x:alignment vertical="center"/>
    </x:xf>
    <x:xf numFmtId="200" fontId="1" fillId="9" borderId="5" xfId="0" applyNumberFormat="1" applyFont="1" applyFill="1" applyBorder="1" applyAlignment="1">
      <x:alignment vertical="center"/>
    </x:xf>
    <x:xf numFmtId="0" fontId="7" fillId="9" borderId="5" xfId="0" applyNumberFormat="1" applyFont="1" applyFill="1" applyBorder="1" applyAlignment="1">
      <x:alignment vertical="center"/>
    </x:xf>
    <x:xf numFmtId="0" fontId="1" fillId="9" borderId="5" xfId="0" applyNumberFormat="1" applyFont="1" applyFill="1" applyBorder="1" applyAlignment="1">
      <x:alignment vertical="center"/>
    </x:xf>
    <x:xf numFmtId="0" fontId="1" fillId="4" borderId="5" xfId="0" applyNumberFormat="1" applyFont="1" applyFill="1" applyBorder="1" applyAlignment="1">
      <x:alignment vertical="top" wrapText="1"/>
    </x:xf>
    <x:xf numFmtId="0" fontId="1" fillId="3" borderId="5" xfId="0" applyNumberFormat="1" applyFont="1" applyFill="1" applyBorder="1" applyAlignment="1">
      <x:alignment vertical="center" wrapText="1"/>
    </x:xf>
    <x:xf numFmtId="201" fontId="1" fillId="3" borderId="5" xfId="0" applyNumberFormat="1" applyFont="1" applyFill="1" applyBorder="1" applyAlignment="1">
      <x:alignment vertical="center" wrapText="1"/>
    </x:xf>
    <x:xf numFmtId="200" fontId="1" fillId="10" borderId="0" xfId="0" applyNumberFormat="1" applyFont="1" applyFill="1" applyBorder="1" applyAlignment="1">
      <x:alignment vertical="center"/>
    </x:xf>
    <x:xf numFmtId="0" fontId="1" fillId="10" borderId="0" xfId="0" applyNumberFormat="1" applyFont="1" applyFill="1" applyBorder="1" applyAlignment="1">
      <x:alignment vertical="center"/>
    </x:xf>
    <x:xf numFmtId="0" fontId="8" fillId="10" borderId="0" xfId="0" applyNumberFormat="1" applyFont="1" applyFill="1" applyBorder="1" applyAlignment="1">
      <x:alignment vertical="center"/>
    </x:xf>
    <x:xf numFmtId="200" fontId="1" fillId="10" borderId="6" xfId="0" applyNumberFormat="1" applyFont="1" applyFill="1" applyBorder="1" applyAlignment="1">
      <x:alignment vertical="center"/>
    </x:xf>
    <x:xf numFmtId="0" fontId="8" fillId="10" borderId="6" xfId="0" applyNumberFormat="1" applyFont="1" applyFill="1" applyBorder="1" applyAlignment="1">
      <x:alignment vertical="center"/>
    </x:xf>
    <x:xf numFmtId="0" fontId="1" fillId="10" borderId="6" xfId="0" applyNumberFormat="1" applyFont="1" applyFill="1" applyBorder="1" applyAlignment="1">
      <x:alignment vertical="center"/>
    </x:xf>
    <x:xf numFmtId="0" fontId="1" fillId="4" borderId="6" xfId="0" applyNumberFormat="1" applyFont="1" applyFill="1" applyBorder="1" applyAlignment="1">
      <x:alignment vertical="top" wrapText="1"/>
    </x:xf>
    <x:xf numFmtId="0" fontId="1" fillId="3" borderId="6" xfId="0" applyNumberFormat="1" applyFont="1" applyFill="1" applyBorder="1" applyAlignment="1">
      <x:alignment vertical="center" wrapText="1"/>
    </x:xf>
    <x:xf numFmtId="201" fontId="1" fillId="3" borderId="6" xfId="0" applyNumberFormat="1" applyFont="1" applyFill="1" applyBorder="1" applyAlignment="1">
      <x:alignment vertical="center" wrapText="1"/>
    </x:xf>
    <x:xf numFmtId="200" fontId="1" fillId="11" borderId="0" xfId="0" applyNumberFormat="1" applyFont="1" applyFill="1" applyBorder="1" applyAlignment="1">
      <x:alignment vertical="center"/>
    </x:xf>
    <x:xf numFmtId="0" fontId="1" fillId="11" borderId="0" xfId="0" applyNumberFormat="1" applyFont="1" applyFill="1" applyBorder="1" applyAlignment="1">
      <x:alignment vertical="center"/>
    </x:xf>
    <x:xf numFmtId="0" fontId="9" fillId="11" borderId="0" xfId="0" applyNumberFormat="1" applyFont="1" applyFill="1" applyBorder="1" applyAlignment="1">
      <x:alignment vertical="center"/>
    </x:xf>
    <x:xf numFmtId="200" fontId="1" fillId="11" borderId="7" xfId="0" applyNumberFormat="1" applyFont="1" applyFill="1" applyBorder="1" applyAlignment="1">
      <x:alignment vertical="center"/>
    </x:xf>
    <x:xf numFmtId="0" fontId="9" fillId="11" borderId="7" xfId="0" applyNumberFormat="1" applyFont="1" applyFill="1" applyBorder="1" applyAlignment="1">
      <x:alignment vertical="center"/>
    </x:xf>
    <x:xf numFmtId="0" fontId="1" fillId="11" borderId="7" xfId="0" applyNumberFormat="1" applyFont="1" applyFill="1" applyBorder="1" applyAlignment="1">
      <x:alignment vertical="center"/>
    </x:xf>
    <x:xf numFmtId="0" fontId="1" fillId="4" borderId="7" xfId="0" applyNumberFormat="1" applyFont="1" applyFill="1" applyBorder="1" applyAlignment="1">
      <x:alignment vertical="top" wrapText="1"/>
    </x:xf>
    <x:xf numFmtId="0" fontId="1" fillId="3" borderId="7" xfId="0" applyNumberFormat="1" applyFont="1" applyFill="1" applyBorder="1" applyAlignment="1">
      <x:alignment vertical="center" wrapText="1"/>
    </x:xf>
    <x:xf numFmtId="201" fontId="1" fillId="3" borderId="7" xfId="0" applyNumberFormat="1" applyFont="1" applyFill="1" applyBorder="1" applyAlignment="1">
      <x:alignment vertical="center" wrapText="1"/>
    </x:xf>
    <x:xf numFmtId="200" fontId="1" fillId="12" borderId="0" xfId="0" applyNumberFormat="1" applyFont="1" applyFill="1" applyBorder="1" applyAlignment="1">
      <x:alignment vertical="center"/>
    </x:xf>
    <x:xf numFmtId="0" fontId="1" fillId="12" borderId="0" xfId="0" applyNumberFormat="1" applyFont="1" applyFill="1" applyBorder="1" applyAlignment="1">
      <x:alignment vertical="center"/>
    </x:xf>
    <x:xf numFmtId="0" fontId="10" fillId="12" borderId="0" xfId="0" applyNumberFormat="1" applyFont="1" applyFill="1" applyBorder="1" applyAlignment="1">
      <x:alignment vertical="center"/>
    </x:xf>
    <x:xf numFmtId="200" fontId="1" fillId="12" borderId="8" xfId="0" applyNumberFormat="1" applyFont="1" applyFill="1" applyBorder="1" applyAlignment="1">
      <x:alignment vertical="center"/>
    </x:xf>
    <x:xf numFmtId="0" fontId="10" fillId="12" borderId="8" xfId="0" applyNumberFormat="1" applyFont="1" applyFill="1" applyBorder="1" applyAlignment="1">
      <x:alignment vertical="center"/>
    </x:xf>
    <x:xf numFmtId="0" fontId="1" fillId="12" borderId="8" xfId="0" applyNumberFormat="1" applyFont="1" applyFill="1" applyBorder="1" applyAlignment="1">
      <x:alignment vertical="center"/>
    </x:xf>
    <x:xf numFmtId="0" fontId="1" fillId="4" borderId="8" xfId="0" applyNumberFormat="1" applyFont="1" applyFill="1" applyBorder="1" applyAlignment="1">
      <x:alignment vertical="top" wrapText="1"/>
    </x:xf>
    <x:xf numFmtId="0" fontId="1" fillId="3" borderId="8" xfId="0" applyNumberFormat="1" applyFont="1" applyFill="1" applyBorder="1" applyAlignment="1">
      <x:alignment vertical="center" wrapText="1"/>
    </x:xf>
    <x:xf numFmtId="201" fontId="1" fillId="3" borderId="8" xfId="0" applyNumberFormat="1" applyFont="1" applyFill="1" applyBorder="1" applyAlignment="1">
      <x:alignment vertical="center" wrapText="1"/>
    </x:xf>
    <x:xf numFmtId="200" fontId="1" fillId="13" borderId="0" xfId="0" applyNumberFormat="1" applyFont="1" applyFill="1" applyBorder="1" applyAlignment="1">
      <x:alignment vertical="center"/>
    </x:xf>
    <x:xf numFmtId="0" fontId="1" fillId="13" borderId="0" xfId="0" applyNumberFormat="1" applyFont="1" applyFill="1" applyBorder="1" applyAlignment="1">
      <x:alignment vertical="center"/>
    </x:xf>
    <x:xf numFmtId="0" fontId="11" fillId="13" borderId="0" xfId="0" applyNumberFormat="1" applyFont="1" applyFill="1" applyBorder="1" applyAlignment="1">
      <x:alignment vertical="center"/>
    </x:xf>
    <x:xf numFmtId="200" fontId="1" fillId="13" borderId="9" xfId="0" applyNumberFormat="1" applyFont="1" applyFill="1" applyBorder="1" applyAlignment="1">
      <x:alignment vertical="center"/>
    </x:xf>
    <x:xf numFmtId="0" fontId="11" fillId="13" borderId="9" xfId="0" applyNumberFormat="1" applyFont="1" applyFill="1" applyBorder="1" applyAlignment="1">
      <x:alignment vertical="center"/>
    </x:xf>
    <x:xf numFmtId="0" fontId="1" fillId="13" borderId="9" xfId="0" applyNumberFormat="1" applyFont="1" applyFill="1" applyBorder="1" applyAlignment="1">
      <x:alignment vertical="center"/>
    </x:xf>
    <x:xf numFmtId="0" fontId="1" fillId="5" borderId="9" xfId="0" applyNumberFormat="1" applyFont="1" applyFill="1" applyBorder="1" applyAlignment="1">
      <x:alignment vertical="top" wrapText="1"/>
    </x:xf>
    <x:xf numFmtId="0" fontId="1" fillId="3" borderId="9" xfId="0" applyNumberFormat="1" applyFont="1" applyFill="1" applyBorder="1" applyAlignment="1">
      <x:alignment vertical="center" wrapText="1"/>
    </x:xf>
    <x:xf numFmtId="201" fontId="1" fillId="3" borderId="9" xfId="0" applyNumberFormat="1" applyFont="1" applyFill="1" applyBorder="1" applyAlignment="1">
      <x:alignment vertical="center" wrapText="1"/>
    </x:xf>
    <x:xf numFmtId="200" fontId="1" fillId="14" borderId="0" xfId="0" applyNumberFormat="1" applyFont="1" applyFill="1" applyBorder="1" applyAlignment="1">
      <x:alignment vertical="center"/>
    </x:xf>
    <x:xf numFmtId="0" fontId="1" fillId="14" borderId="0" xfId="0" applyNumberFormat="1" applyFont="1" applyFill="1" applyBorder="1" applyAlignment="1">
      <x:alignment vertical="center"/>
    </x:xf>
    <x:xf numFmtId="0" fontId="12" fillId="14" borderId="0" xfId="0" applyNumberFormat="1" applyFont="1" applyFill="1" applyBorder="1" applyAlignment="1">
      <x:alignment vertical="center"/>
    </x:xf>
    <x:xf numFmtId="200" fontId="1" fillId="14" borderId="10" xfId="0" applyNumberFormat="1" applyFont="1" applyFill="1" applyBorder="1" applyAlignment="1">
      <x:alignment vertical="center"/>
    </x:xf>
    <x:xf numFmtId="0" fontId="12" fillId="14" borderId="10" xfId="0" applyNumberFormat="1" applyFont="1" applyFill="1" applyBorder="1" applyAlignment="1">
      <x:alignment vertical="center"/>
    </x:xf>
    <x:xf numFmtId="0" fontId="1" fillId="14" borderId="10" xfId="0" applyNumberFormat="1" applyFont="1" applyFill="1" applyBorder="1" applyAlignment="1">
      <x:alignment vertical="center"/>
    </x:xf>
    <x:xf numFmtId="0" fontId="1" fillId="5" borderId="10" xfId="0" applyNumberFormat="1" applyFont="1" applyFill="1" applyBorder="1" applyAlignment="1">
      <x:alignment vertical="top" wrapText="1"/>
    </x:xf>
    <x:xf numFmtId="0" fontId="1" fillId="3" borderId="10" xfId="0" applyNumberFormat="1" applyFont="1" applyFill="1" applyBorder="1" applyAlignment="1">
      <x:alignment vertical="center" wrapText="1"/>
    </x:xf>
    <x:xf numFmtId="201" fontId="1" fillId="3" borderId="10" xfId="0" applyNumberFormat="1" applyFont="1" applyFill="1" applyBorder="1" applyAlignment="1">
      <x:alignment vertical="center" wrapText="1"/>
    </x:xf>
    <x:xf numFmtId="200" fontId="1" fillId="15" borderId="0" xfId="0" applyNumberFormat="1" applyFont="1" applyFill="1" applyBorder="1" applyAlignment="1">
      <x:alignment vertical="center"/>
    </x:xf>
    <x:xf numFmtId="0" fontId="1" fillId="15" borderId="0" xfId="0" applyNumberFormat="1" applyFont="1" applyFill="1" applyBorder="1" applyAlignment="1">
      <x:alignment vertical="center"/>
    </x:xf>
    <x:xf numFmtId="0" fontId="13" fillId="15" borderId="0" xfId="0" applyNumberFormat="1" applyFont="1" applyFill="1" applyBorder="1" applyAlignment="1">
      <x:alignment vertical="center"/>
    </x:xf>
    <x:xf numFmtId="200" fontId="1" fillId="15" borderId="11" xfId="0" applyNumberFormat="1" applyFont="1" applyFill="1" applyBorder="1" applyAlignment="1">
      <x:alignment vertical="center"/>
    </x:xf>
    <x:xf numFmtId="0" fontId="13" fillId="15" borderId="11" xfId="0" applyNumberFormat="1" applyFont="1" applyFill="1" applyBorder="1" applyAlignment="1">
      <x:alignment vertical="center"/>
    </x:xf>
    <x:xf numFmtId="0" fontId="1" fillId="15" borderId="11" xfId="0" applyNumberFormat="1" applyFont="1" applyFill="1" applyBorder="1" applyAlignment="1">
      <x:alignment vertical="center"/>
    </x:xf>
    <x:xf numFmtId="0" fontId="1" fillId="5" borderId="11" xfId="0" applyNumberFormat="1" applyFont="1" applyFill="1" applyBorder="1" applyAlignment="1">
      <x:alignment vertical="top" wrapText="1"/>
    </x:xf>
    <x:xf numFmtId="0" fontId="1" fillId="3" borderId="11" xfId="0" applyNumberFormat="1" applyFont="1" applyFill="1" applyBorder="1" applyAlignment="1">
      <x:alignment vertical="center" wrapText="1"/>
    </x:xf>
    <x:xf numFmtId="201" fontId="1" fillId="3" borderId="11" xfId="0" applyNumberFormat="1" applyFont="1" applyFill="1" applyBorder="1" applyAlignment="1">
      <x:alignment vertical="center" wrapText="1"/>
    </x:xf>
    <x:xf numFmtId="200" fontId="1" fillId="16" borderId="0" xfId="0" applyNumberFormat="1" applyFont="1" applyFill="1" applyBorder="1" applyAlignment="1">
      <x:alignment vertical="center"/>
    </x:xf>
    <x:xf numFmtId="0" fontId="1" fillId="16" borderId="0" xfId="0" applyNumberFormat="1" applyFont="1" applyFill="1" applyBorder="1" applyAlignment="1">
      <x:alignment vertical="center"/>
    </x:xf>
    <x:xf numFmtId="0" fontId="14" fillId="16" borderId="0" xfId="0" applyNumberFormat="1" applyFont="1" applyFill="1" applyBorder="1" applyAlignment="1">
      <x:alignment vertical="center"/>
    </x:xf>
    <x:xf numFmtId="200" fontId="1" fillId="16" borderId="12" xfId="0" applyNumberFormat="1" applyFont="1" applyFill="1" applyBorder="1" applyAlignment="1">
      <x:alignment vertical="center"/>
    </x:xf>
    <x:xf numFmtId="0" fontId="14" fillId="16" borderId="12" xfId="0" applyNumberFormat="1" applyFont="1" applyFill="1" applyBorder="1" applyAlignment="1">
      <x:alignment vertical="center"/>
    </x:xf>
    <x:xf numFmtId="0" fontId="1" fillId="16" borderId="12" xfId="0" applyNumberFormat="1" applyFont="1" applyFill="1" applyBorder="1" applyAlignment="1">
      <x:alignment vertical="center"/>
    </x:xf>
    <x:xf numFmtId="0" fontId="1" fillId="4" borderId="12" xfId="0" applyNumberFormat="1" applyFont="1" applyFill="1" applyBorder="1" applyAlignment="1">
      <x:alignment vertical="top" wrapText="1"/>
    </x:xf>
    <x:xf numFmtId="0" fontId="1" fillId="3" borderId="12" xfId="0" applyNumberFormat="1" applyFont="1" applyFill="1" applyBorder="1" applyAlignment="1">
      <x:alignment vertical="center" wrapText="1"/>
    </x:xf>
    <x:xf numFmtId="201" fontId="1" fillId="3" borderId="12" xfId="0" applyNumberFormat="1" applyFont="1" applyFill="1" applyBorder="1" applyAlignment="1">
      <x:alignment vertical="center" wrapText="1"/>
    </x:xf>
    <x:xf numFmtId="200" fontId="1" fillId="17" borderId="0" xfId="0" applyNumberFormat="1" applyFont="1" applyFill="1" applyBorder="1" applyAlignment="1">
      <x:alignment vertical="center"/>
    </x:xf>
    <x:xf numFmtId="0" fontId="1" fillId="17" borderId="0" xfId="0" applyNumberFormat="1" applyFont="1" applyFill="1" applyBorder="1" applyAlignment="1">
      <x:alignment vertical="center"/>
    </x:xf>
    <x:xf numFmtId="0" fontId="15" fillId="17" borderId="0" xfId="0" applyNumberFormat="1" applyFont="1" applyFill="1" applyBorder="1" applyAlignment="1">
      <x:alignment vertical="center"/>
    </x:xf>
    <x:xf numFmtId="200" fontId="1" fillId="17" borderId="13" xfId="0" applyNumberFormat="1" applyFont="1" applyFill="1" applyBorder="1" applyAlignment="1">
      <x:alignment vertical="center"/>
    </x:xf>
    <x:xf numFmtId="0" fontId="15" fillId="17" borderId="13" xfId="0" applyNumberFormat="1" applyFont="1" applyFill="1" applyBorder="1" applyAlignment="1">
      <x:alignment vertical="center"/>
    </x:xf>
    <x:xf numFmtId="0" fontId="1" fillId="17" borderId="13" xfId="0" applyNumberFormat="1" applyFont="1" applyFill="1" applyBorder="1" applyAlignment="1">
      <x:alignment vertical="center"/>
    </x:xf>
    <x:xf numFmtId="0" fontId="1" fillId="4" borderId="13" xfId="0" applyNumberFormat="1" applyFont="1" applyFill="1" applyBorder="1" applyAlignment="1">
      <x:alignment vertical="top" wrapText="1"/>
    </x:xf>
    <x:xf numFmtId="0" fontId="1" fillId="3" borderId="13" xfId="0" applyNumberFormat="1" applyFont="1" applyFill="1" applyBorder="1" applyAlignment="1">
      <x:alignment vertical="center" wrapText="1"/>
    </x:xf>
    <x:xf numFmtId="201" fontId="1" fillId="3" borderId="13" xfId="0" applyNumberFormat="1" applyFont="1" applyFill="1" applyBorder="1" applyAlignment="1">
      <x:alignment vertical="center" wrapText="1"/>
    </x:xf>
    <x:xf numFmtId="0" fontId="16" fillId="10" borderId="0" xfId="0" applyNumberFormat="1" applyFont="1" applyFill="1" applyBorder="1" applyAlignment="1">
      <x:alignment vertical="center"/>
    </x:xf>
    <x:xf numFmtId="200" fontId="1" fillId="10" borderId="14" xfId="0" applyNumberFormat="1" applyFont="1" applyFill="1" applyBorder="1" applyAlignment="1">
      <x:alignment vertical="center"/>
    </x:xf>
    <x:xf numFmtId="0" fontId="16" fillId="10" borderId="14" xfId="0" applyNumberFormat="1" applyFont="1" applyFill="1" applyBorder="1" applyAlignment="1">
      <x:alignment vertical="center"/>
    </x:xf>
    <x:xf numFmtId="0" fontId="1" fillId="10" borderId="14" xfId="0" applyNumberFormat="1" applyFont="1" applyFill="1" applyBorder="1" applyAlignment="1">
      <x:alignment vertical="center"/>
    </x:xf>
    <x:xf numFmtId="0" fontId="1" fillId="5" borderId="14" xfId="0" applyNumberFormat="1" applyFont="1" applyFill="1" applyBorder="1" applyAlignment="1">
      <x:alignment vertical="top" wrapText="1"/>
    </x:xf>
    <x:xf numFmtId="0" fontId="1" fillId="3" borderId="14" xfId="0" applyNumberFormat="1" applyFont="1" applyFill="1" applyBorder="1" applyAlignment="1">
      <x:alignment vertical="center" wrapText="1"/>
    </x:xf>
    <x:xf numFmtId="201" fontId="1" fillId="3" borderId="14" xfId="0" applyNumberFormat="1" applyFont="1" applyFill="1" applyBorder="1" applyAlignment="1">
      <x:alignment vertical="center" wrapText="1"/>
    </x:xf>
    <x:xf numFmtId="0" fontId="17" fillId="12" borderId="0" xfId="0" applyNumberFormat="1" applyFont="1" applyFill="1" applyBorder="1" applyAlignment="1">
      <x:alignment vertical="center"/>
    </x:xf>
    <x:xf numFmtId="200" fontId="1" fillId="12" borderId="15" xfId="0" applyNumberFormat="1" applyFont="1" applyFill="1" applyBorder="1" applyAlignment="1">
      <x:alignment vertical="center"/>
    </x:xf>
    <x:xf numFmtId="0" fontId="17" fillId="12" borderId="15" xfId="0" applyNumberFormat="1" applyFont="1" applyFill="1" applyBorder="1" applyAlignment="1">
      <x:alignment vertical="center"/>
    </x:xf>
    <x:xf numFmtId="0" fontId="1" fillId="12" borderId="15" xfId="0" applyNumberFormat="1" applyFont="1" applyFill="1" applyBorder="1" applyAlignment="1">
      <x:alignment vertical="center"/>
    </x:xf>
    <x:xf numFmtId="0" fontId="1" fillId="4" borderId="15" xfId="0" applyNumberFormat="1" applyFont="1" applyFill="1" applyBorder="1" applyAlignment="1">
      <x:alignment vertical="top" wrapText="1"/>
    </x:xf>
    <x:xf numFmtId="0" fontId="1" fillId="3" borderId="15" xfId="0" applyNumberFormat="1" applyFont="1" applyFill="1" applyBorder="1" applyAlignment="1">
      <x:alignment vertical="center" wrapText="1"/>
    </x:xf>
    <x:xf numFmtId="201" fontId="1" fillId="3" borderId="15" xfId="0" applyNumberFormat="1" applyFont="1" applyFill="1" applyBorder="1" applyAlignment="1">
      <x:alignment vertical="center" wrapText="1"/>
    </x:xf>
    <x:xf numFmtId="200" fontId="1" fillId="18" borderId="0" xfId="0" applyNumberFormat="1" applyFont="1" applyFill="1" applyBorder="1" applyAlignment="1">
      <x:alignment vertical="center"/>
    </x:xf>
    <x:xf numFmtId="0" fontId="1" fillId="18" borderId="0" xfId="0" applyNumberFormat="1" applyFont="1" applyFill="1" applyBorder="1" applyAlignment="1">
      <x:alignment vertical="center"/>
    </x:xf>
    <x:xf numFmtId="0" fontId="18" fillId="18" borderId="0" xfId="0" applyNumberFormat="1" applyFont="1" applyFill="1" applyBorder="1" applyAlignment="1">
      <x:alignment vertical="center"/>
    </x:xf>
    <x:xf numFmtId="200" fontId="1" fillId="18" borderId="16" xfId="0" applyNumberFormat="1" applyFont="1" applyFill="1" applyBorder="1" applyAlignment="1">
      <x:alignment vertical="center"/>
    </x:xf>
    <x:xf numFmtId="0" fontId="18" fillId="18" borderId="16" xfId="0" applyNumberFormat="1" applyFont="1" applyFill="1" applyBorder="1" applyAlignment="1">
      <x:alignment vertical="center"/>
    </x:xf>
    <x:xf numFmtId="0" fontId="1" fillId="18" borderId="16" xfId="0" applyNumberFormat="1" applyFont="1" applyFill="1" applyBorder="1" applyAlignment="1">
      <x:alignment vertical="center"/>
    </x:xf>
    <x:xf numFmtId="0" fontId="1" fillId="5" borderId="16" xfId="0" applyNumberFormat="1" applyFont="1" applyFill="1" applyBorder="1" applyAlignment="1">
      <x:alignment vertical="top" wrapText="1"/>
    </x:xf>
    <x:xf numFmtId="0" fontId="1" fillId="3" borderId="16" xfId="0" applyNumberFormat="1" applyFont="1" applyFill="1" applyBorder="1" applyAlignment="1">
      <x:alignment vertical="center" wrapText="1"/>
    </x:xf>
    <x:xf numFmtId="201" fontId="1" fillId="3" borderId="16" xfId="0" applyNumberFormat="1" applyFont="1" applyFill="1" applyBorder="1" applyAlignment="1">
      <x:alignment vertical="center" wrapText="1"/>
    </x:xf>
    <x:xf numFmtId="200" fontId="1" fillId="19" borderId="0" xfId="0" applyNumberFormat="1" applyFont="1" applyFill="1" applyBorder="1" applyAlignment="1">
      <x:alignment vertical="center"/>
    </x:xf>
    <x:xf numFmtId="0" fontId="1" fillId="19" borderId="0" xfId="0" applyNumberFormat="1" applyFont="1" applyFill="1" applyBorder="1" applyAlignment="1">
      <x:alignment vertical="center"/>
    </x:xf>
    <x:xf numFmtId="0" fontId="19" fillId="19" borderId="0" xfId="0" applyNumberFormat="1" applyFont="1" applyFill="1" applyBorder="1" applyAlignment="1">
      <x:alignment vertical="center"/>
    </x:xf>
    <x:xf numFmtId="200" fontId="1" fillId="19" borderId="17" xfId="0" applyNumberFormat="1" applyFont="1" applyFill="1" applyBorder="1" applyAlignment="1">
      <x:alignment vertical="center"/>
    </x:xf>
    <x:xf numFmtId="0" fontId="19" fillId="19" borderId="17" xfId="0" applyNumberFormat="1" applyFont="1" applyFill="1" applyBorder="1" applyAlignment="1">
      <x:alignment vertical="center"/>
    </x:xf>
    <x:xf numFmtId="0" fontId="1" fillId="19" borderId="17" xfId="0" applyNumberFormat="1" applyFont="1" applyFill="1" applyBorder="1" applyAlignment="1">
      <x:alignment vertical="center"/>
    </x:xf>
    <x:xf numFmtId="0" fontId="1" fillId="4" borderId="17" xfId="0" applyNumberFormat="1" applyFont="1" applyFill="1" applyBorder="1" applyAlignment="1">
      <x:alignment vertical="top" wrapText="1"/>
    </x:xf>
    <x:xf numFmtId="0" fontId="1" fillId="3" borderId="17" xfId="0" applyNumberFormat="1" applyFont="1" applyFill="1" applyBorder="1" applyAlignment="1">
      <x:alignment vertical="center" wrapText="1"/>
    </x:xf>
    <x:xf numFmtId="201" fontId="1" fillId="3" borderId="17" xfId="0" applyNumberFormat="1" applyFont="1" applyFill="1" applyBorder="1" applyAlignment="1">
      <x:alignment vertical="center" wrapText="1"/>
    </x:xf>
    <x:xf numFmtId="200" fontId="1" fillId="6" borderId="2" xfId="0" applyNumberFormat="1" applyFont="1" applyFill="1" applyBorder="1" applyAlignment="1">
      <x:alignment vertical="center" wrapText="1"/>
    </x:xf>
    <x:xf numFmtId="0" fontId="4" fillId="6" borderId="2" xfId="0" applyNumberFormat="1" applyFont="1" applyFill="1" applyBorder="1" applyAlignment="1">
      <x:alignment vertical="center" wrapText="1"/>
    </x:xf>
    <x:xf numFmtId="0" fontId="1" fillId="6" borderId="2" xfId="0" applyNumberFormat="1" applyFont="1" applyFill="1" applyBorder="1" applyAlignment="1">
      <x:alignment vertical="center" wrapText="1"/>
    </x:xf>
    <x:xf numFmtId="200" fontId="1" fillId="6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200" fontId="1" fillId="7" borderId="3" xfId="0" applyNumberFormat="1" applyFont="1" applyFill="1" applyBorder="1" applyAlignment="1">
      <x:alignment vertical="center" wrapText="1"/>
    </x:xf>
    <x:xf numFmtId="0" fontId="5" fillId="7" borderId="3" xfId="0" applyNumberFormat="1" applyFont="1" applyFill="1" applyBorder="1" applyAlignment="1">
      <x:alignment vertical="center" wrapText="1"/>
    </x:xf>
    <x:xf numFmtId="0" fontId="1" fillId="7" borderId="3" xfId="0" applyNumberFormat="1" applyFont="1" applyFill="1" applyBorder="1" applyAlignment="1">
      <x:alignment vertical="center" wrapText="1"/>
    </x:xf>
    <x:xf numFmtId="200" fontId="1" fillId="7" borderId="0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200" fontId="1" fillId="8" borderId="4" xfId="0" applyNumberFormat="1" applyFont="1" applyFill="1" applyBorder="1" applyAlignment="1">
      <x:alignment vertical="center" wrapText="1"/>
    </x:xf>
    <x:xf numFmtId="0" fontId="6" fillId="8" borderId="4" xfId="0" applyNumberFormat="1" applyFont="1" applyFill="1" applyBorder="1" applyAlignment="1">
      <x:alignment vertical="center" wrapText="1"/>
    </x:xf>
    <x:xf numFmtId="0" fontId="1" fillId="8" borderId="4" xfId="0" applyNumberFormat="1" applyFont="1" applyFill="1" applyBorder="1" applyAlignment="1">
      <x:alignment vertical="center" wrapText="1"/>
    </x:xf>
    <x:xf numFmtId="200" fontId="1" fillId="8" borderId="0" xfId="0" applyNumberFormat="1" applyFont="1" applyFill="1" applyBorder="1" applyAlignment="1">
      <x:alignment vertical="center" wrapText="1"/>
    </x:xf>
    <x:xf numFmtId="0" fontId="6" fillId="8" borderId="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200" fontId="1" fillId="9" borderId="5" xfId="0" applyNumberFormat="1" applyFont="1" applyFill="1" applyBorder="1" applyAlignment="1">
      <x:alignment vertical="center" wrapText="1"/>
    </x:xf>
    <x:xf numFmtId="0" fontId="7" fillId="9" borderId="5" xfId="0" applyNumberFormat="1" applyFont="1" applyFill="1" applyBorder="1" applyAlignment="1">
      <x:alignment vertical="center" wrapText="1"/>
    </x:xf>
    <x:xf numFmtId="0" fontId="1" fillId="9" borderId="5" xfId="0" applyNumberFormat="1" applyFont="1" applyFill="1" applyBorder="1" applyAlignment="1">
      <x:alignment vertical="center" wrapText="1"/>
    </x:xf>
    <x:xf numFmtId="200" fontId="1" fillId="9" borderId="0" xfId="0" applyNumberFormat="1" applyFont="1" applyFill="1" applyBorder="1" applyAlignment="1">
      <x:alignment vertical="center" wrapText="1"/>
    </x:xf>
    <x:xf numFmtId="0" fontId="7" fillId="9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200" fontId="1" fillId="10" borderId="6" xfId="0" applyNumberFormat="1" applyFont="1" applyFill="1" applyBorder="1" applyAlignment="1">
      <x:alignment vertical="center" wrapText="1"/>
    </x:xf>
    <x:xf numFmtId="0" fontId="8" fillId="10" borderId="6" xfId="0" applyNumberFormat="1" applyFont="1" applyFill="1" applyBorder="1" applyAlignment="1">
      <x:alignment vertical="center" wrapText="1"/>
    </x:xf>
    <x:xf numFmtId="0" fontId="1" fillId="10" borderId="6" xfId="0" applyNumberFormat="1" applyFont="1" applyFill="1" applyBorder="1" applyAlignment="1">
      <x:alignment vertical="center" wrapText="1"/>
    </x:xf>
    <x:xf numFmtId="200" fontId="1" fillId="10" borderId="0" xfId="0" applyNumberFormat="1" applyFont="1" applyFill="1" applyBorder="1" applyAlignment="1">
      <x:alignment vertical="center" wrapText="1"/>
    </x:xf>
    <x:xf numFmtId="0" fontId="8" fillId="10" borderId="0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vertical="center" wrapText="1"/>
    </x:xf>
    <x:xf numFmtId="200" fontId="1" fillId="11" borderId="7" xfId="0" applyNumberFormat="1" applyFont="1" applyFill="1" applyBorder="1" applyAlignment="1">
      <x:alignment vertical="center" wrapText="1"/>
    </x:xf>
    <x:xf numFmtId="0" fontId="9" fillId="11" borderId="7" xfId="0" applyNumberFormat="1" applyFont="1" applyFill="1" applyBorder="1" applyAlignment="1">
      <x:alignment vertical="center" wrapText="1"/>
    </x:xf>
    <x:xf numFmtId="0" fontId="1" fillId="11" borderId="7" xfId="0" applyNumberFormat="1" applyFont="1" applyFill="1" applyBorder="1" applyAlignment="1">
      <x:alignment vertical="center" wrapText="1"/>
    </x:xf>
    <x:xf numFmtId="200" fontId="1" fillId="11" borderId="0" xfId="0" applyNumberFormat="1" applyFont="1" applyFill="1" applyBorder="1" applyAlignment="1">
      <x:alignment vertical="center" wrapText="1"/>
    </x:xf>
    <x:xf numFmtId="0" fontId="9" fillId="11" borderId="0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 applyAlignment="1">
      <x:alignment vertical="center" wrapText="1"/>
    </x:xf>
    <x:xf numFmtId="200" fontId="1" fillId="12" borderId="8" xfId="0" applyNumberFormat="1" applyFont="1" applyFill="1" applyBorder="1" applyAlignment="1">
      <x:alignment vertical="center" wrapText="1"/>
    </x:xf>
    <x:xf numFmtId="0" fontId="10" fillId="12" borderId="8" xfId="0" applyNumberFormat="1" applyFont="1" applyFill="1" applyBorder="1" applyAlignment="1">
      <x:alignment vertical="center" wrapText="1"/>
    </x:xf>
    <x:xf numFmtId="0" fontId="1" fillId="12" borderId="8" xfId="0" applyNumberFormat="1" applyFont="1" applyFill="1" applyBorder="1" applyAlignment="1">
      <x:alignment vertical="center" wrapText="1"/>
    </x:xf>
    <x:xf numFmtId="200" fontId="1" fillId="12" borderId="0" xfId="0" applyNumberFormat="1" applyFont="1" applyFill="1" applyBorder="1" applyAlignment="1">
      <x:alignment vertical="center" wrapText="1"/>
    </x:xf>
    <x:xf numFmtId="0" fontId="10" fillId="12" borderId="0" xfId="0" applyNumberFormat="1" applyFont="1" applyFill="1" applyBorder="1" applyAlignment="1">
      <x:alignment vertical="center" wrapText="1"/>
    </x:xf>
    <x:xf numFmtId="0" fontId="1" fillId="12" borderId="0" xfId="0" applyNumberFormat="1" applyFont="1" applyFill="1" applyBorder="1" applyAlignment="1">
      <x:alignment vertical="center" wrapText="1"/>
    </x:xf>
    <x:xf numFmtId="200" fontId="1" fillId="13" borderId="9" xfId="0" applyNumberFormat="1" applyFont="1" applyFill="1" applyBorder="1" applyAlignment="1">
      <x:alignment vertical="center" wrapText="1"/>
    </x:xf>
    <x:xf numFmtId="0" fontId="11" fillId="13" borderId="9" xfId="0" applyNumberFormat="1" applyFont="1" applyFill="1" applyBorder="1" applyAlignment="1">
      <x:alignment vertical="center" wrapText="1"/>
    </x:xf>
    <x:xf numFmtId="0" fontId="1" fillId="13" borderId="9" xfId="0" applyNumberFormat="1" applyFont="1" applyFill="1" applyBorder="1" applyAlignment="1">
      <x:alignment vertical="center" wrapText="1"/>
    </x:xf>
    <x:xf numFmtId="200" fontId="1" fillId="13" borderId="0" xfId="0" applyNumberFormat="1" applyFont="1" applyFill="1" applyBorder="1" applyAlignment="1">
      <x:alignment vertical="center" wrapText="1"/>
    </x:xf>
    <x:xf numFmtId="0" fontId="11" fillId="13" borderId="0" xfId="0" applyNumberFormat="1" applyFont="1" applyFill="1" applyBorder="1" applyAlignment="1">
      <x:alignment vertical="center" wrapText="1"/>
    </x:xf>
    <x:xf numFmtId="0" fontId="1" fillId="13" borderId="0" xfId="0" applyNumberFormat="1" applyFont="1" applyFill="1" applyBorder="1" applyAlignment="1">
      <x:alignment vertical="center" wrapText="1"/>
    </x:xf>
    <x:xf numFmtId="200" fontId="1" fillId="14" borderId="10" xfId="0" applyNumberFormat="1" applyFont="1" applyFill="1" applyBorder="1" applyAlignment="1">
      <x:alignment vertical="center" wrapText="1"/>
    </x:xf>
    <x:xf numFmtId="0" fontId="12" fillId="14" borderId="10" xfId="0" applyNumberFormat="1" applyFont="1" applyFill="1" applyBorder="1" applyAlignment="1">
      <x:alignment vertical="center" wrapText="1"/>
    </x:xf>
    <x:xf numFmtId="0" fontId="1" fillId="14" borderId="10" xfId="0" applyNumberFormat="1" applyFont="1" applyFill="1" applyBorder="1" applyAlignment="1">
      <x:alignment vertical="center" wrapText="1"/>
    </x:xf>
    <x:xf numFmtId="200" fontId="1" fillId="14" borderId="0" xfId="0" applyNumberFormat="1" applyFont="1" applyFill="1" applyBorder="1" applyAlignment="1">
      <x:alignment vertical="center" wrapText="1"/>
    </x:xf>
    <x:xf numFmtId="0" fontId="12" fillId="14" borderId="0" xfId="0" applyNumberFormat="1" applyFont="1" applyFill="1" applyBorder="1" applyAlignment="1">
      <x:alignment vertical="center" wrapText="1"/>
    </x:xf>
    <x:xf numFmtId="0" fontId="1" fillId="14" borderId="0" xfId="0" applyNumberFormat="1" applyFont="1" applyFill="1" applyBorder="1" applyAlignment="1">
      <x:alignment vertical="center" wrapText="1"/>
    </x:xf>
    <x:xf numFmtId="200" fontId="1" fillId="15" borderId="11" xfId="0" applyNumberFormat="1" applyFont="1" applyFill="1" applyBorder="1" applyAlignment="1">
      <x:alignment vertical="center" wrapText="1"/>
    </x:xf>
    <x:xf numFmtId="0" fontId="13" fillId="15" borderId="11" xfId="0" applyNumberFormat="1" applyFont="1" applyFill="1" applyBorder="1" applyAlignment="1">
      <x:alignment vertical="center" wrapText="1"/>
    </x:xf>
    <x:xf numFmtId="0" fontId="1" fillId="15" borderId="11" xfId="0" applyNumberFormat="1" applyFont="1" applyFill="1" applyBorder="1" applyAlignment="1">
      <x:alignment vertical="center" wrapText="1"/>
    </x:xf>
    <x:xf numFmtId="200" fontId="1" fillId="15" borderId="0" xfId="0" applyNumberFormat="1" applyFont="1" applyFill="1" applyBorder="1" applyAlignment="1">
      <x:alignment vertical="center" wrapText="1"/>
    </x:xf>
    <x:xf numFmtId="0" fontId="13" fillId="15" borderId="0" xfId="0" applyNumberFormat="1" applyFont="1" applyFill="1" applyBorder="1" applyAlignment="1">
      <x:alignment vertical="center" wrapText="1"/>
    </x:xf>
    <x:xf numFmtId="0" fontId="1" fillId="15" borderId="0" xfId="0" applyNumberFormat="1" applyFont="1" applyFill="1" applyBorder="1" applyAlignment="1">
      <x:alignment vertical="center" wrapText="1"/>
    </x:xf>
    <x:xf numFmtId="200" fontId="1" fillId="16" borderId="12" xfId="0" applyNumberFormat="1" applyFont="1" applyFill="1" applyBorder="1" applyAlignment="1">
      <x:alignment vertical="center" wrapText="1"/>
    </x:xf>
    <x:xf numFmtId="0" fontId="14" fillId="16" borderId="12" xfId="0" applyNumberFormat="1" applyFont="1" applyFill="1" applyBorder="1" applyAlignment="1">
      <x:alignment vertical="center" wrapText="1"/>
    </x:xf>
    <x:xf numFmtId="0" fontId="1" fillId="16" borderId="12" xfId="0" applyNumberFormat="1" applyFont="1" applyFill="1" applyBorder="1" applyAlignment="1">
      <x:alignment vertical="center" wrapText="1"/>
    </x:xf>
    <x:xf numFmtId="200" fontId="1" fillId="16" borderId="0" xfId="0" applyNumberFormat="1" applyFont="1" applyFill="1" applyBorder="1" applyAlignment="1">
      <x:alignment vertical="center" wrapText="1"/>
    </x:xf>
    <x:xf numFmtId="0" fontId="14" fillId="16" borderId="0" xfId="0" applyNumberFormat="1" applyFont="1" applyFill="1" applyBorder="1" applyAlignment="1">
      <x:alignment vertical="center" wrapText="1"/>
    </x:xf>
    <x:xf numFmtId="0" fontId="1" fillId="16" borderId="0" xfId="0" applyNumberFormat="1" applyFont="1" applyFill="1" applyBorder="1" applyAlignment="1">
      <x:alignment vertical="center" wrapText="1"/>
    </x:xf>
    <x:xf numFmtId="200" fontId="1" fillId="17" borderId="13" xfId="0" applyNumberFormat="1" applyFont="1" applyFill="1" applyBorder="1" applyAlignment="1">
      <x:alignment vertical="center" wrapText="1"/>
    </x:xf>
    <x:xf numFmtId="0" fontId="15" fillId="17" borderId="13" xfId="0" applyNumberFormat="1" applyFont="1" applyFill="1" applyBorder="1" applyAlignment="1">
      <x:alignment vertical="center" wrapText="1"/>
    </x:xf>
    <x:xf numFmtId="0" fontId="1" fillId="17" borderId="13" xfId="0" applyNumberFormat="1" applyFont="1" applyFill="1" applyBorder="1" applyAlignment="1">
      <x:alignment vertical="center" wrapText="1"/>
    </x:xf>
    <x:xf numFmtId="200" fontId="1" fillId="17" borderId="0" xfId="0" applyNumberFormat="1" applyFont="1" applyFill="1" applyBorder="1" applyAlignment="1">
      <x:alignment vertical="center" wrapText="1"/>
    </x:xf>
    <x:xf numFmtId="0" fontId="15" fillId="17" borderId="0" xfId="0" applyNumberFormat="1" applyFont="1" applyFill="1" applyBorder="1" applyAlignment="1">
      <x:alignment vertical="center" wrapText="1"/>
    </x:xf>
    <x:xf numFmtId="0" fontId="1" fillId="17" borderId="0" xfId="0" applyNumberFormat="1" applyFont="1" applyFill="1" applyBorder="1" applyAlignment="1">
      <x:alignment vertical="center" wrapText="1"/>
    </x:xf>
    <x:xf numFmtId="200" fontId="1" fillId="10" borderId="14" xfId="0" applyNumberFormat="1" applyFont="1" applyFill="1" applyBorder="1" applyAlignment="1">
      <x:alignment vertical="center" wrapText="1"/>
    </x:xf>
    <x:xf numFmtId="0" fontId="16" fillId="10" borderId="14" xfId="0" applyNumberFormat="1" applyFont="1" applyFill="1" applyBorder="1" applyAlignment="1">
      <x:alignment vertical="center" wrapText="1"/>
    </x:xf>
    <x:xf numFmtId="0" fontId="1" fillId="10" borderId="14" xfId="0" applyNumberFormat="1" applyFont="1" applyFill="1" applyBorder="1" applyAlignment="1">
      <x:alignment vertical="center" wrapText="1"/>
    </x:xf>
    <x:xf numFmtId="0" fontId="16" fillId="10" borderId="0" xfId="0" applyNumberFormat="1" applyFont="1" applyFill="1" applyBorder="1" applyAlignment="1">
      <x:alignment vertical="center" wrapText="1"/>
    </x:xf>
    <x:xf numFmtId="200" fontId="1" fillId="12" borderId="15" xfId="0" applyNumberFormat="1" applyFont="1" applyFill="1" applyBorder="1" applyAlignment="1">
      <x:alignment vertical="center" wrapText="1"/>
    </x:xf>
    <x:xf numFmtId="0" fontId="17" fillId="12" borderId="15" xfId="0" applyNumberFormat="1" applyFont="1" applyFill="1" applyBorder="1" applyAlignment="1">
      <x:alignment vertical="center" wrapText="1"/>
    </x:xf>
    <x:xf numFmtId="0" fontId="1" fillId="12" borderId="15" xfId="0" applyNumberFormat="1" applyFont="1" applyFill="1" applyBorder="1" applyAlignment="1">
      <x:alignment vertical="center" wrapText="1"/>
    </x:xf>
    <x:xf numFmtId="0" fontId="17" fillId="12" borderId="0" xfId="0" applyNumberFormat="1" applyFont="1" applyFill="1" applyBorder="1" applyAlignment="1">
      <x:alignment vertical="center" wrapText="1"/>
    </x:xf>
    <x:xf numFmtId="200" fontId="1" fillId="18" borderId="16" xfId="0" applyNumberFormat="1" applyFont="1" applyFill="1" applyBorder="1" applyAlignment="1">
      <x:alignment vertical="center" wrapText="1"/>
    </x:xf>
    <x:xf numFmtId="0" fontId="18" fillId="18" borderId="16" xfId="0" applyNumberFormat="1" applyFont="1" applyFill="1" applyBorder="1" applyAlignment="1">
      <x:alignment vertical="center" wrapText="1"/>
    </x:xf>
    <x:xf numFmtId="0" fontId="1" fillId="18" borderId="16" xfId="0" applyNumberFormat="1" applyFont="1" applyFill="1" applyBorder="1" applyAlignment="1">
      <x:alignment vertical="center" wrapText="1"/>
    </x:xf>
    <x:xf numFmtId="200" fontId="1" fillId="18" borderId="0" xfId="0" applyNumberFormat="1" applyFont="1" applyFill="1" applyBorder="1" applyAlignment="1">
      <x:alignment vertical="center" wrapText="1"/>
    </x:xf>
    <x:xf numFmtId="0" fontId="18" fillId="18" borderId="0" xfId="0" applyNumberFormat="1" applyFont="1" applyFill="1" applyBorder="1" applyAlignment="1">
      <x:alignment vertical="center" wrapText="1"/>
    </x:xf>
    <x:xf numFmtId="0" fontId="1" fillId="18" borderId="0" xfId="0" applyNumberFormat="1" applyFont="1" applyFill="1" applyBorder="1" applyAlignment="1">
      <x:alignment vertical="center" wrapText="1"/>
    </x:xf>
    <x:xf numFmtId="200" fontId="1" fillId="19" borderId="17" xfId="0" applyNumberFormat="1" applyFont="1" applyFill="1" applyBorder="1" applyAlignment="1">
      <x:alignment vertical="center" wrapText="1"/>
    </x:xf>
    <x:xf numFmtId="0" fontId="19" fillId="19" borderId="17" xfId="0" applyNumberFormat="1" applyFont="1" applyFill="1" applyBorder="1" applyAlignment="1">
      <x:alignment vertical="center" wrapText="1"/>
    </x:xf>
    <x:xf numFmtId="0" fontId="1" fillId="19" borderId="17" xfId="0" applyNumberFormat="1" applyFont="1" applyFill="1" applyBorder="1" applyAlignment="1">
      <x:alignment vertical="center" wrapText="1"/>
    </x:xf>
    <x:xf numFmtId="200" fontId="1" fillId="19" borderId="0" xfId="0" applyNumberFormat="1" applyFont="1" applyFill="1" applyBorder="1" applyAlignment="1">
      <x:alignment vertical="center" wrapText="1"/>
    </x:xf>
    <x:xf numFmtId="0" fontId="19" fillId="19" borderId="0" xfId="0" applyNumberFormat="1" applyFont="1" applyFill="1" applyBorder="1" applyAlignment="1">
      <x:alignment vertical="center" wrapText="1"/>
    </x:xf>
    <x:xf numFmtId="0" fontId="1" fillId="19" borderId="0" xfId="0" applyNumberFormat="1" applyFont="1" applyFill="1" applyBorder="1" applyAlignment="1">
      <x:alignment vertical="center" wrapText="1"/>
    </x:xf>
    <x:xf numFmtId="0" fontId="20" fillId="0" borderId="0" xfId="0" applyNumberFormat="1" applyFont="1" applyFill="1" applyBorder="1" applyAlignment="1">
      <x:alignment vertical="center"/>
    </x:xf>
    <x:xf numFmtId="0" fontId="21" fillId="0" borderId="0" xfId="0" applyNumberFormat="1" applyFont="1" applyFill="1" applyBorder="1" applyAlignment="1">
      <x:alignment vertical="center"/>
    </x:xf>
    <x:xf numFmtId="0" fontId="21" fillId="0" borderId="0" xfId="0" applyNumberFormat="1" applyFont="1" applyFill="1" applyBorder="1" applyAlignment="1">
      <x:alignment horizontal="center" vertical="center"/>
    </x:xf>
    <x:xf numFmtId="202" fontId="21" fillId="0" borderId="0" xfId="0" applyNumberFormat="1" applyFont="1" applyFill="1" applyBorder="1" applyAlignment="1">
      <x:alignment horizontal="center" vertical="center"/>
    </x:xf>
    <x:xf numFmtId="0" fontId="21" fillId="20" borderId="0" xfId="0" applyNumberFormat="1" applyFont="1" applyFill="1" applyBorder="1" applyAlignment="1">
      <x:alignment horizontal="center" vertical="center"/>
    </x:xf>
    <x:xf numFmtId="0" fontId="21" fillId="21" borderId="0" xfId="0" applyNumberFormat="1" applyFont="1" applyFill="1" applyBorder="1" applyAlignment="1">
      <x:alignment horizontal="center" vertical="center"/>
    </x:xf>
    <x:xf numFmtId="0" fontId="21" fillId="22" borderId="0" xfId="0" applyNumberFormat="1" applyFont="1" applyFill="1" applyBorder="1" applyAlignment="1">
      <x:alignment horizontal="center" vertical="center"/>
    </x:xf>
    <x:xf numFmtId="0" fontId="21" fillId="23" borderId="0" xfId="0" applyNumberFormat="1" applyFont="1" applyFill="1" applyBorder="1" applyAlignment="1">
      <x:alignment horizontal="center" vertical="center"/>
    </x:xf>
    <x:xf numFmtId="0" fontId="21" fillId="18" borderId="0" xfId="0" applyNumberFormat="1" applyFont="1" applyFill="1" applyBorder="1" applyAlignment="1">
      <x:alignment horizontal="center" vertical="center"/>
    </x:xf>
    <x:xf numFmtId="0" fontId="21" fillId="24" borderId="0" xfId="0" applyNumberFormat="1" applyFont="1" applyFill="1" applyBorder="1" applyAlignment="1">
      <x:alignment horizontal="center" vertical="center"/>
    </x:xf>
    <x:xf numFmtId="202" fontId="21" fillId="25" borderId="0" xfId="0" applyNumberFormat="1" applyFont="1" applyFill="1" applyBorder="1" applyAlignment="1">
      <x:alignment horizontal="center" vertical="center"/>
    </x:xf>
    <x:xf numFmtId="202" fontId="21" fillId="26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202" fontId="1" fillId="6" borderId="0" xfId="0" applyNumberFormat="1" applyFont="1" applyFill="1" applyBorder="1" applyAlignment="1">
      <x:alignment vertical="center"/>
    </x:xf>
    <x:xf numFmtId="202" fontId="1" fillId="7" borderId="0" xfId="0" applyNumberFormat="1" applyFont="1" applyFill="1" applyBorder="1" applyAlignment="1">
      <x:alignment vertical="center"/>
    </x:xf>
    <x:xf numFmtId="202" fontId="1" fillId="8" borderId="0" xfId="0" applyNumberFormat="1" applyFont="1" applyFill="1" applyBorder="1" applyAlignment="1">
      <x:alignment vertical="center"/>
    </x:xf>
    <x:xf numFmtId="202" fontId="1" fillId="9" borderId="0" xfId="0" applyNumberFormat="1" applyFont="1" applyFill="1" applyBorder="1" applyAlignment="1">
      <x:alignment vertical="center"/>
    </x:xf>
    <x:xf numFmtId="202" fontId="1" fillId="10" borderId="0" xfId="0" applyNumberFormat="1" applyFont="1" applyFill="1" applyBorder="1" applyAlignment="1">
      <x:alignment vertical="center"/>
    </x:xf>
    <x:xf numFmtId="202" fontId="1" fillId="11" borderId="0" xfId="0" applyNumberFormat="1" applyFont="1" applyFill="1" applyBorder="1" applyAlignment="1">
      <x:alignment vertical="center"/>
    </x:xf>
    <x:xf numFmtId="202" fontId="1" fillId="12" borderId="0" xfId="0" applyNumberFormat="1" applyFont="1" applyFill="1" applyBorder="1" applyAlignment="1">
      <x:alignment vertical="center"/>
    </x:xf>
    <x:xf numFmtId="202" fontId="1" fillId="13" borderId="0" xfId="0" applyNumberFormat="1" applyFont="1" applyFill="1" applyBorder="1" applyAlignment="1">
      <x:alignment vertical="center"/>
    </x:xf>
    <x:xf numFmtId="202" fontId="1" fillId="14" borderId="0" xfId="0" applyNumberFormat="1" applyFont="1" applyFill="1" applyBorder="1" applyAlignment="1">
      <x:alignment vertical="center"/>
    </x:xf>
    <x:xf numFmtId="202" fontId="1" fillId="15" borderId="0" xfId="0" applyNumberFormat="1" applyFont="1" applyFill="1" applyBorder="1" applyAlignment="1">
      <x:alignment vertical="center"/>
    </x:xf>
    <x:xf numFmtId="202" fontId="1" fillId="16" borderId="0" xfId="0" applyNumberFormat="1" applyFont="1" applyFill="1" applyBorder="1" applyAlignment="1">
      <x:alignment vertical="center"/>
    </x:xf>
    <x:xf numFmtId="202" fontId="1" fillId="17" borderId="0" xfId="0" applyNumberFormat="1" applyFont="1" applyFill="1" applyBorder="1" applyAlignment="1">
      <x:alignment vertical="center"/>
    </x:xf>
    <x:xf numFmtId="202" fontId="1" fillId="18" borderId="0" xfId="0" applyNumberFormat="1" applyFont="1" applyFill="1" applyBorder="1" applyAlignment="1">
      <x:alignment vertical="center"/>
    </x:xf>
    <x:xf numFmtId="202" fontId="1" fillId="19" borderId="0" xfId="0" applyNumberFormat="1" applyFont="1" applyFill="1" applyBorder="1" applyAlignment="1">
      <x:alignment vertical="center"/>
    </x:xf>
    <x:xf numFmtId="0" fontId="22" fillId="0" borderId="0" xfId="0" applyNumberFormat="1" applyFont="1" applyFill="1" applyBorder="1" applyAlignment="1">
      <x:alignment vertical="center"/>
    </x:xf>
    <x:xf numFmtId="0" fontId="1" fillId="27" borderId="0" xfId="0" applyNumberFormat="1" applyFont="1" applyFill="1" applyBorder="1" applyAlignment="1">
      <x:alignment vertical="center" wrapText="1"/>
    </x:xf>
    <x:xf numFmtId="0" fontId="1" fillId="28" borderId="0" xfId="0" applyNumberFormat="1" applyFont="1" applyFill="1" applyBorder="1" applyAlignment="1">
      <x:alignment vertical="top" wrapText="1"/>
    </x:xf>
    <x:xf numFmtId="0" fontId="3" fillId="28" borderId="0" xfId="0" applyNumberFormat="1" applyFont="1" applyFill="1" applyBorder="1" applyAlignment="1">
      <x:alignment vertical="top" wrapText="1"/>
    </x:xf>
    <x:xf numFmtId="0" fontId="1" fillId="29" borderId="0" xfId="0" applyNumberFormat="1" applyFont="1" applyFill="1" applyBorder="1" applyAlignment="1">
      <x:alignment vertical="top" wrapText="1"/>
    </x:xf>
    <x:xf numFmtId="0" fontId="3" fillId="29" borderId="0" xfId="0" applyNumberFormat="1" applyFont="1" applyFill="1" applyBorder="1" applyAlignment="1">
      <x:alignment vertical="top" wrapText="1"/>
    </x:xf>
    <x:xf numFmtId="0" fontId="1" fillId="30" borderId="0" xfId="0" applyNumberFormat="1" applyFont="1" applyFill="1" applyBorder="1" applyAlignment="1">
      <x:alignment vertical="top" wrapText="1"/>
    </x:xf>
    <x:xf numFmtId="0" fontId="3" fillId="30" borderId="0" xfId="0" applyNumberFormat="1" applyFont="1" applyFill="1" applyBorder="1" applyAlignment="1">
      <x:alignment vertical="top" wrapText="1"/>
    </x:xf>
    <x:xf numFmtId="0" fontId="1" fillId="31" borderId="0" xfId="0" applyNumberFormat="1" applyFont="1" applyFill="1" applyBorder="1" applyAlignment="1">
      <x:alignment vertical="top" wrapText="1"/>
    </x:xf>
    <x:xf numFmtId="0" fontId="3" fillId="31" borderId="0" xfId="0" applyNumberFormat="1" applyFont="1" applyFill="1" applyBorder="1" applyAlignment="1">
      <x:alignment vertical="top" wrapText="1"/>
    </x:xf>
    <x:xf numFmtId="0" fontId="1" fillId="32" borderId="0" xfId="0" applyNumberFormat="1" applyFont="1" applyFill="1" applyBorder="1" applyAlignment="1">
      <x:alignment vertical="top" wrapText="1"/>
    </x:xf>
    <x:xf numFmtId="0" fontId="3" fillId="32" borderId="0" xfId="0" applyNumberFormat="1" applyFont="1" applyFill="1" applyBorder="1" applyAlignment="1">
      <x:alignment vertical="top" wrapText="1"/>
    </x:xf>
    <x:xf numFmtId="0" fontId="1" fillId="33" borderId="0" xfId="0" applyNumberFormat="1" applyFont="1" applyFill="1" applyBorder="1" applyAlignment="1">
      <x:alignment vertical="top" wrapText="1"/>
    </x:xf>
    <x:xf numFmtId="0" fontId="3" fillId="33" borderId="0" xfId="0" applyNumberFormat="1" applyFont="1" applyFill="1" applyBorder="1" applyAlignment="1">
      <x:alignment vertical="top" wrapText="1"/>
    </x:xf>
    <x:xf numFmtId="0" fontId="1" fillId="34" borderId="0" xfId="0" applyNumberFormat="1" applyFont="1" applyFill="1" applyBorder="1" applyAlignment="1">
      <x:alignment vertical="top" wrapText="1"/>
    </x:xf>
    <x:xf numFmtId="0" fontId="3" fillId="34" borderId="0" xfId="0" applyNumberFormat="1" applyFont="1" applyFill="1" applyBorder="1" applyAlignment="1">
      <x:alignment vertical="top" wrapText="1"/>
    </x:xf>
    <x:xf numFmtId="0" fontId="1" fillId="35" borderId="0" xfId="0" applyNumberFormat="1" applyFont="1" applyFill="1" applyBorder="1" applyAlignment="1">
      <x:alignment vertical="top" wrapText="1"/>
    </x:xf>
    <x:xf numFmtId="0" fontId="3" fillId="35" borderId="0" xfId="0" applyNumberFormat="1" applyFont="1" applyFill="1" applyBorder="1" applyAlignment="1">
      <x:alignment vertical="top" wrapText="1"/>
    </x:xf>
    <x:xf numFmtId="0" fontId="1" fillId="36" borderId="0" xfId="0" applyNumberFormat="1" applyFont="1" applyFill="1" applyBorder="1" applyAlignment="1">
      <x:alignment vertical="top" wrapText="1"/>
    </x:xf>
    <x:xf numFmtId="0" fontId="3" fillId="36" borderId="0" xfId="0" applyNumberFormat="1" applyFont="1" applyFill="1" applyBorder="1" applyAlignment="1">
      <x:alignment vertical="top" wrapText="1"/>
    </x:xf>
    <x:xf numFmtId="0" fontId="1" fillId="37" borderId="0" xfId="0" applyNumberFormat="1" applyFont="1" applyFill="1" applyBorder="1" applyAlignment="1">
      <x:alignment vertical="top" wrapText="1"/>
    </x:xf>
    <x:xf numFmtId="0" fontId="3" fillId="37" borderId="0" xfId="0" applyNumberFormat="1" applyFont="1" applyFill="1" applyBorder="1" applyAlignment="1">
      <x:alignment vertical="top" wrapText="1"/>
    </x:xf>
    <x:xf numFmtId="0" fontId="1" fillId="38" borderId="0" xfId="0" applyNumberFormat="1" applyFont="1" applyFill="1" applyBorder="1" applyAlignment="1">
      <x:alignment vertical="top" wrapText="1"/>
    </x:xf>
    <x:xf numFmtId="0" fontId="3" fillId="38" borderId="0" xfId="0" applyNumberFormat="1" applyFont="1" applyFill="1" applyBorder="1" applyAlignment="1">
      <x:alignment vertical="top" wrapText="1"/>
    </x:xf>
    <x:xf numFmtId="0" fontId="1" fillId="39" borderId="0" xfId="0" applyNumberFormat="1" applyFont="1" applyFill="1" applyBorder="1" applyAlignment="1">
      <x:alignment vertical="top" wrapText="1"/>
    </x:xf>
    <x:xf numFmtId="0" fontId="3" fillId="39" borderId="0" xfId="0" applyNumberFormat="1" applyFont="1" applyFill="1" applyBorder="1" applyAlignment="1">
      <x:alignment vertical="top" wrapText="1"/>
    </x:xf>
    <x:xf numFmtId="0" fontId="1" fillId="40" borderId="0" xfId="0" applyNumberFormat="1" applyFont="1" applyFill="1" applyBorder="1" applyAlignment="1">
      <x:alignment vertical="top" wrapText="1"/>
    </x:xf>
    <x:xf numFmtId="0" fontId="3" fillId="40" borderId="0" xfId="0" applyNumberFormat="1" applyFont="1" applyFill="1" applyBorder="1" applyAlignment="1">
      <x:alignment vertical="top" wrapText="1"/>
    </x:xf>
    <x:xf numFmtId="0" fontId="1" fillId="41" borderId="0" xfId="0" applyNumberFormat="1" applyFont="1" applyFill="1" applyBorder="1" applyAlignment="1">
      <x:alignment vertical="top" wrapText="1"/>
    </x:xf>
    <x:xf numFmtId="0" fontId="3" fillId="41" borderId="0" xfId="0" applyNumberFormat="1" applyFont="1" applyFill="1" applyBorder="1" applyAlignment="1">
      <x:alignment vertical="top" wrapText="1"/>
    </x:xf>
    <x:xf numFmtId="0" fontId="1" fillId="42" borderId="0" xfId="0" applyNumberFormat="1" applyFont="1" applyFill="1" applyBorder="1" applyAlignment="1">
      <x:alignment vertical="top" wrapText="1"/>
    </x:xf>
    <x:xf numFmtId="0" fontId="3" fillId="42" borderId="0" xfId="0" applyNumberFormat="1" applyFont="1" applyFill="1" applyBorder="1" applyAlignment="1">
      <x:alignment vertical="top" wrapText="1"/>
    </x:xf>
    <x:xf numFmtId="0" fontId="1" fillId="43" borderId="0" xfId="0" applyNumberFormat="1" applyFont="1" applyFill="1" applyBorder="1" applyAlignment="1">
      <x:alignment vertical="top" wrapText="1"/>
    </x:xf>
    <x:xf numFmtId="0" fontId="3" fillId="4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center"/>
    </x:xf>
    <x:xf numFmtId="0" fontId="23" fillId="0" borderId="0" xfId="0" applyNumberFormat="1" applyFont="1" applyFill="1" applyBorder="1"/>
    <x:xf numFmtId="0" fontId="23" fillId="0" borderId="1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4" borderId="0" xfId="0" applyNumberFormat="1" applyFont="1" applyFill="1" applyBorder="1"/>
    <x:xf numFmtId="0" fontId="24" fillId="44" borderId="0" xfId="0" applyNumberFormat="1" applyFont="1" applyFill="1" applyBorder="1"/>
    <x:xf numFmtId="0" fontId="24" fillId="44" borderId="0" xfId="0" applyNumberFormat="1" applyFont="1" applyFill="1" applyBorder="1" applyAlignment="1">
      <x:alignment wrapText="1"/>
    </x:xf>
    <x:xf numFmtId="0" fontId="24" fillId="44" borderId="0" xfId="0" applyNumberFormat="1" applyFont="1" applyFill="1" applyBorder="1" applyAlignment="1">
      <x:alignment horizontal="center" wrapText="1"/>
    </x:xf>
    <x:xf numFmtId="0" fontId="24" fillId="44" borderId="0" xfId="0" applyNumberFormat="1" applyFont="1" applyFill="1" applyBorder="1" applyAlignment="1">
      <x:alignment horizontal="center" vertical="center" wrapText="1"/>
    </x:xf>
    <x:xf numFmtId="0" fontId="0" fillId="45" borderId="0" xfId="0" applyNumberFormat="1" applyFont="1" applyFill="1" applyBorder="1"/>
    <x:xf numFmtId="0" fontId="25" fillId="45" borderId="0" xfId="0" applyNumberFormat="1" applyFont="1" applyFill="1" applyBorder="1"/>
    <x:xf numFmtId="0" fontId="25" fillId="45" borderId="0" xfId="0" applyNumberFormat="1" applyFont="1" applyFill="1" applyBorder="1" applyAlignment="1">
      <x:alignment wrapText="1"/>
    </x:xf>
    <x:xf numFmtId="0" fontId="0" fillId="45" borderId="0" xfId="0" applyNumberFormat="1" applyFont="1" applyFill="1" applyBorder="1" applyAlignment="1">
      <x:alignment wrapText="1"/>
    </x:xf>
    <x:xf numFmtId="0" fontId="0" fillId="46" borderId="0" xfId="0" applyNumberFormat="1" applyFont="1" applyFill="1" applyBorder="1"/>
    <x:xf numFmtId="0" fontId="26" fillId="46" borderId="0" xfId="0" applyNumberFormat="1" applyFont="1" applyFill="1" applyBorder="1"/>
    <x:xf numFmtId="0" fontId="26" fillId="46" borderId="0" xfId="0" applyNumberFormat="1" applyFont="1" applyFill="1" applyBorder="1" applyAlignment="1">
      <x:alignment wrapText="1"/>
    </x:xf>
    <x:xf numFmtId="0" fontId="0" fillId="46" borderId="0" xfId="0" applyNumberFormat="1" applyFont="1" applyFill="1" applyBorder="1" applyAlignment="1">
      <x:alignment wrapText="1"/>
    </x:xf>
    <x:xf numFmtId="0" fontId="0" fillId="47" borderId="0" xfId="0" applyNumberFormat="1" applyFont="1" applyFill="1" applyBorder="1"/>
    <x:xf numFmtId="0" fontId="27" fillId="47" borderId="0" xfId="0" applyNumberFormat="1" applyFont="1" applyFill="1" applyBorder="1"/>
    <x:xf numFmtId="0" fontId="27" fillId="47" borderId="0" xfId="0" applyNumberFormat="1" applyFont="1" applyFill="1" applyBorder="1" applyAlignment="1">
      <x:alignment wrapText="1"/>
    </x:xf>
    <x:xf numFmtId="0" fontId="0" fillId="47" borderId="0" xfId="0" applyNumberFormat="1" applyFont="1" applyFill="1" applyBorder="1" applyAlignment="1">
      <x:alignment wrapText="1"/>
    </x:xf>
    <x:xf numFmtId="0" fontId="0" fillId="48" borderId="0" xfId="0" applyNumberFormat="1" applyFont="1" applyFill="1" applyBorder="1"/>
    <x:xf numFmtId="0" fontId="28" fillId="48" borderId="0" xfId="0" applyNumberFormat="1" applyFont="1" applyFill="1" applyBorder="1"/>
    <x:xf numFmtId="0" fontId="28" fillId="48" borderId="0" xfId="0" applyNumberFormat="1" applyFont="1" applyFill="1" applyBorder="1" applyAlignment="1">
      <x:alignment wrapText="1"/>
    </x:xf>
    <x:xf numFmtId="0" fontId="0" fillId="48" borderId="0" xfId="0" applyNumberFormat="1" applyFont="1" applyFill="1" applyBorder="1" applyAlignment="1">
      <x:alignment wrapText="1"/>
    </x:xf>
    <x:xf numFmtId="0" fontId="0" fillId="49" borderId="0" xfId="0" applyNumberFormat="1" applyFont="1" applyFill="1" applyBorder="1"/>
    <x:xf numFmtId="0" fontId="29" fillId="49" borderId="0" xfId="0" applyNumberFormat="1" applyFont="1" applyFill="1" applyBorder="1"/>
    <x:xf numFmtId="0" fontId="29" fillId="49" borderId="0" xfId="0" applyNumberFormat="1" applyFont="1" applyFill="1" applyBorder="1" applyAlignment="1">
      <x:alignment wrapText="1"/>
    </x:xf>
    <x:xf numFmtId="0" fontId="0" fillId="49" borderId="0" xfId="0" applyNumberFormat="1" applyFont="1" applyFill="1" applyBorder="1" applyAlignment="1">
      <x:alignment wrapText="1"/>
    </x:xf>
    <x:xf numFmtId="0" fontId="0" fillId="50" borderId="0" xfId="0" applyNumberFormat="1" applyFont="1" applyFill="1" applyBorder="1"/>
    <x:xf numFmtId="0" fontId="30" fillId="50" borderId="0" xfId="0" applyNumberFormat="1" applyFont="1" applyFill="1" applyBorder="1"/>
    <x:xf numFmtId="0" fontId="30" fillId="50" borderId="0" xfId="0" applyNumberFormat="1" applyFont="1" applyFill="1" applyBorder="1" applyAlignment="1">
      <x:alignment wrapText="1"/>
    </x:xf>
    <x:xf numFmtId="0" fontId="0" fillId="50" borderId="0" xfId="0" applyNumberFormat="1" applyFont="1" applyFill="1" applyBorder="1" applyAlignment="1">
      <x:alignment wrapText="1"/>
    </x:xf>
    <x:xf numFmtId="0" fontId="0" fillId="51" borderId="0" xfId="0" applyNumberFormat="1" applyFont="1" applyFill="1" applyBorder="1"/>
    <x:xf numFmtId="0" fontId="31" fillId="51" borderId="0" xfId="0" applyNumberFormat="1" applyFont="1" applyFill="1" applyBorder="1"/>
    <x:xf numFmtId="0" fontId="31" fillId="51" borderId="0" xfId="0" applyNumberFormat="1" applyFont="1" applyFill="1" applyBorder="1" applyAlignment="1">
      <x:alignment wrapText="1"/>
    </x:xf>
    <x:xf numFmtId="0" fontId="0" fillId="51" borderId="0" xfId="0" applyNumberFormat="1" applyFont="1" applyFill="1" applyBorder="1" applyAlignment="1">
      <x:alignment wrapText="1"/>
    </x:xf>
    <x:xf numFmtId="0" fontId="0" fillId="52" borderId="0" xfId="0" applyNumberFormat="1" applyFont="1" applyFill="1" applyBorder="1"/>
    <x:xf numFmtId="0" fontId="32" fillId="52" borderId="0" xfId="0" applyNumberFormat="1" applyFont="1" applyFill="1" applyBorder="1"/>
    <x:xf numFmtId="0" fontId="32" fillId="52" borderId="0" xfId="0" applyNumberFormat="1" applyFont="1" applyFill="1" applyBorder="1" applyAlignment="1">
      <x:alignment wrapText="1"/>
    </x:xf>
    <x:xf numFmtId="0" fontId="0" fillId="52" borderId="0" xfId="0" applyNumberFormat="1" applyFont="1" applyFill="1" applyBorder="1" applyAlignment="1">
      <x:alignment wrapText="1"/>
    </x:xf>
    <x:xf numFmtId="0" fontId="0" fillId="53" borderId="0" xfId="0" applyNumberFormat="1" applyFont="1" applyFill="1" applyBorder="1" applyAlignment="1">
      <x:alignment wrapText="1"/>
    </x:xf>
    <x:xf numFmtId="0" fontId="0" fillId="54" borderId="0" xfId="0" applyNumberFormat="1" applyFont="1" applyFill="1" applyBorder="1" applyAlignment="1">
      <x:alignment wrapText="1"/>
    </x:xf>
    <x:xf numFmtId="0" fontId="0" fillId="55" borderId="0" xfId="0" applyNumberFormat="1" applyFont="1" applyFill="1" applyBorder="1"/>
    <x:xf numFmtId="0" fontId="0" fillId="55" borderId="0" xfId="0" applyNumberFormat="1" applyFont="1" applyFill="1" applyBorder="1" applyAlignment="1">
      <x:alignment wrapText="1"/>
    </x:xf>
    <x:xf numFmtId="0" fontId="33" fillId="45" borderId="0" xfId="0" applyNumberFormat="1" applyFont="1" applyFill="1" applyBorder="1"/>
    <x:xf numFmtId="0" fontId="33" fillId="45" borderId="2" xfId="0" applyNumberFormat="1" applyFont="1" applyFill="1" applyBorder="1"/>
    <x:xf numFmtId="0" fontId="0" fillId="45" borderId="2" xfId="0" applyNumberFormat="1" applyFont="1" applyFill="1" applyBorder="1"/>
    <x:xf numFmtId="0" fontId="0" fillId="0" borderId="2" xfId="0" applyNumberFormat="1" applyFont="1" applyFill="1" applyBorder="1"/>
    <x:xf numFmtId="0" fontId="34" fillId="46" borderId="0" xfId="0" applyNumberFormat="1" applyFont="1" applyFill="1" applyBorder="1"/>
    <x:xf numFmtId="0" fontId="34" fillId="46" borderId="4" xfId="0" applyNumberFormat="1" applyFont="1" applyFill="1" applyBorder="1"/>
    <x:xf numFmtId="0" fontId="0" fillId="46" borderId="4" xfId="0" applyNumberFormat="1" applyFont="1" applyFill="1" applyBorder="1"/>
    <x:xf numFmtId="0" fontId="0" fillId="0" borderId="4" xfId="0" applyNumberFormat="1" applyFont="1" applyFill="1" applyBorder="1"/>
    <x:xf numFmtId="0" fontId="35" fillId="47" borderId="0" xfId="0" applyNumberFormat="1" applyFont="1" applyFill="1" applyBorder="1"/>
    <x:xf numFmtId="0" fontId="35" fillId="47" borderId="5" xfId="0" applyNumberFormat="1" applyFont="1" applyFill="1" applyBorder="1"/>
    <x:xf numFmtId="0" fontId="0" fillId="47" borderId="5" xfId="0" applyNumberFormat="1" applyFont="1" applyFill="1" applyBorder="1"/>
    <x:xf numFmtId="0" fontId="0" fillId="0" borderId="5" xfId="0" applyNumberFormat="1" applyFont="1" applyFill="1" applyBorder="1"/>
    <x:xf numFmtId="0" fontId="36" fillId="48" borderId="0" xfId="0" applyNumberFormat="1" applyFont="1" applyFill="1" applyBorder="1"/>
    <x:xf numFmtId="0" fontId="36" fillId="48" borderId="8" xfId="0" applyNumberFormat="1" applyFont="1" applyFill="1" applyBorder="1"/>
    <x:xf numFmtId="0" fontId="0" fillId="48" borderId="8" xfId="0" applyNumberFormat="1" applyFont="1" applyFill="1" applyBorder="1"/>
    <x:xf numFmtId="0" fontId="0" fillId="0" borderId="8" xfId="0" applyNumberFormat="1" applyFont="1" applyFill="1" applyBorder="1"/>
    <x:xf numFmtId="0" fontId="37" fillId="49" borderId="0" xfId="0" applyNumberFormat="1" applyFont="1" applyFill="1" applyBorder="1"/>
    <x:xf numFmtId="0" fontId="37" fillId="49" borderId="3" xfId="0" applyNumberFormat="1" applyFont="1" applyFill="1" applyBorder="1"/>
    <x:xf numFmtId="0" fontId="0" fillId="49" borderId="3" xfId="0" applyNumberFormat="1" applyFont="1" applyFill="1" applyBorder="1"/>
    <x:xf numFmtId="0" fontId="0" fillId="0" borderId="3" xfId="0" applyNumberFormat="1" applyFont="1" applyFill="1" applyBorder="1"/>
    <x:xf numFmtId="0" fontId="38" fillId="50" borderId="0" xfId="0" applyNumberFormat="1" applyFont="1" applyFill="1" applyBorder="1"/>
    <x:xf numFmtId="0" fontId="38" fillId="50" borderId="9" xfId="0" applyNumberFormat="1" applyFont="1" applyFill="1" applyBorder="1"/>
    <x:xf numFmtId="0" fontId="0" fillId="50" borderId="9" xfId="0" applyNumberFormat="1" applyFont="1" applyFill="1" applyBorder="1"/>
    <x:xf numFmtId="0" fontId="0" fillId="0" borderId="9" xfId="0" applyNumberFormat="1" applyFont="1" applyFill="1" applyBorder="1"/>
    <x:xf numFmtId="0" fontId="39" fillId="51" borderId="0" xfId="0" applyNumberFormat="1" applyFont="1" applyFill="1" applyBorder="1"/>
    <x:xf numFmtId="0" fontId="39" fillId="51" borderId="13" xfId="0" applyNumberFormat="1" applyFont="1" applyFill="1" applyBorder="1"/>
    <x:xf numFmtId="0" fontId="0" fillId="51" borderId="13" xfId="0" applyNumberFormat="1" applyFont="1" applyFill="1" applyBorder="1"/>
    <x:xf numFmtId="0" fontId="0" fillId="0" borderId="13" xfId="0" applyNumberFormat="1" applyFont="1" applyFill="1" applyBorder="1"/>
    <x:xf numFmtId="0" fontId="40" fillId="52" borderId="0" xfId="0" applyNumberFormat="1" applyFont="1" applyFill="1" applyBorder="1"/>
    <x:xf numFmtId="0" fontId="40" fillId="52" borderId="18" xfId="0" applyNumberFormat="1" applyFont="1" applyFill="1" applyBorder="1"/>
    <x:xf numFmtId="0" fontId="0" fillId="52" borderId="18" xfId="0" applyNumberFormat="1" applyFont="1" applyFill="1" applyBorder="1"/>
    <x:xf numFmtId="0" fontId="0" fillId="0" borderId="18" xfId="0" applyNumberFormat="1" applyFont="1" applyFill="1" applyBorder="1"/>
    <x:xf numFmtId="0" fontId="33" fillId="45" borderId="2" xfId="0" applyNumberFormat="1" applyFont="1" applyFill="1" applyBorder="1" applyAlignment="1">
      <x:alignment wrapText="1"/>
    </x:xf>
    <x:xf numFmtId="0" fontId="0" fillId="45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33" fillId="45" borderId="0" xfId="0" applyNumberFormat="1" applyFont="1" applyFill="1" applyBorder="1" applyAlignment="1">
      <x:alignment wrapText="1"/>
    </x:xf>
    <x:xf numFmtId="0" fontId="34" fillId="46" borderId="4" xfId="0" applyNumberFormat="1" applyFont="1" applyFill="1" applyBorder="1" applyAlignment="1">
      <x:alignment wrapText="1"/>
    </x:xf>
    <x:xf numFmtId="0" fontId="0" fillId="46" borderId="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34" fillId="46" borderId="0" xfId="0" applyNumberFormat="1" applyFont="1" applyFill="1" applyBorder="1" applyAlignment="1">
      <x:alignment wrapText="1"/>
    </x:xf>
    <x:xf numFmtId="0" fontId="35" fillId="47" borderId="5" xfId="0" applyNumberFormat="1" applyFont="1" applyFill="1" applyBorder="1" applyAlignment="1">
      <x:alignment wrapText="1"/>
    </x:xf>
    <x:xf numFmtId="0" fontId="0" fillId="47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5" fillId="47" borderId="0" xfId="0" applyNumberFormat="1" applyFont="1" applyFill="1" applyBorder="1" applyAlignment="1">
      <x:alignment wrapText="1"/>
    </x:xf>
    <x:xf numFmtId="0" fontId="36" fillId="48" borderId="8" xfId="0" applyNumberFormat="1" applyFont="1" applyFill="1" applyBorder="1" applyAlignment="1">
      <x:alignment wrapText="1"/>
    </x:xf>
    <x:xf numFmtId="0" fontId="0" fillId="48" borderId="8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36" fillId="48" borderId="0" xfId="0" applyNumberFormat="1" applyFont="1" applyFill="1" applyBorder="1" applyAlignment="1">
      <x:alignment wrapText="1"/>
    </x:xf>
    <x:xf numFmtId="0" fontId="37" fillId="49" borderId="3" xfId="0" applyNumberFormat="1" applyFont="1" applyFill="1" applyBorder="1" applyAlignment="1">
      <x:alignment wrapText="1"/>
    </x:xf>
    <x:xf numFmtId="0" fontId="0" fillId="49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37" fillId="49" borderId="0" xfId="0" applyNumberFormat="1" applyFont="1" applyFill="1" applyBorder="1" applyAlignment="1">
      <x:alignment wrapText="1"/>
    </x:xf>
    <x:xf numFmtId="0" fontId="38" fillId="50" borderId="9" xfId="0" applyNumberFormat="1" applyFont="1" applyFill="1" applyBorder="1" applyAlignment="1">
      <x:alignment wrapText="1"/>
    </x:xf>
    <x:xf numFmtId="0" fontId="0" fillId="50" borderId="9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38" fillId="50" borderId="0" xfId="0" applyNumberFormat="1" applyFont="1" applyFill="1" applyBorder="1" applyAlignment="1">
      <x:alignment wrapText="1"/>
    </x:xf>
    <x:xf numFmtId="0" fontId="39" fillId="51" borderId="13" xfId="0" applyNumberFormat="1" applyFont="1" applyFill="1" applyBorder="1" applyAlignment="1">
      <x:alignment wrapText="1"/>
    </x:xf>
    <x:xf numFmtId="0" fontId="0" fillId="51" borderId="13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39" fillId="51" borderId="0" xfId="0" applyNumberFormat="1" applyFont="1" applyFill="1" applyBorder="1" applyAlignment="1">
      <x:alignment wrapText="1"/>
    </x:xf>
    <x:xf numFmtId="0" fontId="40" fillId="52" borderId="18" xfId="0" applyNumberFormat="1" applyFont="1" applyFill="1" applyBorder="1" applyAlignment="1">
      <x:alignment wrapText="1"/>
    </x:xf>
    <x:xf numFmtId="0" fontId="0" fillId="52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40" fillId="52" borderId="0" xfId="0" applyNumberFormat="1" applyFont="1" applyFill="1" applyBorder="1" applyAlignment="1">
      <x:alignment wrapText="1"/>
    </x:xf>
    <x:xf numFmtId="0" fontId="0" fillId="45" borderId="2" xfId="0" applyNumberFormat="1" applyFont="1" applyFill="1" applyBorder="1" applyAlignment="1">
      <x:alignment vertical="top" wrapText="1"/>
    </x:xf>
    <x:xf numFmtId="0" fontId="0" fillId="45" borderId="0" xfId="0" applyNumberFormat="1" applyFont="1" applyFill="1" applyBorder="1" applyAlignment="1">
      <x:alignment vertical="top" wrapText="1"/>
    </x:xf>
    <x:xf numFmtId="0" fontId="0" fillId="46" borderId="4" xfId="0" applyNumberFormat="1" applyFont="1" applyFill="1" applyBorder="1" applyAlignment="1">
      <x:alignment vertical="top" wrapText="1"/>
    </x:xf>
    <x:xf numFmtId="0" fontId="0" fillId="46" borderId="0" xfId="0" applyNumberFormat="1" applyFont="1" applyFill="1" applyBorder="1" applyAlignment="1">
      <x:alignment vertical="top" wrapText="1"/>
    </x:xf>
    <x:xf numFmtId="0" fontId="0" fillId="47" borderId="5" xfId="0" applyNumberFormat="1" applyFont="1" applyFill="1" applyBorder="1" applyAlignment="1">
      <x:alignment vertical="top" wrapText="1"/>
    </x:xf>
    <x:xf numFmtId="0" fontId="0" fillId="47" borderId="0" xfId="0" applyNumberFormat="1" applyFont="1" applyFill="1" applyBorder="1" applyAlignment="1">
      <x:alignment vertical="top" wrapText="1"/>
    </x:xf>
    <x:xf numFmtId="0" fontId="0" fillId="48" borderId="8" xfId="0" applyNumberFormat="1" applyFont="1" applyFill="1" applyBorder="1" applyAlignment="1">
      <x:alignment vertical="top" wrapText="1"/>
    </x:xf>
    <x:xf numFmtId="0" fontId="0" fillId="48" borderId="0" xfId="0" applyNumberFormat="1" applyFont="1" applyFill="1" applyBorder="1" applyAlignment="1">
      <x:alignment vertical="top" wrapText="1"/>
    </x:xf>
    <x:xf numFmtId="0" fontId="0" fillId="49" borderId="3" xfId="0" applyNumberFormat="1" applyFont="1" applyFill="1" applyBorder="1" applyAlignment="1">
      <x:alignment vertical="top" wrapText="1"/>
    </x:xf>
    <x:xf numFmtId="0" fontId="0" fillId="49" borderId="0" xfId="0" applyNumberFormat="1" applyFont="1" applyFill="1" applyBorder="1" applyAlignment="1">
      <x:alignment vertical="top" wrapText="1"/>
    </x:xf>
    <x:xf numFmtId="0" fontId="0" fillId="50" borderId="9" xfId="0" applyNumberFormat="1" applyFont="1" applyFill="1" applyBorder="1" applyAlignment="1">
      <x:alignment vertical="top" wrapText="1"/>
    </x:xf>
    <x:xf numFmtId="0" fontId="0" fillId="50" borderId="0" xfId="0" applyNumberFormat="1" applyFont="1" applyFill="1" applyBorder="1" applyAlignment="1">
      <x:alignment vertical="top" wrapText="1"/>
    </x:xf>
    <x:xf numFmtId="0" fontId="0" fillId="51" borderId="13" xfId="0" applyNumberFormat="1" applyFont="1" applyFill="1" applyBorder="1" applyAlignment="1">
      <x:alignment vertical="top" wrapText="1"/>
    </x:xf>
    <x:xf numFmtId="0" fontId="0" fillId="51" borderId="0" xfId="0" applyNumberFormat="1" applyFont="1" applyFill="1" applyBorder="1" applyAlignment="1">
      <x:alignment vertical="top" wrapText="1"/>
    </x:xf>
    <x:xf numFmtId="0" fontId="0" fillId="52" borderId="18" xfId="0" applyNumberFormat="1" applyFont="1" applyFill="1" applyBorder="1" applyAlignment="1">
      <x:alignment vertical="top" wrapText="1"/>
    </x:xf>
    <x:xf numFmtId="0" fontId="0" fillId="52" borderId="0" xfId="0" applyNumberFormat="1" applyFont="1" applyFill="1" applyBorder="1" applyAlignment="1">
      <x:alignment vertical="top" wrapText="1"/>
    </x:xf>
    <x:xf numFmtId="0" fontId="0" fillId="55" borderId="2" xfId="0" applyNumberFormat="1" applyFont="1" applyFill="1" applyBorder="1" applyAlignment="1">
      <x:alignment wrapText="1"/>
    </x:xf>
    <x:xf numFmtId="0" fontId="0" fillId="55" borderId="4" xfId="0" applyNumberFormat="1" applyFont="1" applyFill="1" applyBorder="1" applyAlignment="1">
      <x:alignment wrapText="1"/>
    </x:xf>
    <x:xf numFmtId="0" fontId="0" fillId="55" borderId="5" xfId="0" applyNumberFormat="1" applyFont="1" applyFill="1" applyBorder="1" applyAlignment="1">
      <x:alignment wrapText="1"/>
    </x:xf>
    <x:xf numFmtId="0" fontId="0" fillId="55" borderId="8" xfId="0" applyNumberFormat="1" applyFont="1" applyFill="1" applyBorder="1" applyAlignment="1">
      <x:alignment wrapText="1"/>
    </x:xf>
    <x:xf numFmtId="0" fontId="0" fillId="55" borderId="3" xfId="0" applyNumberFormat="1" applyFont="1" applyFill="1" applyBorder="1" applyAlignment="1">
      <x:alignment wrapText="1"/>
    </x:xf>
    <x:xf numFmtId="0" fontId="0" fillId="55" borderId="9" xfId="0" applyNumberFormat="1" applyFont="1" applyFill="1" applyBorder="1" applyAlignment="1">
      <x:alignment wrapText="1"/>
    </x:xf>
    <x:xf numFmtId="0" fontId="0" fillId="55" borderId="13" xfId="0" applyNumberFormat="1" applyFont="1" applyFill="1" applyBorder="1" applyAlignment="1">
      <x:alignment wrapText="1"/>
    </x:xf>
    <x:xf numFmtId="0" fontId="0" fillId="55" borderId="18" xfId="0" applyNumberFormat="1" applyFont="1" applyFill="1" applyBorder="1" applyAlignment="1">
      <x:alignment wrapText="1"/>
    </x:xf>
    <x:xf numFmtId="201" fontId="0" fillId="55" borderId="2" xfId="0" applyNumberFormat="1" applyFont="1" applyFill="1" applyBorder="1" applyAlignment="1">
      <x:alignment wrapText="1"/>
    </x:xf>
    <x:xf numFmtId="201" fontId="0" fillId="55" borderId="0" xfId="0" applyNumberFormat="1" applyFont="1" applyFill="1" applyBorder="1" applyAlignment="1">
      <x:alignment wrapText="1"/>
    </x:xf>
    <x:xf numFmtId="201" fontId="0" fillId="55" borderId="4" xfId="0" applyNumberFormat="1" applyFont="1" applyFill="1" applyBorder="1" applyAlignment="1">
      <x:alignment wrapText="1"/>
    </x:xf>
    <x:xf numFmtId="201" fontId="0" fillId="55" borderId="5" xfId="0" applyNumberFormat="1" applyFont="1" applyFill="1" applyBorder="1" applyAlignment="1">
      <x:alignment wrapText="1"/>
    </x:xf>
    <x:xf numFmtId="201" fontId="0" fillId="55" borderId="8" xfId="0" applyNumberFormat="1" applyFont="1" applyFill="1" applyBorder="1" applyAlignment="1">
      <x:alignment wrapText="1"/>
    </x:xf>
    <x:xf numFmtId="201" fontId="0" fillId="55" borderId="3" xfId="0" applyNumberFormat="1" applyFont="1" applyFill="1" applyBorder="1" applyAlignment="1">
      <x:alignment wrapText="1"/>
    </x:xf>
    <x:xf numFmtId="201" fontId="0" fillId="55" borderId="9" xfId="0" applyNumberFormat="1" applyFont="1" applyFill="1" applyBorder="1" applyAlignment="1">
      <x:alignment wrapText="1"/>
    </x:xf>
    <x:xf numFmtId="201" fontId="0" fillId="55" borderId="13" xfId="0" applyNumberFormat="1" applyFont="1" applyFill="1" applyBorder="1" applyAlignment="1">
      <x:alignment wrapText="1"/>
    </x:xf>
    <x:xf numFmtId="201" fontId="0" fillId="55" borderId="18" xfId="0" applyNumberFormat="1" applyFont="1" applyFill="1" applyBorder="1" applyAlignment="1">
      <x:alignment wrapText="1"/>
    </x:xf>
    <x:xf numFmtId="0" fontId="41" fillId="0" borderId="0" xfId="0" applyNumberFormat="1" applyFont="1" applyFill="1" applyBorder="1" applyAlignment="1">
      <x:alignment vertical="center"/>
    </x:xf>
    <x:xf numFmtId="0" fontId="1" fillId="44" borderId="0" xfId="0" applyNumberFormat="1" applyFont="1" applyFill="1" applyBorder="1"/>
    <x:xf numFmtId="0" fontId="3" fillId="44" borderId="0" xfId="0" applyNumberFormat="1" applyFont="1" applyFill="1" applyBorder="1"/>
    <x:xf numFmtId="0" fontId="3" fillId="44" borderId="0" xfId="0" applyNumberFormat="1" applyFont="1" applyFill="1" applyBorder="1" applyAlignment="1">
      <x:alignment wrapText="1"/>
    </x:xf>
    <x:xf numFmtId="0" fontId="3" fillId="44" borderId="0" xfId="0" applyNumberFormat="1" applyFont="1" applyFill="1" applyBorder="1" applyAlignment="1">
      <x:alignment horizontal="center" wrapText="1"/>
    </x:xf>
    <x:xf numFmtId="0" fontId="3" fillId="44" borderId="0" xfId="0" applyNumberFormat="1" applyFont="1" applyFill="1" applyBorder="1" applyAlignment="1">
      <x:alignment horizontal="center" vertical="center" wrapText="1"/>
    </x:xf>
    <x:xf numFmtId="0" fontId="1" fillId="47" borderId="0" xfId="0" applyNumberFormat="1" applyFont="1" applyFill="1" applyBorder="1"/>
    <x:xf numFmtId="0" fontId="42" fillId="47" borderId="0" xfId="0" applyNumberFormat="1" applyFont="1" applyFill="1" applyBorder="1"/>
    <x:xf numFmtId="0" fontId="42" fillId="47" borderId="0" xfId="0" applyNumberFormat="1" applyFont="1" applyFill="1" applyBorder="1" applyAlignment="1">
      <x:alignment wrapText="1"/>
    </x:xf>
    <x:xf numFmtId="0" fontId="42" fillId="47" borderId="0" xfId="0" applyNumberFormat="1" applyFont="1" applyFill="1" applyBorder="1" applyAlignment="1">
      <x:alignment horizontal="center" wrapText="1"/>
    </x:xf>
    <x:xf numFmtId="0" fontId="42" fillId="47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25" fillId="45" borderId="0" xfId="0" applyNumberFormat="1" applyFont="1" applyFill="1" applyBorder="1" applyAlignment="1">
      <x:alignment vertical="center" wrapText="1"/>
    </x:xf>
    <x:xf numFmtId="0" fontId="0" fillId="45" borderId="0" xfId="0" applyNumberFormat="1" applyFont="1" applyFill="1" applyBorder="1" applyAlignment="1">
      <x:alignment vertical="center" wrapText="1"/>
    </x:xf>
    <x:xf numFmtId="0" fontId="26" fillId="46" borderId="0" xfId="0" applyNumberFormat="1" applyFont="1" applyFill="1" applyBorder="1" applyAlignment="1">
      <x:alignment vertical="center" wrapText="1"/>
    </x:xf>
    <x:xf numFmtId="0" fontId="0" fillId="46" borderId="0" xfId="0" applyNumberFormat="1" applyFont="1" applyFill="1" applyBorder="1" applyAlignment="1">
      <x:alignment vertical="center" wrapText="1"/>
    </x:xf>
    <x:xf numFmtId="0" fontId="27" fillId="47" borderId="0" xfId="0" applyNumberFormat="1" applyFont="1" applyFill="1" applyBorder="1" applyAlignment="1">
      <x:alignment vertical="center" wrapText="1"/>
    </x:xf>
    <x:xf numFmtId="0" fontId="0" fillId="47" borderId="0" xfId="0" applyNumberFormat="1" applyFont="1" applyFill="1" applyBorder="1" applyAlignment="1">
      <x:alignment vertical="center" wrapText="1"/>
    </x:xf>
    <x:xf numFmtId="0" fontId="28" fillId="48" borderId="0" xfId="0" applyNumberFormat="1" applyFont="1" applyFill="1" applyBorder="1" applyAlignment="1">
      <x:alignment vertical="center" wrapText="1"/>
    </x:xf>
    <x:xf numFmtId="0" fontId="0" fillId="48" borderId="0" xfId="0" applyNumberFormat="1" applyFont="1" applyFill="1" applyBorder="1" applyAlignment="1">
      <x:alignment vertical="center" wrapText="1"/>
    </x:xf>
    <x:xf numFmtId="0" fontId="29" fillId="49" borderId="0" xfId="0" applyNumberFormat="1" applyFont="1" applyFill="1" applyBorder="1" applyAlignment="1">
      <x:alignment vertical="center" wrapText="1"/>
    </x:xf>
    <x:xf numFmtId="0" fontId="0" fillId="49" borderId="0" xfId="0" applyNumberFormat="1" applyFont="1" applyFill="1" applyBorder="1" applyAlignment="1">
      <x:alignment vertical="center" wrapText="1"/>
    </x:xf>
    <x:xf numFmtId="0" fontId="30" fillId="50" borderId="0" xfId="0" applyNumberFormat="1" applyFont="1" applyFill="1" applyBorder="1" applyAlignment="1">
      <x:alignment vertical="center" wrapText="1"/>
    </x:xf>
    <x:xf numFmtId="0" fontId="0" fillId="50" borderId="0" xfId="0" applyNumberFormat="1" applyFont="1" applyFill="1" applyBorder="1" applyAlignment="1">
      <x:alignment vertical="center" wrapText="1"/>
    </x:xf>
    <x:xf numFmtId="0" fontId="31" fillId="51" borderId="0" xfId="0" applyNumberFormat="1" applyFont="1" applyFill="1" applyBorder="1" applyAlignment="1">
      <x:alignment vertical="center" wrapText="1"/>
    </x:xf>
    <x:xf numFmtId="0" fontId="0" fillId="51" borderId="0" xfId="0" applyNumberFormat="1" applyFont="1" applyFill="1" applyBorder="1" applyAlignment="1">
      <x:alignment vertical="center" wrapText="1"/>
    </x:xf>
    <x:xf numFmtId="0" fontId="32" fillId="52" borderId="0" xfId="0" applyNumberFormat="1" applyFont="1" applyFill="1" applyBorder="1" applyAlignment="1">
      <x:alignment vertical="center" wrapText="1"/>
    </x:xf>
    <x:xf numFmtId="0" fontId="0" fillId="52" borderId="0" xfId="0" applyNumberFormat="1" applyFont="1" applyFill="1" applyBorder="1" applyAlignment="1">
      <x:alignment vertical="center" wrapText="1"/>
    </x:xf>
    <x:xf numFmtId="0" fontId="0" fillId="55" borderId="0" xfId="0" applyNumberFormat="1" applyFont="1" applyFill="1" applyBorder="1" applyAlignment="1">
      <x:alignment vertical="center" wrapText="1"/>
    </x:xf>
    <x:xf numFmtId="0" fontId="33" fillId="45" borderId="2" xfId="0" applyNumberFormat="1" applyFont="1" applyFill="1" applyBorder="1" applyAlignment="1">
      <x:alignment vertical="center" wrapText="1"/>
    </x:xf>
    <x:xf numFmtId="0" fontId="33" fillId="45" borderId="0" xfId="0" applyNumberFormat="1" applyFont="1" applyFill="1" applyBorder="1" applyAlignment="1">
      <x:alignment vertical="center" wrapText="1"/>
    </x:xf>
    <x:xf numFmtId="0" fontId="34" fillId="46" borderId="4" xfId="0" applyNumberFormat="1" applyFont="1" applyFill="1" applyBorder="1" applyAlignment="1">
      <x:alignment vertical="center" wrapText="1"/>
    </x:xf>
    <x:xf numFmtId="0" fontId="34" fillId="46" borderId="0" xfId="0" applyNumberFormat="1" applyFont="1" applyFill="1" applyBorder="1" applyAlignment="1">
      <x:alignment vertical="center" wrapText="1"/>
    </x:xf>
    <x:xf numFmtId="0" fontId="35" fillId="47" borderId="5" xfId="0" applyNumberFormat="1" applyFont="1" applyFill="1" applyBorder="1" applyAlignment="1">
      <x:alignment vertical="center" wrapText="1"/>
    </x:xf>
    <x:xf numFmtId="0" fontId="35" fillId="47" borderId="0" xfId="0" applyNumberFormat="1" applyFont="1" applyFill="1" applyBorder="1" applyAlignment="1">
      <x:alignment vertical="center" wrapText="1"/>
    </x:xf>
    <x:xf numFmtId="0" fontId="36" fillId="48" borderId="8" xfId="0" applyNumberFormat="1" applyFont="1" applyFill="1" applyBorder="1" applyAlignment="1">
      <x:alignment vertical="center" wrapText="1"/>
    </x:xf>
    <x:xf numFmtId="0" fontId="36" fillId="48" borderId="0" xfId="0" applyNumberFormat="1" applyFont="1" applyFill="1" applyBorder="1" applyAlignment="1">
      <x:alignment vertical="center" wrapText="1"/>
    </x:xf>
    <x:xf numFmtId="0" fontId="37" fillId="49" borderId="3" xfId="0" applyNumberFormat="1" applyFont="1" applyFill="1" applyBorder="1" applyAlignment="1">
      <x:alignment vertical="center" wrapText="1"/>
    </x:xf>
    <x:xf numFmtId="0" fontId="37" fillId="49" borderId="0" xfId="0" applyNumberFormat="1" applyFont="1" applyFill="1" applyBorder="1" applyAlignment="1">
      <x:alignment vertical="center" wrapText="1"/>
    </x:xf>
    <x:xf numFmtId="0" fontId="38" fillId="50" borderId="9" xfId="0" applyNumberFormat="1" applyFont="1" applyFill="1" applyBorder="1" applyAlignment="1">
      <x:alignment vertical="center" wrapText="1"/>
    </x:xf>
    <x:xf numFmtId="0" fontId="38" fillId="50" borderId="0" xfId="0" applyNumberFormat="1" applyFont="1" applyFill="1" applyBorder="1" applyAlignment="1">
      <x:alignment vertical="center" wrapText="1"/>
    </x:xf>
    <x:xf numFmtId="0" fontId="39" fillId="51" borderId="13" xfId="0" applyNumberFormat="1" applyFont="1" applyFill="1" applyBorder="1" applyAlignment="1">
      <x:alignment vertical="center" wrapText="1"/>
    </x:xf>
    <x:xf numFmtId="0" fontId="39" fillId="51" borderId="0" xfId="0" applyNumberFormat="1" applyFont="1" applyFill="1" applyBorder="1" applyAlignment="1">
      <x:alignment vertical="center" wrapText="1"/>
    </x:xf>
    <x:xf numFmtId="0" fontId="40" fillId="52" borderId="18" xfId="0" applyNumberFormat="1" applyFont="1" applyFill="1" applyBorder="1" applyAlignment="1">
      <x:alignment vertical="center" wrapText="1"/>
    </x:xf>
    <x:xf numFmtId="0" fontId="40" fillId="52" borderId="0" xfId="0" applyNumberFormat="1" applyFont="1" applyFill="1" applyBorder="1" applyAlignment="1">
      <x:alignment vertical="center" wrapText="1"/>
    </x:xf>
    <x:xf numFmtId="0" fontId="0" fillId="55" borderId="2" xfId="0" applyNumberFormat="1" applyFont="1" applyFill="1" applyBorder="1" applyAlignment="1">
      <x:alignment vertical="center" wrapText="1"/>
    </x:xf>
    <x:xf numFmtId="201" fontId="0" fillId="55" borderId="2" xfId="0" applyNumberFormat="1" applyFont="1" applyFill="1" applyBorder="1" applyAlignment="1">
      <x:alignment vertical="center" wrapText="1"/>
    </x:xf>
    <x:xf numFmtId="201" fontId="0" fillId="55" borderId="0" xfId="0" applyNumberFormat="1" applyFont="1" applyFill="1" applyBorder="1" applyAlignment="1">
      <x:alignment vertical="center" wrapText="1"/>
    </x:xf>
    <x:xf numFmtId="0" fontId="0" fillId="55" borderId="4" xfId="0" applyNumberFormat="1" applyFont="1" applyFill="1" applyBorder="1" applyAlignment="1">
      <x:alignment vertical="center" wrapText="1"/>
    </x:xf>
    <x:xf numFmtId="201" fontId="0" fillId="55" borderId="4" xfId="0" applyNumberFormat="1" applyFont="1" applyFill="1" applyBorder="1" applyAlignment="1">
      <x:alignment vertical="center" wrapText="1"/>
    </x:xf>
    <x:xf numFmtId="0" fontId="0" fillId="55" borderId="5" xfId="0" applyNumberFormat="1" applyFont="1" applyFill="1" applyBorder="1" applyAlignment="1">
      <x:alignment vertical="center" wrapText="1"/>
    </x:xf>
    <x:xf numFmtId="201" fontId="0" fillId="55" borderId="5" xfId="0" applyNumberFormat="1" applyFont="1" applyFill="1" applyBorder="1" applyAlignment="1">
      <x:alignment vertical="center" wrapText="1"/>
    </x:xf>
    <x:xf numFmtId="0" fontId="0" fillId="55" borderId="8" xfId="0" applyNumberFormat="1" applyFont="1" applyFill="1" applyBorder="1" applyAlignment="1">
      <x:alignment vertical="center" wrapText="1"/>
    </x:xf>
    <x:xf numFmtId="201" fontId="0" fillId="55" borderId="8" xfId="0" applyNumberFormat="1" applyFont="1" applyFill="1" applyBorder="1" applyAlignment="1">
      <x:alignment vertical="center" wrapText="1"/>
    </x:xf>
    <x:xf numFmtId="0" fontId="0" fillId="55" borderId="3" xfId="0" applyNumberFormat="1" applyFont="1" applyFill="1" applyBorder="1" applyAlignment="1">
      <x:alignment vertical="center" wrapText="1"/>
    </x:xf>
    <x:xf numFmtId="201" fontId="0" fillId="55" borderId="3" xfId="0" applyNumberFormat="1" applyFont="1" applyFill="1" applyBorder="1" applyAlignment="1">
      <x:alignment vertical="center" wrapText="1"/>
    </x:xf>
    <x:xf numFmtId="0" fontId="0" fillId="55" borderId="9" xfId="0" applyNumberFormat="1" applyFont="1" applyFill="1" applyBorder="1" applyAlignment="1">
      <x:alignment vertical="center" wrapText="1"/>
    </x:xf>
    <x:xf numFmtId="201" fontId="0" fillId="55" borderId="9" xfId="0" applyNumberFormat="1" applyFont="1" applyFill="1" applyBorder="1" applyAlignment="1">
      <x:alignment vertical="center" wrapText="1"/>
    </x:xf>
    <x:xf numFmtId="0" fontId="0" fillId="55" borderId="13" xfId="0" applyNumberFormat="1" applyFont="1" applyFill="1" applyBorder="1" applyAlignment="1">
      <x:alignment vertical="center" wrapText="1"/>
    </x:xf>
    <x:xf numFmtId="201" fontId="0" fillId="55" borderId="13" xfId="0" applyNumberFormat="1" applyFont="1" applyFill="1" applyBorder="1" applyAlignment="1">
      <x:alignment vertical="center" wrapText="1"/>
    </x:xf>
    <x:xf numFmtId="0" fontId="0" fillId="55" borderId="18" xfId="0" applyNumberFormat="1" applyFont="1" applyFill="1" applyBorder="1" applyAlignment="1">
      <x:alignment vertical="center" wrapText="1"/>
    </x:xf>
    <x:xf numFmtId="201" fontId="0" fillId="55" borderId="18" xfId="0" applyNumberFormat="1" applyFont="1" applyFill="1" applyBorder="1" applyAlignment="1">
      <x:alignment vertical="center" wrapText="1"/>
    </x:xf>
    <x:xf numFmtId="0" fontId="1" fillId="56" borderId="0" xfId="0" applyNumberFormat="1" applyFont="1" applyFill="1" applyBorder="1" applyAlignment="1">
      <x:alignment vertical="center"/>
    </x:xf>
    <x:xf numFmtId="0" fontId="3" fillId="56" borderId="0" xfId="0" applyNumberFormat="1" applyFont="1" applyFill="1" applyBorder="1" applyAlignment="1">
      <x:alignment vertical="center"/>
    </x:xf>
    <x:xf numFmtId="0" fontId="3" fillId="56" borderId="0" xfId="0" applyNumberFormat="1" applyFont="1" applyFill="1" applyBorder="1" applyAlignment="1">
      <x:alignment vertical="center" wrapText="1"/>
    </x:xf>
    <x:xf numFmtId="0" fontId="3" fillId="56" borderId="0" xfId="0" applyNumberFormat="1" applyFont="1" applyFill="1" applyBorder="1" applyAlignment="1">
      <x:alignment horizontal="center" vertical="center" wrapText="1"/>
    </x:xf>
    <x:xf numFmtId="0" fontId="1" fillId="57" borderId="0" xfId="0" applyNumberFormat="1" applyFont="1" applyFill="1" applyBorder="1" applyAlignment="1">
      <x:alignment vertical="center" wrapText="1"/>
    </x:xf>
    <x:xf numFmtId="0" fontId="1" fillId="58" borderId="0" xfId="0" applyNumberFormat="1" applyFont="1" applyFill="1" applyBorder="1" applyAlignment="1">
      <x:alignment vertical="center" wrapText="1"/>
    </x:xf>
    <x:xf numFmtId="0" fontId="1" fillId="59" borderId="0" xfId="0" applyNumberFormat="1" applyFont="1" applyFill="1" applyBorder="1" applyAlignment="1">
      <x:alignment vertical="center" wrapText="1"/>
    </x:xf>
    <x:xf numFmtId="0" fontId="1" fillId="60" borderId="0" xfId="0" applyNumberFormat="1" applyFont="1" applyFill="1" applyBorder="1" applyAlignment="1">
      <x:alignment vertical="center" wrapText="1"/>
    </x:xf>
    <x:xf numFmtId="0" fontId="1" fillId="61" borderId="0" xfId="0" applyNumberFormat="1" applyFont="1" applyFill="1" applyBorder="1" applyAlignment="1">
      <x:alignment vertical="center"/>
    </x:xf>
    <x:xf numFmtId="0" fontId="1" fillId="59" borderId="0" xfId="0" applyNumberFormat="1" applyFont="1" applyFill="1" applyBorder="1" applyAlignment="1">
      <x:alignment vertical="center"/>
    </x:xf>
    <x:xf numFmtId="0" fontId="1" fillId="61" borderId="0" xfId="0" applyNumberFormat="1" applyFont="1" applyFill="1" applyBorder="1" applyAlignment="1">
      <x:alignment vertical="center" wrapText="1"/>
    </x:xf>
    <x:xf numFmtId="201" fontId="1" fillId="57" borderId="0" xfId="0" applyNumberFormat="1" applyFont="1" applyFill="1" applyBorder="1" applyAlignment="1">
      <x:alignment vertical="center" wrapText="1"/>
    </x:xf>
    <x:xf numFmtId="0" fontId="33" fillId="6" borderId="2" xfId="0" applyNumberFormat="1" applyFont="1" applyFill="1" applyBorder="1" applyAlignment="1">
      <x:alignment vertical="center" wrapText="1"/>
    </x:xf>
    <x:xf numFmtId="0" fontId="0" fillId="6" borderId="2" xfId="0" applyNumberFormat="1" applyFont="1" applyFill="1" applyBorder="1" applyAlignment="1">
      <x:alignment vertical="top" wrapText="1"/>
    </x:xf>
    <x:xf numFmtId="0" fontId="0" fillId="3" borderId="2" xfId="0" applyNumberFormat="1" applyFont="1" applyFill="1" applyBorder="1" applyAlignment="1">
      <x:alignment vertical="center" wrapText="1"/>
    </x:xf>
    <x:xf numFmtId="201" fontId="0" fillId="3" borderId="2" xfId="0" applyNumberFormat="1" applyFont="1" applyFill="1" applyBorder="1" applyAlignment="1">
      <x:alignment vertical="center" wrapText="1"/>
    </x:xf>
    <x:xf numFmtId="0" fontId="33" fillId="6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center" wrapText="1"/>
    </x:xf>
    <x:xf numFmtId="201" fontId="0" fillId="3" borderId="0" xfId="0" applyNumberFormat="1" applyFont="1" applyFill="1" applyBorder="1" applyAlignment="1">
      <x:alignment vertical="center" wrapText="1"/>
    </x:xf>
    <x:xf numFmtId="0" fontId="34" fillId="8" borderId="4" xfId="0" applyNumberFormat="1" applyFont="1" applyFill="1" applyBorder="1" applyAlignment="1">
      <x:alignment vertical="center" wrapText="1"/>
    </x:xf>
    <x:xf numFmtId="0" fontId="0" fillId="8" borderId="4" xfId="0" applyNumberFormat="1" applyFont="1" applyFill="1" applyBorder="1" applyAlignment="1">
      <x:alignment vertical="top" wrapText="1"/>
    </x:xf>
    <x:xf numFmtId="0" fontId="0" fillId="3" borderId="4" xfId="0" applyNumberFormat="1" applyFont="1" applyFill="1" applyBorder="1" applyAlignment="1">
      <x:alignment vertical="center" wrapText="1"/>
    </x:xf>
    <x:xf numFmtId="201" fontId="0" fillId="3" borderId="4" xfId="0" applyNumberFormat="1" applyFont="1" applyFill="1" applyBorder="1" applyAlignment="1">
      <x:alignment vertical="center" wrapText="1"/>
    </x:xf>
    <x:xf numFmtId="0" fontId="34" fillId="8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vertical="top" wrapText="1"/>
    </x:xf>
    <x:xf numFmtId="0" fontId="35" fillId="9" borderId="5" xfId="0" applyNumberFormat="1" applyFont="1" applyFill="1" applyBorder="1" applyAlignment="1">
      <x:alignment vertical="center" wrapText="1"/>
    </x:xf>
    <x:xf numFmtId="0" fontId="0" fillId="9" borderId="5" xfId="0" applyNumberFormat="1" applyFont="1" applyFill="1" applyBorder="1" applyAlignment="1">
      <x:alignment vertical="top" wrapText="1"/>
    </x:xf>
    <x:xf numFmtId="0" fontId="0" fillId="3" borderId="5" xfId="0" applyNumberFormat="1" applyFont="1" applyFill="1" applyBorder="1" applyAlignment="1">
      <x:alignment vertical="center" wrapText="1"/>
    </x:xf>
    <x:xf numFmtId="201" fontId="0" fillId="3" borderId="5" xfId="0" applyNumberFormat="1" applyFont="1" applyFill="1" applyBorder="1" applyAlignment="1">
      <x:alignment vertical="center" wrapText="1"/>
    </x:xf>
    <x:xf numFmtId="0" fontId="35" fillId="9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 applyAlignment="1">
      <x:alignment vertical="top" wrapText="1"/>
    </x:xf>
    <x:xf numFmtId="0" fontId="36" fillId="12" borderId="8" xfId="0" applyNumberFormat="1" applyFont="1" applyFill="1" applyBorder="1" applyAlignment="1">
      <x:alignment vertical="center" wrapText="1"/>
    </x:xf>
    <x:xf numFmtId="0" fontId="0" fillId="12" borderId="8" xfId="0" applyNumberFormat="1" applyFont="1" applyFill="1" applyBorder="1" applyAlignment="1">
      <x:alignment vertical="top" wrapText="1"/>
    </x:xf>
    <x:xf numFmtId="0" fontId="0" fillId="3" borderId="8" xfId="0" applyNumberFormat="1" applyFont="1" applyFill="1" applyBorder="1" applyAlignment="1">
      <x:alignment vertical="center" wrapText="1"/>
    </x:xf>
    <x:xf numFmtId="201" fontId="0" fillId="3" borderId="8" xfId="0" applyNumberFormat="1" applyFont="1" applyFill="1" applyBorder="1" applyAlignment="1">
      <x:alignment vertical="center" wrapText="1"/>
    </x:xf>
    <x:xf numFmtId="0" fontId="36" fillId="12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 applyAlignment="1">
      <x:alignment vertical="top" wrapText="1"/>
    </x:xf>
    <x:xf numFmtId="0" fontId="37" fillId="7" borderId="3" xfId="0" applyNumberFormat="1" applyFont="1" applyFill="1" applyBorder="1" applyAlignment="1">
      <x:alignment vertical="center" wrapText="1"/>
    </x:xf>
    <x:xf numFmtId="0" fontId="0" fillId="7" borderId="3" xfId="0" applyNumberFormat="1" applyFont="1" applyFill="1" applyBorder="1" applyAlignment="1">
      <x:alignment vertical="top" wrapText="1"/>
    </x:xf>
    <x:xf numFmtId="0" fontId="0" fillId="3" borderId="3" xfId="0" applyNumberFormat="1" applyFont="1" applyFill="1" applyBorder="1" applyAlignment="1">
      <x:alignment vertical="center" wrapText="1"/>
    </x:xf>
    <x:xf numFmtId="201" fontId="0" fillId="3" borderId="3" xfId="0" applyNumberFormat="1" applyFont="1" applyFill="1" applyBorder="1" applyAlignment="1">
      <x:alignment vertical="center" wrapText="1"/>
    </x:xf>
    <x:xf numFmtId="0" fontId="37" fillId="7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vertical="top" wrapText="1"/>
    </x:xf>
    <x:xf numFmtId="0" fontId="38" fillId="13" borderId="9" xfId="0" applyNumberFormat="1" applyFont="1" applyFill="1" applyBorder="1" applyAlignment="1">
      <x:alignment vertical="center" wrapText="1"/>
    </x:xf>
    <x:xf numFmtId="0" fontId="0" fillId="13" borderId="9" xfId="0" applyNumberFormat="1" applyFont="1" applyFill="1" applyBorder="1" applyAlignment="1">
      <x:alignment vertical="top" wrapText="1"/>
    </x:xf>
    <x:xf numFmtId="0" fontId="0" fillId="3" borderId="9" xfId="0" applyNumberFormat="1" applyFont="1" applyFill="1" applyBorder="1" applyAlignment="1">
      <x:alignment vertical="center" wrapText="1"/>
    </x:xf>
    <x:xf numFmtId="201" fontId="0" fillId="3" borderId="9" xfId="0" applyNumberFormat="1" applyFont="1" applyFill="1" applyBorder="1" applyAlignment="1">
      <x:alignment vertical="center" wrapText="1"/>
    </x:xf>
    <x:xf numFmtId="0" fontId="38" fillId="13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 applyAlignment="1">
      <x:alignment vertical="top" wrapText="1"/>
    </x:xf>
    <x:xf numFmtId="0" fontId="39" fillId="17" borderId="13" xfId="0" applyNumberFormat="1" applyFont="1" applyFill="1" applyBorder="1" applyAlignment="1">
      <x:alignment vertical="center" wrapText="1"/>
    </x:xf>
    <x:xf numFmtId="0" fontId="0" fillId="17" borderId="13" xfId="0" applyNumberFormat="1" applyFont="1" applyFill="1" applyBorder="1" applyAlignment="1">
      <x:alignment vertical="top" wrapText="1"/>
    </x:xf>
    <x:xf numFmtId="0" fontId="0" fillId="3" borderId="13" xfId="0" applyNumberFormat="1" applyFont="1" applyFill="1" applyBorder="1" applyAlignment="1">
      <x:alignment vertical="center" wrapText="1"/>
    </x:xf>
    <x:xf numFmtId="201" fontId="0" fillId="3" borderId="13" xfId="0" applyNumberFormat="1" applyFont="1" applyFill="1" applyBorder="1" applyAlignment="1">
      <x:alignment vertical="center" wrapText="1"/>
    </x:xf>
    <x:xf numFmtId="0" fontId="39" fillId="17" borderId="0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 applyAlignment="1">
      <x:alignment vertical="top" wrapText="1"/>
    </x:xf>
    <x:xf numFmtId="0" fontId="40" fillId="27" borderId="18" xfId="0" applyNumberFormat="1" applyFont="1" applyFill="1" applyBorder="1" applyAlignment="1">
      <x:alignment vertical="center" wrapText="1"/>
    </x:xf>
    <x:xf numFmtId="0" fontId="0" fillId="27" borderId="18" xfId="0" applyNumberFormat="1" applyFont="1" applyFill="1" applyBorder="1" applyAlignment="1">
      <x:alignment vertical="top" wrapText="1"/>
    </x:xf>
    <x:xf numFmtId="0" fontId="0" fillId="3" borderId="18" xfId="0" applyNumberFormat="1" applyFont="1" applyFill="1" applyBorder="1" applyAlignment="1">
      <x:alignment vertical="center" wrapText="1"/>
    </x:xf>
    <x:xf numFmtId="201" fontId="0" fillId="3" borderId="18" xfId="0" applyNumberFormat="1" applyFont="1" applyFill="1" applyBorder="1" applyAlignment="1">
      <x:alignment vertical="center" wrapText="1"/>
    </x:xf>
    <x:xf numFmtId="0" fontId="40" fillId="27" borderId="0" xfId="0" applyNumberFormat="1" applyFont="1" applyFill="1" applyBorder="1" applyAlignment="1">
      <x:alignment vertical="center" wrapText="1"/>
    </x:xf>
    <x:xf numFmtId="0" fontId="0" fillId="27" borderId="0" xfId="0" applyNumberFormat="1" applyFont="1" applyFill="1" applyBorder="1" applyAlignment="1">
      <x:alignment vertical="top" wrapText="1"/>
    </x:xf>
    <x:xf numFmtId="0" fontId="1" fillId="57" borderId="0" xfId="0" applyNumberFormat="1" applyFont="1" applyFill="1" applyBorder="1" applyAlignment="1">
      <x:alignment wrapText="1"/>
    </x:xf>
    <x:xf numFmtId="201" fontId="1" fillId="57" borderId="0" xfId="0" applyNumberFormat="1" applyFont="1" applyFill="1" applyBorder="1" applyAlignment="1">
      <x:alignment wrapText="1"/>
    </x:xf>
    <x:xf numFmtId="0" fontId="1" fillId="62" borderId="0" xfId="0" applyNumberFormat="1" applyFont="1" applyFill="1" applyBorder="1" applyAlignment="1">
      <x:alignment vertical="center" wrapText="1"/>
    </x:xf>
    <x:xf numFmtId="0" fontId="43" fillId="0" borderId="0" xfId="0" applyNumberFormat="1" applyFont="1" applyFill="1" applyBorder="1"/>
    <x:xf numFmtId="0" fontId="1" fillId="56" borderId="0" xfId="0" applyNumberFormat="1" applyFont="1" applyFill="1" applyBorder="1"/>
    <x:xf numFmtId="0" fontId="3" fillId="56" borderId="0" xfId="0" applyNumberFormat="1" applyFont="1" applyFill="1" applyBorder="1"/>
    <x:xf numFmtId="0" fontId="3" fillId="56" borderId="0" xfId="0" applyNumberFormat="1" applyFont="1" applyFill="1" applyBorder="1" applyAlignment="1">
      <x:alignment wrapText="1"/>
    </x:xf>
    <x:xf numFmtId="0" fontId="3" fillId="56" borderId="0" xfId="0" applyNumberFormat="1" applyFont="1" applyFill="1" applyBorder="1" applyAlignment="1">
      <x:alignment horizontal="center" wrapText="1"/>
    </x:xf>
    <x:xf numFmtId="0" fontId="1" fillId="62" borderId="0" xfId="0" applyNumberFormat="1" applyFont="1" applyFill="1" applyBorder="1"/>
    <x:xf numFmtId="0" fontId="42" fillId="62" borderId="0" xfId="0" applyNumberFormat="1" applyFont="1" applyFill="1" applyBorder="1"/>
    <x:xf numFmtId="0" fontId="42" fillId="62" borderId="0" xfId="0" applyNumberFormat="1" applyFont="1" applyFill="1" applyBorder="1" applyAlignment="1">
      <x:alignment wrapText="1"/>
    </x:xf>
    <x:xf numFmtId="0" fontId="42" fillId="62" borderId="0" xfId="0" applyNumberFormat="1" applyFont="1" applyFill="1" applyBorder="1" applyAlignment="1">
      <x:alignment horizontal="center" wrapText="1"/>
    </x:xf>
    <x:xf numFmtId="0" fontId="1" fillId="59" borderId="0" xfId="0" applyNumberFormat="1" applyFont="1" applyFill="1" applyBorder="1"/>
    <x:xf numFmtId="0" fontId="44" fillId="59" borderId="0" xfId="0" applyNumberFormat="1" applyFont="1" applyFill="1" applyBorder="1"/>
    <x:xf numFmtId="0" fontId="44" fillId="59" borderId="0" xfId="0" applyNumberFormat="1" applyFont="1" applyFill="1" applyBorder="1" applyAlignment="1">
      <x:alignment wrapText="1"/>
    </x:xf>
    <x:xf numFmtId="0" fontId="1" fillId="63" borderId="0" xfId="0" applyNumberFormat="1" applyFont="1" applyFill="1" applyBorder="1" applyAlignment="1">
      <x:alignment vertical="center"/>
    </x:xf>
    <x:xf numFmtId="0" fontId="3" fillId="63" borderId="0" xfId="0" applyNumberFormat="1" applyFont="1" applyFill="1" applyBorder="1" applyAlignment="1">
      <x:alignment vertical="center"/>
    </x:xf>
    <x:xf numFmtId="0" fontId="3" fillId="63" borderId="0" xfId="0" applyNumberFormat="1" applyFont="1" applyFill="1" applyBorder="1" applyAlignment="1">
      <x:alignment vertical="center" wrapText="1"/>
    </x:xf>
    <x:xf numFmtId="0" fontId="3" fillId="63" borderId="0" xfId="0" applyNumberFormat="1" applyFont="1" applyFill="1" applyBorder="1" applyAlignment="1">
      <x:alignment horizontal="center" vertical="center" wrapText="1"/>
    </x:xf>
    <x:xf numFmtId="0" fontId="1" fillId="64" borderId="0" xfId="0" applyNumberFormat="1" applyFont="1" applyFill="1" applyBorder="1" applyAlignment="1">
      <x:alignment vertical="center"/>
    </x:xf>
    <x:xf numFmtId="0" fontId="4" fillId="64" borderId="0" xfId="0" applyNumberFormat="1" applyFont="1" applyFill="1" applyBorder="1" applyAlignment="1">
      <x:alignment vertical="center"/>
    </x:xf>
    <x:xf numFmtId="0" fontId="1" fillId="65" borderId="0" xfId="0" applyNumberFormat="1" applyFont="1" applyFill="1" applyBorder="1" applyAlignment="1">
      <x:alignment vertical="center"/>
    </x:xf>
    <x:xf numFmtId="0" fontId="6" fillId="65" borderId="0" xfId="0" applyNumberFormat="1" applyFont="1" applyFill="1" applyBorder="1" applyAlignment="1">
      <x:alignment vertical="center"/>
    </x:xf>
    <x:xf numFmtId="0" fontId="1" fillId="66" borderId="0" xfId="0" applyNumberFormat="1" applyFont="1" applyFill="1" applyBorder="1" applyAlignment="1">
      <x:alignment vertical="center"/>
    </x:xf>
    <x:xf numFmtId="0" fontId="7" fillId="66" borderId="0" xfId="0" applyNumberFormat="1" applyFont="1" applyFill="1" applyBorder="1" applyAlignment="1">
      <x:alignment vertical="center"/>
    </x:xf>
    <x:xf numFmtId="0" fontId="1" fillId="67" borderId="0" xfId="0" applyNumberFormat="1" applyFont="1" applyFill="1" applyBorder="1" applyAlignment="1">
      <x:alignment vertical="center"/>
    </x:xf>
    <x:xf numFmtId="0" fontId="10" fillId="67" borderId="0" xfId="0" applyNumberFormat="1" applyFont="1" applyFill="1" applyBorder="1" applyAlignment="1">
      <x:alignment vertical="center"/>
    </x:xf>
    <x:xf numFmtId="0" fontId="1" fillId="68" borderId="0" xfId="0" applyNumberFormat="1" applyFont="1" applyFill="1" applyBorder="1" applyAlignment="1">
      <x:alignment vertical="center"/>
    </x:xf>
    <x:xf numFmtId="0" fontId="5" fillId="68" borderId="0" xfId="0" applyNumberFormat="1" applyFont="1" applyFill="1" applyBorder="1" applyAlignment="1">
      <x:alignment vertical="center"/>
    </x:xf>
    <x:xf numFmtId="0" fontId="1" fillId="69" borderId="0" xfId="0" applyNumberFormat="1" applyFont="1" applyFill="1" applyBorder="1" applyAlignment="1">
      <x:alignment vertical="center"/>
    </x:xf>
    <x:xf numFmtId="0" fontId="11" fillId="69" borderId="0" xfId="0" applyNumberFormat="1" applyFont="1" applyFill="1" applyBorder="1" applyAlignment="1">
      <x:alignment vertical="center"/>
    </x:xf>
    <x:xf numFmtId="0" fontId="1" fillId="70" borderId="0" xfId="0" applyNumberFormat="1" applyFont="1" applyFill="1" applyBorder="1" applyAlignment="1">
      <x:alignment vertical="center"/>
    </x:xf>
    <x:xf numFmtId="0" fontId="15" fillId="70" borderId="0" xfId="0" applyNumberFormat="1" applyFont="1" applyFill="1" applyBorder="1" applyAlignment="1">
      <x:alignment vertical="center"/>
    </x:xf>
    <x:xf numFmtId="0" fontId="4" fillId="64" borderId="0" xfId="0" applyNumberFormat="1" applyFont="1" applyFill="1" applyBorder="1" applyAlignment="1">
      <x:alignment vertical="center" wrapText="1"/>
    </x:xf>
    <x:xf numFmtId="0" fontId="1" fillId="64" borderId="0" xfId="0" applyNumberFormat="1" applyFont="1" applyFill="1" applyBorder="1" applyAlignment="1">
      <x:alignment vertical="center" wrapText="1"/>
    </x:xf>
    <x:xf numFmtId="0" fontId="6" fillId="65" borderId="0" xfId="0" applyNumberFormat="1" applyFont="1" applyFill="1" applyBorder="1" applyAlignment="1">
      <x:alignment vertical="center" wrapText="1"/>
    </x:xf>
    <x:xf numFmtId="0" fontId="1" fillId="65" borderId="0" xfId="0" applyNumberFormat="1" applyFont="1" applyFill="1" applyBorder="1" applyAlignment="1">
      <x:alignment vertical="center" wrapText="1"/>
    </x:xf>
    <x:xf numFmtId="0" fontId="7" fillId="66" borderId="0" xfId="0" applyNumberFormat="1" applyFont="1" applyFill="1" applyBorder="1" applyAlignment="1">
      <x:alignment vertical="center" wrapText="1"/>
    </x:xf>
    <x:xf numFmtId="0" fontId="1" fillId="66" borderId="0" xfId="0" applyNumberFormat="1" applyFont="1" applyFill="1" applyBorder="1" applyAlignment="1">
      <x:alignment vertical="center" wrapText="1"/>
    </x:xf>
    <x:xf numFmtId="0" fontId="10" fillId="67" borderId="0" xfId="0" applyNumberFormat="1" applyFont="1" applyFill="1" applyBorder="1" applyAlignment="1">
      <x:alignment vertical="center" wrapText="1"/>
    </x:xf>
    <x:xf numFmtId="0" fontId="1" fillId="67" borderId="0" xfId="0" applyNumberFormat="1" applyFont="1" applyFill="1" applyBorder="1" applyAlignment="1">
      <x:alignment vertical="center" wrapText="1"/>
    </x:xf>
    <x:xf numFmtId="0" fontId="5" fillId="68" borderId="0" xfId="0" applyNumberFormat="1" applyFont="1" applyFill="1" applyBorder="1" applyAlignment="1">
      <x:alignment vertical="center" wrapText="1"/>
    </x:xf>
    <x:xf numFmtId="0" fontId="1" fillId="68" borderId="0" xfId="0" applyNumberFormat="1" applyFont="1" applyFill="1" applyBorder="1" applyAlignment="1">
      <x:alignment vertical="center" wrapText="1"/>
    </x:xf>
    <x:xf numFmtId="0" fontId="11" fillId="69" borderId="0" xfId="0" applyNumberFormat="1" applyFont="1" applyFill="1" applyBorder="1" applyAlignment="1">
      <x:alignment vertical="center" wrapText="1"/>
    </x:xf>
    <x:xf numFmtId="0" fontId="1" fillId="69" borderId="0" xfId="0" applyNumberFormat="1" applyFont="1" applyFill="1" applyBorder="1" applyAlignment="1">
      <x:alignment vertical="center" wrapText="1"/>
    </x:xf>
    <x:xf numFmtId="0" fontId="15" fillId="70" borderId="0" xfId="0" applyNumberFormat="1" applyFont="1" applyFill="1" applyBorder="1" applyAlignment="1">
      <x:alignment vertical="center" wrapText="1"/>
    </x:xf>
    <x:xf numFmtId="0" fontId="1" fillId="70" borderId="0" xfId="0" applyNumberFormat="1" applyFont="1" applyFill="1" applyBorder="1" applyAlignment="1">
      <x:alignment vertical="center" wrapText="1"/>
    </x:xf>
    <x:xf numFmtId="0" fontId="1" fillId="71" borderId="0" xfId="0" applyNumberFormat="1" applyFont="1" applyFill="1" applyBorder="1" applyAlignment="1">
      <x:alignment vertical="center" wrapText="1"/>
    </x:xf>
    <x:xf numFmtId="201" fontId="1" fillId="71" borderId="0" xfId="0" applyNumberFormat="1" applyFont="1" applyFill="1" applyBorder="1" applyAlignment="1">
      <x:alignment vertical="center" wrapText="1"/>
    </x:xf>
    <x:xf numFmtId="0" fontId="0" fillId="63" borderId="0" xfId="0" applyNumberFormat="1" applyFont="1" applyFill="1" applyBorder="1"/>
    <x:xf numFmtId="0" fontId="24" fillId="63" borderId="0" xfId="0" applyNumberFormat="1" applyFont="1" applyFill="1" applyBorder="1"/>
    <x:xf numFmtId="0" fontId="24" fillId="63" borderId="0" xfId="0" applyNumberFormat="1" applyFont="1" applyFill="1" applyBorder="1" applyAlignment="1">
      <x:alignment wrapText="1"/>
    </x:xf>
    <x:xf numFmtId="0" fontId="24" fillId="63" borderId="0" xfId="0" applyNumberFormat="1" applyFont="1" applyFill="1" applyBorder="1" applyAlignment="1">
      <x:alignment horizontal="center" wrapText="1"/>
    </x:xf>
    <x:xf numFmtId="0" fontId="24" fillId="63" borderId="0" xfId="0" applyNumberFormat="1" applyFont="1" applyFill="1" applyBorder="1" applyAlignment="1">
      <x:alignment horizontal="center" vertical="center" wrapText="1"/>
    </x:xf>
    <x:xf numFmtId="0" fontId="1" fillId="72" borderId="0" xfId="0" applyNumberFormat="1" applyFont="1" applyFill="1" applyBorder="1" applyAlignment="1">
      <x:alignment vertical="center" wrapText="1"/>
    </x:xf>
    <x:xf numFmtId="0" fontId="45" fillId="0" borderId="0" xfId="0" applyNumberFormat="1" applyFont="1" applyFill="1" applyBorder="1"/>
    <x:xf numFmtId="0" fontId="1" fillId="63" borderId="0" xfId="0" applyNumberFormat="1" applyFont="1" applyFill="1" applyBorder="1"/>
    <x:xf numFmtId="0" fontId="3" fillId="63" borderId="0" xfId="0" applyNumberFormat="1" applyFont="1" applyFill="1" applyBorder="1"/>
    <x:xf numFmtId="0" fontId="3" fillId="63" borderId="0" xfId="0" applyNumberFormat="1" applyFont="1" applyFill="1" applyBorder="1" applyAlignment="1">
      <x:alignment wrapText="1"/>
    </x:xf>
    <x:xf numFmtId="0" fontId="3" fillId="63" borderId="0" xfId="0" applyNumberFormat="1" applyFont="1" applyFill="1" applyBorder="1" applyAlignment="1">
      <x:alignment horizontal="center" wrapText="1"/>
    </x:xf>
    <x:xf numFmtId="0" fontId="1" fillId="68" borderId="0" xfId="0" applyNumberFormat="1" applyFont="1" applyFill="1" applyBorder="1"/>
    <x:xf numFmtId="0" fontId="42" fillId="68" borderId="0" xfId="0" applyNumberFormat="1" applyFont="1" applyFill="1" applyBorder="1"/>
    <x:xf numFmtId="0" fontId="42" fillId="68" borderId="0" xfId="0" applyNumberFormat="1" applyFont="1" applyFill="1" applyBorder="1" applyAlignment="1">
      <x:alignment wrapText="1"/>
    </x:xf>
    <x:xf numFmtId="0" fontId="42" fillId="68" borderId="0" xfId="0" applyNumberFormat="1" applyFont="1" applyFill="1" applyBorder="1" applyAlignment="1">
      <x:alignment horizontal="center" wrapText="1"/>
    </x:xf>
    <x:xf numFmtId="0" fontId="0" fillId="73" borderId="0" xfId="0" applyNumberFormat="1" applyFont="1" applyFill="1" applyBorder="1"/>
    <x:xf numFmtId="0" fontId="46" fillId="73" borderId="0" xfId="0" applyNumberFormat="1" applyFont="1" applyFill="1" applyBorder="1"/>
    <x:xf numFmtId="0" fontId="47" fillId="0" borderId="0" xfId="0" applyNumberFormat="1" applyFont="1" applyFill="1" applyBorder="1"/>
    <x:xf numFmtId="0" fontId="47" fillId="0" borderId="0" xfId="0" applyNumberFormat="1" applyFont="1" applyFill="1" applyBorder="1" applyAlignment="1">
      <x:alignment wrapText="1"/>
    </x:xf>
    <x:xf numFmtId="0" fontId="0" fillId="74" borderId="0" xfId="0" applyNumberFormat="1" applyFont="1" applyFill="1" applyBorder="1"/>
    <x:xf numFmtId="0" fontId="24" fillId="74" borderId="0" xfId="0" applyNumberFormat="1" applyFont="1" applyFill="1" applyBorder="1"/>
    <x:xf numFmtId="0" fontId="1" fillId="75" borderId="0" xfId="0" applyNumberFormat="1" applyFont="1" applyFill="1" applyBorder="1" applyAlignment="1">
      <x:alignment vertical="center" wrapText="1"/>
    </x:xf>
    <x:xf numFmtId="0" fontId="1" fillId="76" borderId="0" xfId="0" applyNumberFormat="1" applyFont="1" applyFill="1" applyBorder="1" applyAlignment="1">
      <x:alignment vertical="center" wrapText="1"/>
    </x:xf>
    <x:xf numFmtId="0" fontId="48" fillId="0" borderId="0" xfId="0" applyNumberFormat="1" applyFont="1" applyFill="1" applyBorder="1"/>
    <x:xf numFmtId="0" fontId="48" fillId="0" borderId="0" xfId="0" applyNumberFormat="1" applyFont="1" applyFill="1" applyBorder="1" applyAlignment="1">
      <x:alignment wrapText="1"/>
    </x:xf>
    <x:xf numFmtId="0" fontId="49" fillId="0" borderId="0" xfId="0" applyNumberFormat="1" applyFont="1" applyFill="1" applyBorder="1"/>
    <x:xf numFmtId="0" fontId="49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78"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6D28D9"/>
      </x:font>
      <x:fill>
        <x:patternFill>
          <x:bgColor rgb="FFEDE9FE"/>
        </x:patternFill>
      </x:fill>
    </x:dxf>
    <x:dxf>
      <x:font>
        <x:b/>
        <x:color rgb="FF9A3412"/>
      </x:font>
      <x:fill>
        <x:patternFill>
          <x:bgColor rgb="FFFFEDD5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</x:font>
      <x:fill>
        <x:patternFill patternType="solid">
          <x:bgColor rgb="FFDCFCE7"/>
        </x:patternFill>
      </x:fill>
    </x:dxf>
    <x:dxf>
      <x:font>
        <x:b/>
      </x:font>
      <x:fill>
        <x:patternFill patternType="solid">
          <x:bgColor rgb="FFFEE2E2"/>
        </x:patternFill>
      </x:fill>
    </x:dxf>
    <x:dxf>
      <x:font>
        <x:b/>
      </x:font>
      <x:fill>
        <x:patternFill patternType="solid">
          <x:bgColor rgb="FFFEF3C7"/>
        </x:patternFill>
      </x:fill>
    </x:dxf>
    <x:dxf>
      <x:font>
        <x:b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ff9e8e5c2f419a" /><Relationship Type="http://schemas.openxmlformats.org/officeDocument/2006/relationships/theme" Target="/xl/theme/theme1.xml" Id="R33679c7749054470" /><Relationship Type="http://schemas.openxmlformats.org/officeDocument/2006/relationships/sharedStrings" Target="/xl/sharedStrings.xml" Id="R81744b8b27714c9f" /><Relationship Type="http://schemas.openxmlformats.org/officeDocument/2006/relationships/worksheet" Target="/xl/worksheets/sheet1.xml" Id="R1eeb71b2396b4949" /><Relationship Type="http://schemas.openxmlformats.org/officeDocument/2006/relationships/worksheet" Target="/xl/worksheets/sheet2.xml" Id="R1f1743e96bfd4100" /><Relationship Type="http://schemas.openxmlformats.org/officeDocument/2006/relationships/worksheet" Target="/xl/worksheets/sheet3.xml" Id="Ra3c91a3c1a3f458e" /><Relationship Type="http://schemas.openxmlformats.org/officeDocument/2006/relationships/worksheet" Target="/xl/worksheets/sheet4.xml" Id="R2b4f26a572174f4a" /><Relationship Type="http://schemas.openxmlformats.org/officeDocument/2006/relationships/worksheet" Target="/xl/worksheets/sheet5.xml" Id="R32f45f3475e4482b" /><Relationship Type="http://schemas.openxmlformats.org/officeDocument/2006/relationships/worksheet" Target="/xl/worksheets/sheet6.xml" Id="R3f5080c3c2ae4302" /><Relationship Type="http://schemas.openxmlformats.org/officeDocument/2006/relationships/worksheet" Target="/xl/worksheets/sheet7.xml" Id="R40f3c3c1a14341ae" /><Relationship Type="http://schemas.openxmlformats.org/officeDocument/2006/relationships/worksheet" Target="/xl/worksheets/sheet8.xml" Id="R1952abe51bdf4288" /><Relationship Type="http://schemas.openxmlformats.org/officeDocument/2006/relationships/worksheet" Target="/xl/worksheets/sheet9.xml" Id="Ra1e4dfb70e7d49c8" /><Relationship Type="http://schemas.openxmlformats.org/officeDocument/2006/relationships/worksheet" Target="/xl/worksheets/sheet10.xml" Id="R1fb192851909496e" /><Relationship Type="http://schemas.openxmlformats.org/officeDocument/2006/relationships/worksheet" Target="/xl/worksheets/sheet11.xml" Id="Rcb4ca5ac8cf74371" /></Relationships>
</file>

<file path=xl/tables/table1.xml><?xml version="1.0" encoding="utf-8"?>
<x:table xmlns:x="http://schemas.openxmlformats.org/spreadsheetml/2006/main" id="1" name="FrontendCases" displayName="FrontendCases" ref="A5:K157" headerRowCount="1" totalsRowCount="0" totalsRowShown="0">
  <x:autoFilter ref="A5:K157"/>
  <x:tableColumns count="11">
    <x:tableColumn id="1" name="编号"/>
    <x:tableColumn id="2" name="测试模块"/>
    <x:tableColumn id="3" name="优先顺序"/>
    <x:tableColumn id="4" name="怎么测"/>
    <x:tableColumn id="5" name="怎样才算正常"/>
    <x:tableColumn id="6" name="测试结果"/>
    <x:tableColumn id="7" name="实际看到什么"/>
    <x:tableColumn id="8" name="测试人"/>
    <x:tableColumn id="9" name="测试日期"/>
    <x:tableColumn id="10" name="截图或证据位置"/>
    <x:tableColumn id="11" name="问题编号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IssueLog" displayName="IssueLog" ref="A5:J35" headerRowCount="1" totalsRowCount="0" totalsRowShown="0">
  <x:autoFilter ref="A5:J35"/>
  <x:tableColumns count="10">
    <x:tableColumn id="1" name="问题编号"/>
    <x:tableColumn id="2" name="检查项编号"/>
    <x:tableColumn id="3" name="问题简述"/>
    <x:tableColumn id="4" name="怎么操作会出现"/>
    <x:tableColumn id="5" name="本来应该怎样"/>
    <x:tableColumn id="6" name="实际出现什么"/>
    <x:tableColumn id="7" name="严重程度"/>
    <x:tableColumn id="8" name="负责人"/>
    <x:tableColumn id="9" name="处理进度"/>
    <x:tableColumn id="10" name="修复版本和复测情况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EndToEndFlows" displayName="EndToEndFlows" ref="A5:J41" headerRowCount="1" totalsRowCount="0" totalsRowShown="0">
  <x:autoFilter ref="A5:J41"/>
  <x:tableColumns count="10">
    <x:tableColumn id="1" name="流程编号"/>
    <x:tableColumn id="2" name="本轮场景"/>
    <x:tableColumn id="3" name="配置组合"/>
    <x:tableColumn id="4" name="本轮重点怎么做"/>
    <x:tableColumn id="5" name="走到哪里才算跑通"/>
    <x:tableColumn id="6" name="数据批次及事件编号"/>
    <x:tableColumn id="7" name="流程结果"/>
    <x:tableColumn id="8" name="负责人"/>
    <x:tableColumn id="9" name="执行日期或轮次"/>
    <x:tableColumn id="10" name="问题及证据索引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lowSteps" displayName="FlowSteps" ref="A5:L365" headerRowCount="1" totalsRowCount="0" totalsRowShown="0">
  <x:autoFilter ref="A5:L365"/>
  <x:tableColumns count="12">
    <x:tableColumn id="1" name="流程编号"/>
    <x:tableColumn id="2" name="步骤"/>
    <x:tableColumn id="3" name="测试阶段"/>
    <x:tableColumn id="4" name="场景"/>
    <x:tableColumn id="5" name="怎么做"/>
    <x:tableColumn id="6" name="这一步应该看到什么"/>
    <x:tableColumn id="7" name="本步结果"/>
    <x:tableColumn id="8" name="实际结果及子批次"/>
    <x:tableColumn id="9" name="测试人"/>
    <x:tableColumn id="10" name="测试日期"/>
    <x:tableColumn id="11" name="截图和证据位置"/>
    <x:tableColumn id="12" name="目标或事件编号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lanReview" displayName="PlanReview" ref="A5:J17" headerRowCount="1" totalsRowCount="0" totalsRowShown="0">
  <x:autoFilter ref="A5:J17"/>
  <x:tableColumns count="10">
    <x:tableColumn id="1" name="编号"/>
    <x:tableColumn id="2" name="处理顺序"/>
    <x:tableColumn id="3" name="问题性质"/>
    <x:tableColumn id="4" name="说清楚是什么问题"/>
    <x:tableColumn id="5" name="核对发现"/>
    <x:tableColumn id="6" name="测试计划怎么改"/>
    <x:tableColumn id="7" name="依据"/>
    <x:tableColumn id="8" name="关联位置"/>
    <x:tableColumn id="9" name="负责人"/>
    <x:tableColumn id="10" name="确认意见或变更编号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upplementCases" displayName="SupplementCases" ref="A5:M53" headerRowCount="1" totalsRowCount="0" totalsRowShown="0">
  <x:autoFilter ref="A5:M53"/>
  <x:tableColumns count="13">
    <x:tableColumn id="1" name="编号"/>
    <x:tableColumn id="2" name="问题编号"/>
    <x:tableColumn id="3" name="模块"/>
    <x:tableColumn id="4" name="优先顺序"/>
    <x:tableColumn id="5" name="场景和准备条件"/>
    <x:tableColumn id="6" name="怎么测"/>
    <x:tableColumn id="7" name="怎样才算正常"/>
    <x:tableColumn id="8" name="测试结果"/>
    <x:tableColumn id="9" name="实际结果及批次"/>
    <x:tableColumn id="10" name="证据位置及关联编号"/>
    <x:tableColumn id="11" name="执行人"/>
    <x:tableColumn id="12" name="执行日期"/>
    <x:tableColumn id="13" name="记录检查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eviceOpsCases" displayName="DeviceOpsCases" ref="A5:M69" headerRowCount="1" totalsRowCount="0" totalsRowShown="0">
  <x:autoFilter ref="A5:M69"/>
  <x:tableColumns count="13">
    <x:tableColumn id="1" name="编号"/>
    <x:tableColumn id="2" name="测试模块"/>
    <x:tableColumn id="3" name="优先顺序"/>
    <x:tableColumn id="4" name="这次要测什么"/>
    <x:tableColumn id="5" name="准备条件和怎么做"/>
    <x:tableColumn id="6" name="怎样才算正常"/>
    <x:tableColumn id="7" name="要留下的证据"/>
    <x:tableColumn id="8" name="测试结果"/>
    <x:tableColumn id="9" name="实际结果与批次"/>
    <x:tableColumn id="10" name="证据位置与关联编号"/>
    <x:tableColumn id="11" name="测试人"/>
    <x:tableColumn id="12" name="测试日期"/>
    <x:tableColumn id="13" name="记录检查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ExecutionRecords" displayName="ExecutionRecords" ref="A4:G16" headerRowCount="1" totalsRowCount="0" totalsRowShown="0">
  <x:tableColumns count="7">
    <x:tableColumn id="1" name="记录编号"/>
    <x:tableColumn id="2" name="关联范围"/>
    <x:tableColumn id="3" name="执行内容"/>
    <x:tableColumn id="4" name="实际结果"/>
    <x:tableColumn id="5" name="结论"/>
    <x:tableColumn id="6" name="证据文件（见下方目录）"/>
    <x:tableColumn id="7" name="下一步/限制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f09fe013c34401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c595069375d4435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18d0131d3f3a4db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7efb73730a20416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485dc54870054ef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c647fa86d170496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c556e70ac45a4f7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1a45a7250eb64588" /></Relationships>
</file>

<file path=xl/worksheets/sheet1.xml><?xml version="1.0" encoding="utf-8"?>
<x:worksheet xmlns:x="http://schemas.openxmlformats.org/spreadsheetml/2006/main">
  <x:sheetPr>
    <x:tabColor rgb="FF16324F"/>
  </x:sheetPr>
  <x:sheetViews>
    <x:sheetView showGridLines="0" workbookViewId="0"/>
  </x:sheetViews>
  <x:sheetFormatPr defaultRowHeight="15"/>
  <x:cols>
    <x:col min="1" max="1" width="31" hidden="0" customWidth="1"/>
    <x:col min="2" max="2" width="14" hidden="0" customWidth="1"/>
    <x:col min="3" max="3" width="16" hidden="0" customWidth="1"/>
    <x:col min="4" max="4" width="17" hidden="0" customWidth="1"/>
    <x:col min="5" max="5" width="19" hidden="0" customWidth="1"/>
    <x:col min="6" max="6" width="17" hidden="0" customWidth="1"/>
    <x:col min="7" max="7" width="16" hidden="0" customWidth="1"/>
    <x:col min="8" max="8" width="1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32" customHeight="1">
      <x:c r="A2" s="4" t="str">
        <x:v>前后台联合测试执行记录 第一轮</x:v>
      </x:c>
      <x:c r="B2" s="5"/>
      <x:c r="C2" s="5"/>
      <x:c r="D2" s="5"/>
      <x:c r="E2" s="5"/>
      <x:c r="F2" s="5"/>
      <x:c r="G2" s="5"/>
      <x:c r="H2" s="5"/>
    </x:row>
    <x:row r="3">
      <x:c r="A3" s="251" t="str">
        <x:v>通俗版  2026年9月27日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32" customHeight="1">
      <x:c r="A5" s="10" t="str">
        <x:v>检查项总数</x:v>
      </x:c>
      <x:c r="B5" s="10" t="str">
        <x:v>已通过</x:v>
      </x:c>
      <x:c r="C5" s="10" t="str">
        <x:v>有问题</x:v>
      </x:c>
      <x:c r="D5" s="10" t="str">
        <x:v>暂时测不了</x:v>
      </x:c>
      <x:c r="E5" s="10" t="str">
        <x:v>还没测</x:v>
      </x:c>
      <x:c r="F5" s="10" t="str">
        <x:v>不适用</x:v>
      </x:c>
      <x:c r="G5" s="10" t="str">
        <x:v>已执行比例</x:v>
      </x:c>
      <x:c r="H5" s="10" t="str">
        <x:v>通过比例</x:v>
      </x:c>
    </x:row>
    <x:row r="6" ht="45" customHeight="1">
      <x:c r="A6" s="255" t="n">
        <x:f>COUNTA('测试清单'!$A$6:$A$157)</x:f>
        <x:v>152</x:v>
      </x:c>
      <x:c r="B6" s="256" t="n">
        <x:f>COUNTIF('测试清单'!$F$6:$F$157,"通过")</x:f>
        <x:v>0</x:v>
      </x:c>
      <x:c r="C6" s="257" t="n">
        <x:f>COUNTIF('测试清单'!$F$6:$F$157,"有问题")</x:f>
        <x:v>0</x:v>
      </x:c>
      <x:c r="D6" s="258" t="n">
        <x:f>COUNTIF('测试清单'!$F$6:$F$157,"暂时测不了")</x:f>
        <x:v>2</x:v>
      </x:c>
      <x:c r="E6" s="259" t="n">
        <x:f>COUNTIF('测试清单'!$F$6:$F$157,"还没测")</x:f>
        <x:v>150</x:v>
      </x:c>
      <x:c r="F6" s="260" t="n">
        <x:f>COUNTIF('测试清单'!$F$6:$F$157,"不适用")</x:f>
        <x:v>0</x:v>
      </x:c>
      <x:c r="G6" s="261" t="n">
        <x:f>IF(A6-F6=0,"不适用",(B6+C6)/(A6-F6))</x:f>
        <x:v>0</x:v>
      </x:c>
      <x:c r="H6" s="262" t="str">
        <x:f>IF(B6+C6=0,"尚未执行",B6/(B6+C6))</x:f>
        <x:v>尚未执行</x:v>
      </x:c>
    </x:row>
    <x:row r="7">
      <x:c r="A7" s="2"/>
      <x:c r="B7" s="2"/>
      <x:c r="C7" s="2"/>
      <x:c r="D7" s="2"/>
      <x:c r="E7" s="2"/>
      <x:c r="F7" s="2"/>
      <x:c r="G7" s="2"/>
      <x:c r="H7" s="2"/>
    </x:row>
    <x:row r="8">
      <x:c r="A8" s="263" t="str">
        <x:v>模块检查和整体流程都要验收</x:v>
      </x:c>
      <x:c r="B8" s="2"/>
      <x:c r="C8" s="2"/>
      <x:c r="D8" s="2"/>
      <x:c r="E8" s="2"/>
      <x:c r="F8" s="2"/>
      <x:c r="G8" s="2"/>
      <x:c r="H8" s="2"/>
    </x:row>
    <x:row r="9" ht="32" customHeight="1">
      <x:c r="A9" s="6" t="str">
        <x:v>本轮已检查未登录入口和接口保护，后台专项自动化51项通过。有效测试账号未提供，业务闭环尚未执行。</x:v>
      </x:c>
      <x:c r="B9" s="6"/>
      <x:c r="C9" s="6"/>
      <x:c r="D9" s="6"/>
      <x:c r="E9" s="6"/>
      <x:c r="F9" s="6"/>
      <x:c r="G9" s="6"/>
      <x:c r="H9" s="6"/>
    </x:row>
    <x:row r="10" ht="32" customHeight="1">
      <x:c r="A10" s="6" t="str">
        <x:v>记录1项已复现界面问题、1项地图告警观察、1项账号阻塞；没有改代码或配置。明细见本轮执行记录与问题记录。</x:v>
      </x:c>
      <x:c r="B10" s="6"/>
      <x:c r="C10" s="6"/>
      <x:c r="D10" s="6"/>
      <x:c r="E10" s="6"/>
      <x:c r="F10" s="6"/>
      <x:c r="G10" s="6"/>
      <x:c r="H10" s="6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 ht="32" customHeight="1">
      <x:c r="A12" s="10" t="str">
        <x:v>测试模块</x:v>
      </x:c>
      <x:c r="B12" s="10" t="str">
        <x:v>项数</x:v>
      </x:c>
      <x:c r="C12" s="10" t="str">
        <x:v>通过</x:v>
      </x:c>
      <x:c r="D12" s="10" t="str">
        <x:v>有问题</x:v>
      </x:c>
      <x:c r="E12" s="10" t="str">
        <x:v>暂时测不了</x:v>
      </x:c>
      <x:c r="F12" s="10" t="str">
        <x:v>还没测</x:v>
      </x:c>
      <x:c r="G12" s="10" t="str">
        <x:v>不适用</x:v>
      </x:c>
      <x:c r="H12" s="10" t="str">
        <x:v>已执行比例</x:v>
      </x:c>
    </x:row>
    <x:row r="13" ht="39" customHeight="1">
      <x:c r="A13" s="163" t="str">
        <x:v>登录和账号权限</x:v>
      </x:c>
      <x:c r="B13" s="20" t="n">
        <x:f>COUNTIF('测试清单'!$B$6:$B$157,A13)</x:f>
        <x:v>12</x:v>
      </x:c>
      <x:c r="C13" s="20" t="n">
        <x:f>COUNTIFS('测试清单'!$B$6:$B$157,A13,'测试清单'!$F$6:$F$157,"通过")</x:f>
        <x:v>0</x:v>
      </x:c>
      <x:c r="D13" s="20" t="n">
        <x:f>COUNTIFS('测试清单'!$B$6:$B$157,A13,'测试清单'!$F$6:$F$157,"有问题")</x:f>
        <x:v>0</x:v>
      </x:c>
      <x:c r="E13" s="20" t="n">
        <x:f>COUNTIFS('测试清单'!$B$6:$B$157,A13,'测试清单'!$F$6:$F$157,"暂时测不了")</x:f>
        <x:v>2</x:v>
      </x:c>
      <x:c r="F13" s="20" t="n">
        <x:f>COUNTIFS('测试清单'!$B$6:$B$157,A13,'测试清单'!$F$6:$F$157,"还没测")</x:f>
        <x:v>10</x:v>
      </x:c>
      <x:c r="G13" s="20" t="n">
        <x:f>COUNTIFS('测试清单'!$B$6:$B$157,A13,'测试清单'!$F$6:$F$157,"不适用")</x:f>
        <x:v>0</x:v>
      </x:c>
      <x:c r="H13" s="264" t="n">
        <x:f>IF(B13-G13=0,"不适用",(C13+D13)/(B13-G13))</x:f>
        <x:v>0</x:v>
      </x:c>
    </x:row>
    <x:row r="14" ht="39" customHeight="1">
      <x:c r="A14" s="169" t="str">
        <x:v>融合感知</x:v>
      </x:c>
      <x:c r="B14" s="29" t="n">
        <x:f>COUNTIF('测试清单'!$B$6:$B$157,A14)</x:f>
        <x:v>10</x:v>
      </x:c>
      <x:c r="C14" s="29" t="n">
        <x:f>COUNTIFS('测试清单'!$B$6:$B$157,A14,'测试清单'!$F$6:$F$157,"通过")</x:f>
        <x:v>0</x:v>
      </x:c>
      <x:c r="D14" s="29" t="n">
        <x:f>COUNTIFS('测试清单'!$B$6:$B$157,A14,'测试清单'!$F$6:$F$157,"有问题")</x:f>
        <x:v>0</x:v>
      </x:c>
      <x:c r="E14" s="29" t="n">
        <x:f>COUNTIFS('测试清单'!$B$6:$B$157,A14,'测试清单'!$F$6:$F$157,"暂时测不了")</x:f>
        <x:v>0</x:v>
      </x:c>
      <x:c r="F14" s="29" t="n">
        <x:f>COUNTIFS('测试清单'!$B$6:$B$157,A14,'测试清单'!$F$6:$F$157,"还没测")</x:f>
        <x:v>10</x:v>
      </x:c>
      <x:c r="G14" s="29" t="n">
        <x:f>COUNTIFS('测试清单'!$B$6:$B$157,A14,'测试清单'!$F$6:$F$157,"不适用")</x:f>
        <x:v>0</x:v>
      </x:c>
      <x:c r="H14" s="265" t="n">
        <x:f>IF(B14-G14=0,"不适用",(C14+D14)/(B14-G14))</x:f>
        <x:v>0</x:v>
      </x:c>
    </x:row>
    <x:row r="15" ht="39" customHeight="1">
      <x:c r="A15" s="175" t="str">
        <x:v>飞行计划</x:v>
      </x:c>
      <x:c r="B15" s="38" t="n">
        <x:f>COUNTIF('测试清单'!$B$6:$B$157,A15)</x:f>
        <x:v>10</x:v>
      </x:c>
      <x:c r="C15" s="38" t="n">
        <x:f>COUNTIFS('测试清单'!$B$6:$B$157,A15,'测试清单'!$F$6:$F$157,"通过")</x:f>
        <x:v>0</x:v>
      </x:c>
      <x:c r="D15" s="38" t="n">
        <x:f>COUNTIFS('测试清单'!$B$6:$B$157,A15,'测试清单'!$F$6:$F$157,"有问题")</x:f>
        <x:v>0</x:v>
      </x:c>
      <x:c r="E15" s="38" t="n">
        <x:f>COUNTIFS('测试清单'!$B$6:$B$157,A15,'测试清单'!$F$6:$F$157,"暂时测不了")</x:f>
        <x:v>0</x:v>
      </x:c>
      <x:c r="F15" s="38" t="n">
        <x:f>COUNTIFS('测试清单'!$B$6:$B$157,A15,'测试清单'!$F$6:$F$157,"还没测")</x:f>
        <x:v>10</x:v>
      </x:c>
      <x:c r="G15" s="38" t="n">
        <x:f>COUNTIFS('测试清单'!$B$6:$B$157,A15,'测试清单'!$F$6:$F$157,"不适用")</x:f>
        <x:v>0</x:v>
      </x:c>
      <x:c r="H15" s="266" t="n">
        <x:f>IF(B15-G15=0,"不适用",(C15+D15)/(B15-G15))</x:f>
        <x:v>0</x:v>
      </x:c>
    </x:row>
    <x:row r="16" ht="39" customHeight="1">
      <x:c r="A16" s="181" t="str">
        <x:v>合法性研判</x:v>
      </x:c>
      <x:c r="B16" s="47" t="n">
        <x:f>COUNTIF('测试清单'!$B$6:$B$157,A16)</x:f>
        <x:v>12</x:v>
      </x:c>
      <x:c r="C16" s="47" t="n">
        <x:f>COUNTIFS('测试清单'!$B$6:$B$157,A16,'测试清单'!$F$6:$F$157,"通过")</x:f>
        <x:v>0</x:v>
      </x:c>
      <x:c r="D16" s="47" t="n">
        <x:f>COUNTIFS('测试清单'!$B$6:$B$157,A16,'测试清单'!$F$6:$F$157,"有问题")</x:f>
        <x:v>0</x:v>
      </x:c>
      <x:c r="E16" s="47" t="n">
        <x:f>COUNTIFS('测试清单'!$B$6:$B$157,A16,'测试清单'!$F$6:$F$157,"暂时测不了")</x:f>
        <x:v>0</x:v>
      </x:c>
      <x:c r="F16" s="47" t="n">
        <x:f>COUNTIFS('测试清单'!$B$6:$B$157,A16,'测试清单'!$F$6:$F$157,"还没测")</x:f>
        <x:v>12</x:v>
      </x:c>
      <x:c r="G16" s="47" t="n">
        <x:f>COUNTIFS('测试清单'!$B$6:$B$157,A16,'测试清单'!$F$6:$F$157,"不适用")</x:f>
        <x:v>0</x:v>
      </x:c>
      <x:c r="H16" s="267" t="n">
        <x:f>IF(B16-G16=0,"不适用",(C16+D16)/(B16-G16))</x:f>
        <x:v>0</x:v>
      </x:c>
    </x:row>
    <x:row r="17" ht="39" customHeight="1">
      <x:c r="A17" s="187" t="str">
        <x:v>空域管理</x:v>
      </x:c>
      <x:c r="B17" s="56" t="n">
        <x:f>COUNTIF('测试清单'!$B$6:$B$157,A17)</x:f>
        <x:v>6</x:v>
      </x:c>
      <x:c r="C17" s="56" t="n">
        <x:f>COUNTIFS('测试清单'!$B$6:$B$157,A17,'测试清单'!$F$6:$F$157,"通过")</x:f>
        <x:v>0</x:v>
      </x:c>
      <x:c r="D17" s="56" t="n">
        <x:f>COUNTIFS('测试清单'!$B$6:$B$157,A17,'测试清单'!$F$6:$F$157,"有问题")</x:f>
        <x:v>0</x:v>
      </x:c>
      <x:c r="E17" s="56" t="n">
        <x:f>COUNTIFS('测试清单'!$B$6:$B$157,A17,'测试清单'!$F$6:$F$157,"暂时测不了")</x:f>
        <x:v>0</x:v>
      </x:c>
      <x:c r="F17" s="56" t="n">
        <x:f>COUNTIFS('测试清单'!$B$6:$B$157,A17,'测试清单'!$F$6:$F$157,"还没测")</x:f>
        <x:v>6</x:v>
      </x:c>
      <x:c r="G17" s="56" t="n">
        <x:f>COUNTIFS('测试清单'!$B$6:$B$157,A17,'测试清单'!$F$6:$F$157,"不适用")</x:f>
        <x:v>0</x:v>
      </x:c>
      <x:c r="H17" s="268" t="n">
        <x:f>IF(B17-G17=0,"不适用",(C17+D17)/(B17-G17))</x:f>
        <x:v>0</x:v>
      </x:c>
    </x:row>
    <x:row r="18" ht="39" customHeight="1">
      <x:c r="A18" s="193" t="str">
        <x:v>风险核验和通知上级</x:v>
      </x:c>
      <x:c r="B18" s="65" t="n">
        <x:f>COUNTIF('测试清单'!$B$6:$B$157,A18)</x:f>
        <x:v>6</x:v>
      </x:c>
      <x:c r="C18" s="65" t="n">
        <x:f>COUNTIFS('测试清单'!$B$6:$B$157,A18,'测试清单'!$F$6:$F$157,"通过")</x:f>
        <x:v>0</x:v>
      </x:c>
      <x:c r="D18" s="65" t="n">
        <x:f>COUNTIFS('测试清单'!$B$6:$B$157,A18,'测试清单'!$F$6:$F$157,"有问题")</x:f>
        <x:v>0</x:v>
      </x:c>
      <x:c r="E18" s="65" t="n">
        <x:f>COUNTIFS('测试清单'!$B$6:$B$157,A18,'测试清单'!$F$6:$F$157,"暂时测不了")</x:f>
        <x:v>0</x:v>
      </x:c>
      <x:c r="F18" s="65" t="n">
        <x:f>COUNTIFS('测试清单'!$B$6:$B$157,A18,'测试清单'!$F$6:$F$157,"还没测")</x:f>
        <x:v>6</x:v>
      </x:c>
      <x:c r="G18" s="65" t="n">
        <x:f>COUNTIFS('测试清单'!$B$6:$B$157,A18,'测试清单'!$F$6:$F$157,"不适用")</x:f>
        <x:v>0</x:v>
      </x:c>
      <x:c r="H18" s="269" t="n">
        <x:f>IF(B18-G18=0,"不适用",(C18+D18)/(B18-G18))</x:f>
        <x:v>0</x:v>
      </x:c>
    </x:row>
    <x:row r="19" ht="39" customHeight="1">
      <x:c r="A19" s="199" t="str">
        <x:v>告警事件</x:v>
      </x:c>
      <x:c r="B19" s="74" t="n">
        <x:f>COUNTIF('测试清单'!$B$6:$B$157,A19)</x:f>
        <x:v>9</x:v>
      </x:c>
      <x:c r="C19" s="74" t="n">
        <x:f>COUNTIFS('测试清单'!$B$6:$B$157,A19,'测试清单'!$F$6:$F$157,"通过")</x:f>
        <x:v>0</x:v>
      </x:c>
      <x:c r="D19" s="74" t="n">
        <x:f>COUNTIFS('测试清单'!$B$6:$B$157,A19,'测试清单'!$F$6:$F$157,"有问题")</x:f>
        <x:v>0</x:v>
      </x:c>
      <x:c r="E19" s="74" t="n">
        <x:f>COUNTIFS('测试清单'!$B$6:$B$157,A19,'测试清单'!$F$6:$F$157,"暂时测不了")</x:f>
        <x:v>0</x:v>
      </x:c>
      <x:c r="F19" s="74" t="n">
        <x:f>COUNTIFS('测试清单'!$B$6:$B$157,A19,'测试清单'!$F$6:$F$157,"还没测")</x:f>
        <x:v>9</x:v>
      </x:c>
      <x:c r="G19" s="74" t="n">
        <x:f>COUNTIFS('测试清单'!$B$6:$B$157,A19,'测试清单'!$F$6:$F$157,"不适用")</x:f>
        <x:v>0</x:v>
      </x:c>
      <x:c r="H19" s="270" t="n">
        <x:f>IF(B19-G19=0,"不适用",(C19+D19)/(B19-G19))</x:f>
        <x:v>0</x:v>
      </x:c>
    </x:row>
    <x:row r="20" ht="39" customHeight="1">
      <x:c r="A20" s="205" t="str">
        <x:v>飞手短信和电话</x:v>
      </x:c>
      <x:c r="B20" s="83" t="n">
        <x:f>COUNTIF('测试清单'!$B$6:$B$157,A20)</x:f>
        <x:v>14</x:v>
      </x:c>
      <x:c r="C20" s="83" t="n">
        <x:f>COUNTIFS('测试清单'!$B$6:$B$157,A20,'测试清单'!$F$6:$F$157,"通过")</x:f>
        <x:v>0</x:v>
      </x:c>
      <x:c r="D20" s="83" t="n">
        <x:f>COUNTIFS('测试清单'!$B$6:$B$157,A20,'测试清单'!$F$6:$F$157,"有问题")</x:f>
        <x:v>0</x:v>
      </x:c>
      <x:c r="E20" s="83" t="n">
        <x:f>COUNTIFS('测试清单'!$B$6:$B$157,A20,'测试清单'!$F$6:$F$157,"暂时测不了")</x:f>
        <x:v>0</x:v>
      </x:c>
      <x:c r="F20" s="83" t="n">
        <x:f>COUNTIFS('测试清单'!$B$6:$B$157,A20,'测试清单'!$F$6:$F$157,"还没测")</x:f>
        <x:v>14</x:v>
      </x:c>
      <x:c r="G20" s="83" t="n">
        <x:f>COUNTIFS('测试清单'!$B$6:$B$157,A20,'测试清单'!$F$6:$F$157,"不适用")</x:f>
        <x:v>0</x:v>
      </x:c>
      <x:c r="H20" s="271" t="n">
        <x:f>IF(B20-G20=0,"不适用",(C20+D20)/(B20-G20))</x:f>
        <x:v>0</x:v>
      </x:c>
    </x:row>
    <x:row r="21" ht="39" customHeight="1">
      <x:c r="A21" s="211" t="str">
        <x:v>反制申请 审批 执行和急停</x:v>
      </x:c>
      <x:c r="B21" s="92" t="n">
        <x:f>COUNTIF('测试清单'!$B$6:$B$157,A21)</x:f>
        <x:v>18</x:v>
      </x:c>
      <x:c r="C21" s="92" t="n">
        <x:f>COUNTIFS('测试清单'!$B$6:$B$157,A21,'测试清单'!$F$6:$F$157,"通过")</x:f>
        <x:v>0</x:v>
      </x:c>
      <x:c r="D21" s="92" t="n">
        <x:f>COUNTIFS('测试清单'!$B$6:$B$157,A21,'测试清单'!$F$6:$F$157,"有问题")</x:f>
        <x:v>0</x:v>
      </x:c>
      <x:c r="E21" s="92" t="n">
        <x:f>COUNTIFS('测试清单'!$B$6:$B$157,A21,'测试清单'!$F$6:$F$157,"暂时测不了")</x:f>
        <x:v>0</x:v>
      </x:c>
      <x:c r="F21" s="92" t="n">
        <x:f>COUNTIFS('测试清单'!$B$6:$B$157,A21,'测试清单'!$F$6:$F$157,"还没测")</x:f>
        <x:v>18</x:v>
      </x:c>
      <x:c r="G21" s="92" t="n">
        <x:f>COUNTIFS('测试清单'!$B$6:$B$157,A21,'测试清单'!$F$6:$F$157,"不适用")</x:f>
        <x:v>0</x:v>
      </x:c>
      <x:c r="H21" s="272" t="n">
        <x:f>IF(B21-G21=0,"不适用",(C21+D21)/(B21-G21))</x:f>
        <x:v>0</x:v>
      </x:c>
    </x:row>
    <x:row r="22" ht="39" customHeight="1">
      <x:c r="A22" s="217" t="str">
        <x:v>移送与处罚</x:v>
      </x:c>
      <x:c r="B22" s="101" t="n">
        <x:f>COUNTIF('测试清单'!$B$6:$B$157,A22)</x:f>
        <x:v>9</x:v>
      </x:c>
      <x:c r="C22" s="101" t="n">
        <x:f>COUNTIFS('测试清单'!$B$6:$B$157,A22,'测试清单'!$F$6:$F$157,"通过")</x:f>
        <x:v>0</x:v>
      </x:c>
      <x:c r="D22" s="101" t="n">
        <x:f>COUNTIFS('测试清单'!$B$6:$B$157,A22,'测试清单'!$F$6:$F$157,"有问题")</x:f>
        <x:v>0</x:v>
      </x:c>
      <x:c r="E22" s="101" t="n">
        <x:f>COUNTIFS('测试清单'!$B$6:$B$157,A22,'测试清单'!$F$6:$F$157,"暂时测不了")</x:f>
        <x:v>0</x:v>
      </x:c>
      <x:c r="F22" s="101" t="n">
        <x:f>COUNTIFS('测试清单'!$B$6:$B$157,A22,'测试清单'!$F$6:$F$157,"还没测")</x:f>
        <x:v>9</x:v>
      </x:c>
      <x:c r="G22" s="101" t="n">
        <x:f>COUNTIFS('测试清单'!$B$6:$B$157,A22,'测试清单'!$F$6:$F$157,"不适用")</x:f>
        <x:v>0</x:v>
      </x:c>
      <x:c r="H22" s="273" t="n">
        <x:f>IF(B22-G22=0,"不适用",(C22+D22)/(B22-G22))</x:f>
        <x:v>0</x:v>
      </x:c>
    </x:row>
    <x:row r="23" ht="39" customHeight="1">
      <x:c r="A23" s="223" t="str">
        <x:v>证据和视频</x:v>
      </x:c>
      <x:c r="B23" s="110" t="n">
        <x:f>COUNTIF('测试清单'!$B$6:$B$157,A23)</x:f>
        <x:v>8</x:v>
      </x:c>
      <x:c r="C23" s="110" t="n">
        <x:f>COUNTIFS('测试清单'!$B$6:$B$157,A23,'测试清单'!$F$6:$F$157,"通过")</x:f>
        <x:v>0</x:v>
      </x:c>
      <x:c r="D23" s="110" t="n">
        <x:f>COUNTIFS('测试清单'!$B$6:$B$157,A23,'测试清单'!$F$6:$F$157,"有问题")</x:f>
        <x:v>0</x:v>
      </x:c>
      <x:c r="E23" s="110" t="n">
        <x:f>COUNTIFS('测试清单'!$B$6:$B$157,A23,'测试清单'!$F$6:$F$157,"暂时测不了")</x:f>
        <x:v>0</x:v>
      </x:c>
      <x:c r="F23" s="110" t="n">
        <x:f>COUNTIFS('测试清单'!$B$6:$B$157,A23,'测试清单'!$F$6:$F$157,"还没测")</x:f>
        <x:v>8</x:v>
      </x:c>
      <x:c r="G23" s="110" t="n">
        <x:f>COUNTIFS('测试清单'!$B$6:$B$157,A23,'测试清单'!$F$6:$F$157,"不适用")</x:f>
        <x:v>0</x:v>
      </x:c>
      <x:c r="H23" s="274" t="n">
        <x:f>IF(B23-G23=0,"不适用",(C23+D23)/(B23-G23))</x:f>
        <x:v>0</x:v>
      </x:c>
    </x:row>
    <x:row r="24" ht="39" customHeight="1">
      <x:c r="A24" s="229" t="str">
        <x:v>运行统计</x:v>
      </x:c>
      <x:c r="B24" s="119" t="n">
        <x:f>COUNTIF('测试清单'!$B$6:$B$157,A24)</x:f>
        <x:v>7</x:v>
      </x:c>
      <x:c r="C24" s="119" t="n">
        <x:f>COUNTIFS('测试清单'!$B$6:$B$157,A24,'测试清单'!$F$6:$F$157,"通过")</x:f>
        <x:v>0</x:v>
      </x:c>
      <x:c r="D24" s="119" t="n">
        <x:f>COUNTIFS('测试清单'!$B$6:$B$157,A24,'测试清单'!$F$6:$F$157,"有问题")</x:f>
        <x:v>0</x:v>
      </x:c>
      <x:c r="E24" s="119" t="n">
        <x:f>COUNTIFS('测试清单'!$B$6:$B$157,A24,'测试清单'!$F$6:$F$157,"暂时测不了")</x:f>
        <x:v>0</x:v>
      </x:c>
      <x:c r="F24" s="119" t="n">
        <x:f>COUNTIFS('测试清单'!$B$6:$B$157,A24,'测试清单'!$F$6:$F$157,"还没测")</x:f>
        <x:v>7</x:v>
      </x:c>
      <x:c r="G24" s="119" t="n">
        <x:f>COUNTIFS('测试清单'!$B$6:$B$157,A24,'测试清单'!$F$6:$F$157,"不适用")</x:f>
        <x:v>0</x:v>
      </x:c>
      <x:c r="H24" s="275" t="n">
        <x:f>IF(B24-G24=0,"不适用",(C24+D24)/(B24-G24))</x:f>
        <x:v>0</x:v>
      </x:c>
    </x:row>
    <x:row r="25" ht="39" customHeight="1">
      <x:c r="A25" s="234" t="str">
        <x:v>页面显示和大屏</x:v>
      </x:c>
      <x:c r="B25" s="56" t="n">
        <x:f>COUNTIF('测试清单'!$B$6:$B$157,A25)</x:f>
        <x:v>9</x:v>
      </x:c>
      <x:c r="C25" s="56" t="n">
        <x:f>COUNTIFS('测试清单'!$B$6:$B$157,A25,'测试清单'!$F$6:$F$157,"通过")</x:f>
        <x:v>0</x:v>
      </x:c>
      <x:c r="D25" s="56" t="n">
        <x:f>COUNTIFS('测试清单'!$B$6:$B$157,A25,'测试清单'!$F$6:$F$157,"有问题")</x:f>
        <x:v>0</x:v>
      </x:c>
      <x:c r="E25" s="56" t="n">
        <x:f>COUNTIFS('测试清单'!$B$6:$B$157,A25,'测试清单'!$F$6:$F$157,"暂时测不了")</x:f>
        <x:v>0</x:v>
      </x:c>
      <x:c r="F25" s="56" t="n">
        <x:f>COUNTIFS('测试清单'!$B$6:$B$157,A25,'测试清单'!$F$6:$F$157,"还没测")</x:f>
        <x:v>9</x:v>
      </x:c>
      <x:c r="G25" s="56" t="n">
        <x:f>COUNTIFS('测试清单'!$B$6:$B$157,A25,'测试清单'!$F$6:$F$157,"不适用")</x:f>
        <x:v>0</x:v>
      </x:c>
      <x:c r="H25" s="268" t="n">
        <x:f>IF(B25-G25=0,"不适用",(C25+D25)/(B25-G25))</x:f>
        <x:v>0</x:v>
      </x:c>
    </x:row>
    <x:row r="26" ht="39" customHeight="1">
      <x:c r="A26" s="238" t="str">
        <x:v>信号模拟器和前台一起测</x:v>
      </x:c>
      <x:c r="B26" s="74" t="n">
        <x:f>COUNTIF('测试清单'!$B$6:$B$157,A26)</x:f>
        <x:v>7</x:v>
      </x:c>
      <x:c r="C26" s="74" t="n">
        <x:f>COUNTIFS('测试清单'!$B$6:$B$157,A26,'测试清单'!$F$6:$F$157,"通过")</x:f>
        <x:v>0</x:v>
      </x:c>
      <x:c r="D26" s="74" t="n">
        <x:f>COUNTIFS('测试清单'!$B$6:$B$157,A26,'测试清单'!$F$6:$F$157,"有问题")</x:f>
        <x:v>0</x:v>
      </x:c>
      <x:c r="E26" s="74" t="n">
        <x:f>COUNTIFS('测试清单'!$B$6:$B$157,A26,'测试清单'!$F$6:$F$157,"暂时测不了")</x:f>
        <x:v>0</x:v>
      </x:c>
      <x:c r="F26" s="74" t="n">
        <x:f>COUNTIFS('测试清单'!$B$6:$B$157,A26,'测试清单'!$F$6:$F$157,"还没测")</x:f>
        <x:v>7</x:v>
      </x:c>
      <x:c r="G26" s="74" t="n">
        <x:f>COUNTIFS('测试清单'!$B$6:$B$157,A26,'测试清单'!$F$6:$F$157,"不适用")</x:f>
        <x:v>0</x:v>
      </x:c>
      <x:c r="H26" s="270" t="n">
        <x:f>IF(B26-G26=0,"不适用",(C26+D26)/(B26-G26))</x:f>
        <x:v>0</x:v>
      </x:c>
    </x:row>
    <x:row r="27" ht="39" customHeight="1">
      <x:c r="A27" s="243" t="str">
        <x:v>需要开发配合的异常测试</x:v>
      </x:c>
      <x:c r="B27" s="142" t="n">
        <x:f>COUNTIF('测试清单'!$B$6:$B$157,A27)</x:f>
        <x:v>9</x:v>
      </x:c>
      <x:c r="C27" s="142" t="n">
        <x:f>COUNTIFS('测试清单'!$B$6:$B$157,A27,'测试清单'!$F$6:$F$157,"通过")</x:f>
        <x:v>0</x:v>
      </x:c>
      <x:c r="D27" s="142" t="n">
        <x:f>COUNTIFS('测试清单'!$B$6:$B$157,A27,'测试清单'!$F$6:$F$157,"有问题")</x:f>
        <x:v>0</x:v>
      </x:c>
      <x:c r="E27" s="142" t="n">
        <x:f>COUNTIFS('测试清单'!$B$6:$B$157,A27,'测试清单'!$F$6:$F$157,"暂时测不了")</x:f>
        <x:v>0</x:v>
      </x:c>
      <x:c r="F27" s="142" t="n">
        <x:f>COUNTIFS('测试清单'!$B$6:$B$157,A27,'测试清单'!$F$6:$F$157,"还没测")</x:f>
        <x:v>9</x:v>
      </x:c>
      <x:c r="G27" s="142" t="n">
        <x:f>COUNTIFS('测试清单'!$B$6:$B$157,A27,'测试清单'!$F$6:$F$157,"不适用")</x:f>
        <x:v>0</x:v>
      </x:c>
      <x:c r="H27" s="276" t="n">
        <x:f>IF(B27-G27=0,"不适用",(C27+D27)/(B27-G27))</x:f>
        <x:v>0</x:v>
      </x:c>
    </x:row>
    <x:row r="28" ht="39" customHeight="1">
      <x:c r="A28" s="249" t="str">
        <x:v>规则设置改变后前台会怎样</x:v>
      </x:c>
      <x:c r="B28" s="151" t="n">
        <x:f>COUNTIF('测试清单'!$B$6:$B$157,A28)</x:f>
        <x:v>6</x:v>
      </x:c>
      <x:c r="C28" s="151" t="n">
        <x:f>COUNTIFS('测试清单'!$B$6:$B$157,A28,'测试清单'!$F$6:$F$157,"通过")</x:f>
        <x:v>0</x:v>
      </x:c>
      <x:c r="D28" s="151" t="n">
        <x:f>COUNTIFS('测试清单'!$B$6:$B$157,A28,'测试清单'!$F$6:$F$157,"有问题")</x:f>
        <x:v>0</x:v>
      </x:c>
      <x:c r="E28" s="151" t="n">
        <x:f>COUNTIFS('测试清单'!$B$6:$B$157,A28,'测试清单'!$F$6:$F$157,"暂时测不了")</x:f>
        <x:v>0</x:v>
      </x:c>
      <x:c r="F28" s="151" t="n">
        <x:f>COUNTIFS('测试清单'!$B$6:$B$157,A28,'测试清单'!$F$6:$F$157,"还没测")</x:f>
        <x:v>6</x:v>
      </x:c>
      <x:c r="G28" s="151" t="n">
        <x:f>COUNTIFS('测试清单'!$B$6:$B$157,A28,'测试清单'!$F$6:$F$157,"不适用")</x:f>
        <x:v>0</x:v>
      </x:c>
      <x:c r="H28" s="277" t="n">
        <x:f>IF(B28-G28=0,"不适用",(C28+D28)/(B28-G28))</x:f>
        <x:v>0</x:v>
      </x:c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78" t="str">
        <x:v>正式测试前先确认</x:v>
      </x:c>
      <x:c r="B30" s="2"/>
      <x:c r="C30" s="2"/>
      <x:c r="D30" s="2"/>
      <x:c r="E30" s="2"/>
      <x:c r="F30" s="2"/>
      <x:c r="G30" s="2"/>
      <x:c r="H30" s="2"/>
    </x:row>
    <x:row r="31" ht="32" customHeight="1">
      <x:c r="A31" s="279" t="str">
        <x:v>短信计时：当前业务约定10秒，代码3秒。按10秒保留验收基准；新口径须留确认记录。</x:v>
      </x:c>
      <x:c r="B31" s="279"/>
      <x:c r="C31" s="279"/>
      <x:c r="D31" s="279"/>
      <x:c r="E31" s="279"/>
      <x:c r="F31" s="279"/>
      <x:c r="G31" s="279"/>
      <x:c r="H31" s="279"/>
    </x:row>
    <x:row r="32" ht="32" customHeight="1">
      <x:c r="A32" s="279" t="str">
        <x:v>自动与手动均测试，但自动反制的人为授权依据尚需核对。8种组合均在引擎开启时按类别设置。</x:v>
      </x:c>
      <x:c r="B32" s="279"/>
      <x:c r="C32" s="279"/>
      <x:c r="D32" s="279"/>
      <x:c r="E32" s="279"/>
      <x:c r="F32" s="279"/>
      <x:c r="G32" s="279"/>
      <x:c r="H32" s="279"/>
    </x:row>
    <x:row r="33" ht="32" customHeight="1">
      <x:c r="A33" s="279" t="str">
        <x:v>哪些功能已开：自动研判、短信、电话、移送及测试数据录入办法，都要先核对。</x:v>
      </x:c>
      <x:c r="B33" s="279"/>
      <x:c r="C33" s="279"/>
      <x:c r="D33" s="279"/>
      <x:c r="E33" s="279"/>
      <x:c r="F33" s="279"/>
      <x:c r="G33" s="279"/>
      <x:c r="H33" s="279"/>
    </x:row>
    <x:row r="34" ht="32" customHeight="1">
      <x:c r="A34" s="6" t="str">
        <x:v>“暂时测不了”不算通过。“不适用”要由负责人确认并在实际现象栏写理由。</x:v>
      </x:c>
      <x:c r="B34" s="6"/>
      <x:c r="C34" s="6"/>
      <x:c r="D34" s="6"/>
      <x:c r="E34" s="6"/>
      <x:c r="F34" s="6"/>
      <x:c r="G34" s="6"/>
      <x:c r="H34" s="6"/>
    </x:row>
    <x:row r="35" ht="32" customHeight="1">
      <x:c r="A35" s="6" t="str">
        <x:v>已执行比例＝通过和有问题的项数÷适用项数。通过比例＝通过项数÷已执行项数。</x:v>
      </x:c>
      <x:c r="B35" s="6"/>
      <x:c r="C35" s="6"/>
      <x:c r="D35" s="6"/>
      <x:c r="E35" s="6"/>
      <x:c r="F35" s="6"/>
      <x:c r="G35" s="6"/>
      <x:c r="H35" s="6"/>
    </x:row>
    <x:row r="36" ht="32" customHeight="1">
      <x:c r="A36" s="6" t="str">
        <x:v>发现越权、错误反制、重复下发、急停假成功、串事件或历史被改写时，必须先处理。</x:v>
      </x:c>
      <x:c r="B36" s="6"/>
      <x:c r="C36" s="6"/>
      <x:c r="D36" s="6"/>
      <x:c r="E36" s="6"/>
      <x:c r="F36" s="6"/>
      <x:c r="G36" s="6"/>
      <x:c r="H36" s="6"/>
    </x:row>
    <x:row r="37" ht="32" customHeight="1">
      <x:c r="A37" s="6" t="str">
        <x:v>设备主链分别检查反制与干扰续链；人工处罚交接不以反制完成为前置；鸟群风险另跑独立流程。</x:v>
      </x:c>
      <x:c r="B37" s="6"/>
      <x:c r="C37" s="6"/>
      <x:c r="D37" s="6"/>
      <x:c r="E37" s="6"/>
      <x:c r="F37" s="6"/>
      <x:c r="G37" s="6"/>
      <x:c r="H37" s="6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 ht="30" customHeight="1">
      <x:c r="A39" s="6" t="str">
        <x:v>未填结果</x:v>
      </x:c>
      <x:c r="B39" s="6" t="n">
        <x:f>COUNTBLANK('测试清单'!$F$6:$F$157)</x:f>
        <x:v>0</x:v>
      </x:c>
      <x:c r="C39" s="6" t="str">
        <x:v>无效结果</x:v>
      </x:c>
      <x:c r="D39" s="6" t="n">
        <x:f>COUNTA('测试清单'!$F$6:$F$157)-SUM(B6:F6)</x:f>
        <x:v>0</x:v>
      </x:c>
      <x:c r="E39" s="6" t="str">
        <x:v>两项应为0；请使用清单中的下拉选项。</x:v>
      </x:c>
      <x:c r="F39" s="6"/>
      <x:c r="G39" s="6"/>
      <x:c r="H39" s="6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455" t="str">
        <x:v>整体流程验收进度</x:v>
      </x:c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 ht="32" customHeight="1">
      <x:c r="A44" s="460" t="str">
        <x:v>完整流程数</x:v>
      </x:c>
      <x:c r="B44" s="460" t="str">
        <x:v>已跑通</x:v>
      </x:c>
      <x:c r="C44" s="460" t="str">
        <x:v>有问题</x:v>
      </x:c>
      <x:c r="D44" s="460" t="str">
        <x:v>暂时测不了</x:v>
      </x:c>
      <x:c r="E44" s="460" t="str">
        <x:v>还没跑</x:v>
      </x:c>
      <x:c r="F44" s="460" t="str">
        <x:v>进行中</x:v>
      </x:c>
      <x:c r="G44" s="460" t="str">
        <x:v>未填步骤</x:v>
      </x:c>
      <x:c r="H44" s="460" t="str">
        <x:v>流程结论</x:v>
      </x:c>
    </x:row>
    <x:row r="45" ht="48" customHeight="1">
      <x:c r="A45" s="465" t="n">
        <x:f>COUNTA('全流程验收'!A6:A41)</x:f>
        <x:v>36</x:v>
      </x:c>
      <x:c r="B45" s="465" t="n">
        <x:f>COUNTIF('全流程验收'!G6:G41,"通过")</x:f>
        <x:v>0</x:v>
      </x:c>
      <x:c r="C45" s="465" t="n">
        <x:f>COUNTIF('全流程验收'!G6:G41,"有问题")</x:f>
        <x:v>0</x:v>
      </x:c>
      <x:c r="D45" s="465" t="n">
        <x:f>COUNTIF('全流程验收'!G6:G41,"暂时测不了")</x:f>
        <x:v>2</x:v>
      </x:c>
      <x:c r="E45" s="465" t="n">
        <x:f>COUNTIF('全流程验收'!G6:G41,"还没测")</x:f>
        <x:v>34</x:v>
      </x:c>
      <x:c r="F45" s="465" t="n">
        <x:f>COUNTIF('全流程验收'!G6:G41,"进行中")</x:f>
        <x:v>0</x:v>
      </x:c>
      <x:c r="G45" s="465" t="n">
        <x:f>COUNTBLANK('流程步骤记录'!G6:G365)</x:f>
        <x:v>0</x:v>
      </x:c>
      <x:c r="H45" s="465" t="str">
        <x:f>IF(B45=A45,"流程记录齐全","尚未全部跑通")</x:f>
        <x:v>尚未全部跑通</x:v>
      </x:c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 ht="34" customHeight="1">
      <x:c r="A47" s="466" t="str">
        <x:v>整体验收包括152项前台模块、48项补充、64项设备运维、36条完整流程及关键口径确认；缺任何必测环节不能算全部完成。</x:v>
      </x:c>
      <x:c r="B47" s="466"/>
      <x:c r="C47" s="466"/>
      <x:c r="D47" s="466"/>
      <x:c r="E47" s="466"/>
      <x:c r="F47" s="466"/>
      <x:c r="G47" s="466"/>
      <x:c r="H47" s="466"/>
    </x:row>
    <x:row r="48" ht="34" customHeight="1">
      <x:c r="A48" s="466" t="str">
        <x:v>异常分支以正确阻断和无误动作通过；人工交接与自动交接分开判断。硬件或算法未具备要记录暂时测不了。</x:v>
      </x:c>
      <x:c r="B48" s="466"/>
      <x:c r="C48" s="466"/>
      <x:c r="D48" s="466"/>
      <x:c r="E48" s="466"/>
      <x:c r="F48" s="466"/>
      <x:c r="G48" s="466"/>
      <x:c r="H48" s="466"/>
    </x:row>
    <x:row r="49" ht="34" customHeight="1">
      <x:c r="A49" s="466" t="str">
        <x:v>流程标记通过还需每步证据齐全。F14/F15另关联独立子场景；其他组合记录须人工核对各子批次。</x:v>
      </x:c>
      <x:c r="B49" s="466"/>
      <x:c r="C49" s="466"/>
      <x:c r="D49" s="466"/>
      <x:c r="E49" s="466"/>
      <x:c r="F49" s="466"/>
      <x:c r="G49" s="466"/>
      <x:c r="H49" s="466"/>
    </x:row>
    <x:row r="50" ht="34" customHeight="1">
      <x:c r="A50" s="466" t="str">
        <x:v>本次更新的是测试计划，没有改变后台配置，也没有执行这些业务测试。</x:v>
      </x:c>
      <x:c r="B50" s="466"/>
      <x:c r="C50" s="466"/>
      <x:c r="D50" s="466"/>
      <x:c r="E50" s="466"/>
      <x:c r="F50" s="466"/>
      <x:c r="G50" s="466"/>
      <x:c r="H50" s="466"/>
    </x:row>
    <x:row r="52">
      <x:c r="A52" s="582" t="str">
        <x:v>补充测试与整体验收条件</x:v>
      </x:c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 ht="34" customHeight="1">
      <x:c r="A54" s="520" t="str">
        <x:v>补充项数</x:v>
      </x:c>
      <x:c r="B54" s="520" t="str">
        <x:v>记录齐全</x:v>
      </x:c>
      <x:c r="C54" s="520" t="str">
        <x:v>有问题</x:v>
      </x:c>
      <x:c r="D54" s="520" t="str">
        <x:v>暂时测不了</x:v>
      </x:c>
      <x:c r="E54" s="520" t="str">
        <x:v>还没测</x:v>
      </x:c>
      <x:c r="F54" s="520" t="str">
        <x:v>待补证据</x:v>
      </x:c>
      <x:c r="G54" s="520" t="str">
        <x:v>流程待补证据</x:v>
      </x:c>
      <x:c r="H54" s="520" t="str">
        <x:v>模块记录齐全</x:v>
      </x:c>
    </x:row>
    <x:row r="55" ht="40" customHeight="1">
      <x:c r="A55" s="590" t="n">
        <x:f>COUNTA('补充测试清单'!A6:A53)</x:f>
        <x:v>48</x:v>
      </x:c>
      <x:c r="B55" s="590" t="n">
        <x:f>COUNTIF('补充测试清单'!M6:M53,"记录齐全")</x:f>
        <x:v>0</x:v>
      </x:c>
      <x:c r="C55" s="590" t="n">
        <x:f>COUNTIF('补充测试清单'!M6:M53,"有问题")</x:f>
        <x:v>0</x:v>
      </x:c>
      <x:c r="D55" s="590" t="n">
        <x:f>COUNTIF('补充测试清单'!M6:M53,"暂时测不了")</x:f>
        <x:v>0</x:v>
      </x:c>
      <x:c r="E55" s="590" t="n">
        <x:f>COUNTIF('补充测试清单'!M6:M53,"还没测")</x:f>
        <x:v>48</x:v>
      </x:c>
      <x:c r="F55" s="590" t="n">
        <x:f>COUNTIF('补充测试清单'!M6:M53,"待补证据")</x:f>
        <x:v>0</x:v>
      </x:c>
      <x:c r="G55" s="590" t="n">
        <x:f>COUNTIF('全流程验收'!G6:G41,"待补证据")</x:f>
        <x:v>0</x:v>
      </x:c>
      <x:c r="H55" s="590" t="n">
        <x:f>COUNTIFS('测试清单'!F6:F157,"通过",'测试清单'!G6:G157,"&lt;&gt;",'测试清单'!H6:H157,"&lt;&gt;",'测试清单'!I6:I157,"&lt;&gt;",'测试清单'!J6:J157,"&lt;&gt;")+COUNTIFS('测试清单'!F6:F157,"不适用",'测试清单'!G6:G157,"&lt;&gt;")</x:f>
        <x:v>0</x:v>
      </x:c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 ht="34" customHeight="1">
      <x:c r="A57" s="466" t="str">
        <x:v>模块“通过”需实际结果、测试人、日期、证据齐全；“不适用”必须写明原因并纳入范围确认。待补证据仍不算完整完成。</x:v>
      </x:c>
      <x:c r="B57" s="466"/>
      <x:c r="C57" s="466"/>
      <x:c r="D57" s="466"/>
      <x:c r="E57" s="466"/>
      <x:c r="F57" s="466"/>
      <x:c r="G57" s="466"/>
      <x:c r="H57" s="466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 ht="34" customHeight="1">
      <x:c r="A59" s="520" t="str">
        <x:v>开测和验收条件</x:v>
      </x:c>
      <x:c r="B59" s="520" t="str">
        <x:v>当前确认情况</x:v>
      </x:c>
      <x:c r="C59" s="520" t="str">
        <x:v>确认记录或版本编号</x:v>
      </x:c>
      <x:c r="D59" s="1"/>
      <x:c r="E59" s="1"/>
      <x:c r="F59" s="1"/>
      <x:c r="G59" s="1"/>
      <x:c r="H59" s="1"/>
    </x:row>
    <x:row r="60" ht="38" customHeight="1">
      <x:c r="A60" s="466" t="str">
        <x:v>自动执行授权依据</x:v>
      </x:c>
      <x:c r="B60" s="579" t="str">
        <x:v>未确认</x:v>
      </x:c>
      <x:c r="C60" s="579" t="str"/>
      <x:c r="D60" s="1"/>
      <x:c r="E60" s="1"/>
      <x:c r="F60" s="1"/>
      <x:c r="G60" s="1"/>
      <x:c r="H60" s="1"/>
    </x:row>
    <x:row r="61" ht="38" customHeight="1">
      <x:c r="A61" s="466" t="str">
        <x:v>短信观察时长</x:v>
      </x:c>
      <x:c r="B61" s="579" t="str">
        <x:v>未确认</x:v>
      </x:c>
      <x:c r="C61" s="579" t="str"/>
      <x:c r="D61" s="1"/>
      <x:c r="E61" s="1"/>
      <x:c r="F61" s="1"/>
      <x:c r="G61" s="1"/>
      <x:c r="H61" s="1"/>
    </x:row>
    <x:row r="62" ht="38" customHeight="1">
      <x:c r="A62" s="466" t="str">
        <x:v>范围及运行版本</x:v>
      </x:c>
      <x:c r="B62" s="579" t="str">
        <x:v>未确认</x:v>
      </x:c>
      <x:c r="C62" s="579" t="str"/>
      <x:c r="D62" s="1"/>
      <x:c r="E62" s="1"/>
      <x:c r="F62" s="1"/>
      <x:c r="G62" s="1"/>
      <x:c r="H62" s="1"/>
    </x:row>
    <x:row r="63" ht="38" customHeight="1">
      <x:c r="A63" s="466" t="str">
        <x:v>未关闭关键问题数</x:v>
      </x:c>
      <x:c r="B63" s="579"/>
      <x:c r="C63" s="579" t="str">
        <x:v>请负责人员核对后填写，空白不是0</x:v>
      </x:c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 ht="38" customHeight="1">
      <x:c r="A65" s="593" t="str">
        <x:f>IF(AND(H55=A6,B45=A45,B55=A55,B72=A72,COUNTIF(B60:B62,"已确认")=3,COUNTBLANK(C60:C62)=0,ISNUMBER(B63),B63=0),"资料可提交前后台联合验收，仍需复核证据内容","尚不具备联合验收条件，请补齐前台、运维、流程或确认记录")</x:f>
        <x:v>尚不具备联合验收条件，请补齐前台、运维、流程或确认记录</x:v>
      </x:c>
      <x:c r="B65" s="593"/>
      <x:c r="C65" s="593"/>
      <x:c r="D65" s="593"/>
      <x:c r="E65" s="593"/>
      <x:c r="F65" s="593"/>
      <x:c r="G65" s="593"/>
      <x:c r="H65" s="593"/>
    </x:row>
    <x:row r="66" ht="34" customHeight="1">
      <x:c r="A66" s="466" t="str">
        <x:v>审查日期2026-09-27；版本核对依据是当前源码与提供的文档。运行环境、真实硬件和正式算法本次未实测。</x:v>
      </x:c>
      <x:c r="B66" s="466"/>
      <x:c r="C66" s="466"/>
      <x:c r="D66" s="466"/>
      <x:c r="E66" s="466"/>
      <x:c r="F66" s="466"/>
      <x:c r="G66" s="466"/>
      <x:c r="H66" s="466"/>
    </x:row>
    <x:row r="69">
      <x:c r="A69" s="634" t="str">
        <x:v>后台设备运维执行进度</x:v>
      </x:c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 ht="34" customHeight="1">
      <x:c r="A71" s="597" t="str">
        <x:v>运维检查项</x:v>
      </x:c>
      <x:c r="B71" s="597" t="str">
        <x:v>记录齐全</x:v>
      </x:c>
      <x:c r="C71" s="597" t="str">
        <x:v>有问题</x:v>
      </x:c>
      <x:c r="D71" s="597" t="str">
        <x:v>暂时测不了</x:v>
      </x:c>
      <x:c r="E71" s="597" t="str">
        <x:v>还没测</x:v>
      </x:c>
      <x:c r="F71" s="597" t="str">
        <x:v>待补证据</x:v>
      </x:c>
      <x:c r="G71" s="597" t="str">
        <x:v>新增流程数</x:v>
      </x:c>
      <x:c r="H71" s="597" t="str">
        <x:v>已跑通新增流程</x:v>
      </x:c>
    </x:row>
    <x:row r="72" ht="42" customHeight="1">
      <x:c r="A72" s="642" t="n">
        <x:f>COUNTA('设备运维清单'!A6:A69)</x:f>
        <x:v>64</x:v>
      </x:c>
      <x:c r="B72" s="642" t="n">
        <x:f>COUNTIF('设备运维清单'!M6:M69,"记录齐全")</x:f>
        <x:v>0</x:v>
      </x:c>
      <x:c r="C72" s="642" t="n">
        <x:f>COUNTIF('设备运维清单'!M6:M69,"有问题")</x:f>
        <x:v>0</x:v>
      </x:c>
      <x:c r="D72" s="642" t="n">
        <x:f>COUNTIF('设备运维清单'!M6:M69,"暂时测不了")</x:f>
        <x:v>1</x:v>
      </x:c>
      <x:c r="E72" s="642" t="n">
        <x:f>COUNTIF('设备运维清单'!M6:M69,"还没测")</x:f>
        <x:v>63</x:v>
      </x:c>
      <x:c r="F72" s="642" t="n">
        <x:f>COUNTIF('设备运维清单'!M6:M69,"待补证据")</x:f>
        <x:v>0</x:v>
      </x:c>
      <x:c r="G72" s="642" t="n">
        <x:f>COUNTA('全流程验收'!A36:A41)</x:f>
        <x:v>6</x:v>
      </x:c>
      <x:c r="H72" s="642" t="n">
        <x:f>COUNTIF('全流程验收'!G36:G41,"通过")</x:f>
        <x:v>0</x:v>
      </x:c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 ht="38" customHeight="1">
      <x:c r="A74" s="6" t="str">
        <x:v>设备运维重点：接入配置、真实状态、协议调测、报修处理、恢复核验、消息已读、历史保留与权限。不能把调测通过或已反馈当修好。</x:v>
      </x:c>
      <x:c r="B74" s="6"/>
      <x:c r="C74" s="6"/>
      <x:c r="D74" s="6"/>
      <x:c r="E74" s="6"/>
      <x:c r="F74" s="6"/>
      <x:c r="G74" s="6"/>
      <x:c r="H74" s="6"/>
    </x:row>
    <x:row r="75" ht="38" customHeight="1">
      <x:c r="A75" s="6" t="str">
        <x:v>新增F31至F36用同一设备和任务串联后台、前台、模拟器。原F26保留，其详细维护闭环由F33补充。</x:v>
      </x:c>
      <x:c r="B75" s="6"/>
      <x:c r="C75" s="6"/>
      <x:c r="D75" s="6"/>
      <x:c r="E75" s="6"/>
      <x:c r="F75" s="6"/>
      <x:c r="G75" s="6"/>
      <x:c r="H75" s="6"/>
    </x:row>
    <x:row r="76" ht="38" customHeight="1">
      <x:c r="A76" s="6" t="str">
        <x:v>本次只新增测试计划，未操作设备、修改配置或执行业务测试。源文件和已有填写内容保留。</x:v>
      </x:c>
      <x:c r="B76" s="6"/>
      <x:c r="C76" s="6"/>
      <x:c r="D76" s="6"/>
      <x:c r="E76" s="6"/>
      <x:c r="F76" s="6"/>
      <x:c r="G76" s="6"/>
      <x:c r="H76" s="6"/>
    </x:row>
  </x:sheetData>
  <x:mergeCells>
    <x:mergeCell ref="A9:H9"/>
    <x:mergeCell ref="A10:H10"/>
    <x:mergeCell ref="A31:H31"/>
    <x:mergeCell ref="A32:H32"/>
    <x:mergeCell ref="A33:H33"/>
    <x:mergeCell ref="A34:H34"/>
    <x:mergeCell ref="A35:H35"/>
    <x:mergeCell ref="A36:H36"/>
    <x:mergeCell ref="A37:H37"/>
    <x:mergeCell ref="E39:H39"/>
    <x:mergeCell ref="A47:H47"/>
    <x:mergeCell ref="A48:H48"/>
    <x:mergeCell ref="A49:H49"/>
    <x:mergeCell ref="A50:H50"/>
    <x:mergeCell ref="A57:H57"/>
    <x:mergeCell ref="A65:H65"/>
    <x:mergeCell ref="A66:H66"/>
    <x:mergeCell ref="A74:H74"/>
    <x:mergeCell ref="A75:H75"/>
    <x:mergeCell ref="A76:H76"/>
  </x:mergeCells>
  <x:conditionalFormatting sqref="B39:B39">
    <x:cfRule type="cellIs" dxfId="6" priority="1" operator="greaterThan">
      <x:formula>0</x:formula>
    </x:cfRule>
  </x:conditionalFormatting>
  <x:conditionalFormatting sqref="D39:D39">
    <x:cfRule type="cellIs" dxfId="7" priority="2" operator="greaterThan">
      <x:formula>0</x:formula>
    </x:cfRule>
  </x:conditionalFormatting>
  <x:dataValidations count="1">
    <x:dataValidation type="list" sqref="B60:B62">
      <x:formula1>"未确认,已确认"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563EB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9" hidden="0" customWidth="1"/>
    <x:col min="2" max="2" width="23" hidden="0" customWidth="1"/>
    <x:col min="3" max="3" width="13" hidden="0" customWidth="1"/>
    <x:col min="4" max="4" width="63" hidden="0" customWidth="1"/>
    <x:col min="5" max="5" width="70" hidden="0" customWidth="1"/>
    <x:col min="6" max="6" width="16" hidden="0" customWidth="1"/>
    <x:col min="7" max="7" width="48" hidden="0" customWidth="1"/>
    <x:col min="8" max="8" width="13" hidden="0" customWidth="1"/>
    <x:col min="9" max="9" width="17" hidden="0" customWidth="1"/>
    <x:col min="10" max="10" width="35" hidden="0" customWidth="1"/>
    <x:col min="11" max="11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2" customHeight="1">
      <x:c r="A2" s="4" t="str">
        <x:v>前台测试清单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 ht="34" customHeight="1">
      <x:c r="A3" s="2"/>
      <x:c r="B3" s="2"/>
      <x:c r="C3" s="2"/>
      <x:c r="D3" s="6" t="str">
        <x:v>逐行照着做，填写右侧结果和实际现象。可以按模块、优先顺序或结果筛选。</x:v>
      </x:c>
      <x:c r="E3" s="6"/>
      <x:c r="F3" s="2"/>
      <x:c r="G3" s="2"/>
      <x:c r="H3" s="2"/>
      <x:c r="I3" s="2"/>
      <x:c r="J3" s="2"/>
      <x:c r="K3" s="2"/>
    </x:row>
    <x:row r="4" ht="34" customHeight="1">
      <x:c r="A4" s="2"/>
      <x:c r="B4" s="2"/>
      <x:c r="C4" s="2"/>
      <x:c r="D4" s="6" t="str">
        <x:v>一行包含多种情况时，全部测完再选“通过”。填写区为浅黄色；本表当前全部尚未执行。</x:v>
      </x:c>
      <x:c r="E4" s="6"/>
      <x:c r="F4" s="2"/>
      <x:c r="G4" s="2"/>
      <x:c r="H4" s="2"/>
      <x:c r="I4" s="2"/>
      <x:c r="J4" s="2"/>
      <x:c r="K4" s="2"/>
    </x:row>
    <x:row r="5" ht="32" customHeight="1">
      <x:c r="A5" s="10" t="str">
        <x:v>编号</x:v>
      </x:c>
      <x:c r="B5" s="10" t="str">
        <x:v>测试模块</x:v>
      </x:c>
      <x:c r="C5" s="10" t="str">
        <x:v>优先顺序</x:v>
      </x:c>
      <x:c r="D5" s="10" t="str">
        <x:v>怎么测</x:v>
      </x:c>
      <x:c r="E5" s="10" t="str">
        <x:v>怎样才算正常</x:v>
      </x:c>
      <x:c r="F5" s="10" t="str">
        <x:v>测试结果</x:v>
      </x:c>
      <x:c r="G5" s="10" t="str">
        <x:v>实际看到什么</x:v>
      </x:c>
      <x:c r="H5" s="10" t="str">
        <x:v>测试人</x:v>
      </x:c>
      <x:c r="I5" s="10" t="str">
        <x:v>测试日期</x:v>
      </x:c>
      <x:c r="J5" s="10" t="str">
        <x:v>截图或证据位置</x:v>
      </x:c>
      <x:c r="K5" s="10" t="str">
        <x:v>问题编号</x:v>
      </x:c>
    </x:row>
    <x:row r="6" ht="54" customHeight="1">
      <x:c r="A6" s="159" t="n">
        <x:v>1</x:v>
      </x:c>
      <x:c r="B6" s="160" t="str">
        <x:v>登录和账号权限</x:v>
      </x:c>
      <x:c r="C6" s="161" t="str">
        <x:v>必须先测</x:v>
      </x:c>
      <x:c r="D6" s="25" t="str">
        <x:v>从提供的前台地址登录，再刷新页面</x:v>
      </x:c>
      <x:c r="E6" s="25" t="str">
        <x:v>进入有权限的页面，登录身份正确，刷新后不白屏</x:v>
      </x:c>
      <x:c r="F6" s="26" t="str">
        <x:v>暂时测不了</x:v>
      </x:c>
      <x:c r="G6" s="26" t="str">
        <x:v>未取得有效测试账号，未执行成功登录及刷新。</x:v>
      </x:c>
      <x:c r="H6" s="26" t="str">
        <x:v>Codex</x:v>
      </x:c>
      <x:c r="I6" s="27" t="n">
        <x:v>46292.413194444445</x:v>
      </x:c>
      <x:c r="J6" s="26" t="str">
        <x:v>C:/Users/Admin（无密码）/.codex/visualizations/2026/09/27/01a0e0b7-3c23-7c00-aeba-e67e75596ac8/qa-20260927/front-empty-account.txt；front-empty-password.txt；front-invalid-account.txt</x:v>
      </x:c>
      <x:c r="K6" s="26" t="str">
        <x:v>BLOCK-001</x:v>
      </x:c>
    </x:row>
    <x:row r="7" ht="54" customHeight="1">
      <x:c r="A7" s="162" t="n">
        <x:v>2</x:v>
      </x:c>
      <x:c r="B7" s="163" t="str">
        <x:v>登录和账号权限</x:v>
      </x:c>
      <x:c r="C7" s="164" t="str">
        <x:v>重要检查</x:v>
      </x:c>
      <x:c r="D7" s="18" t="str">
        <x:v>不填账号密码、输错密码、使用停用账号</x:v>
      </x:c>
      <x:c r="E7" s="18" t="str">
        <x:v>分别给出清楚提示，不让无效账号进入</x:v>
      </x:c>
      <x:c r="F7" s="15" t="str">
        <x:v>暂时测不了</x:v>
      </x:c>
      <x:c r="G7" s="15" t="str">
        <x:v>已验证空账号、空密码、虚构账号拒绝。缺停用账号及正确账号恢复分支，本项未完整通过。</x:v>
      </x:c>
      <x:c r="H7" s="15" t="str">
        <x:v>Codex</x:v>
      </x:c>
      <x:c r="I7" s="16" t="n">
        <x:v>46292.413194444445</x:v>
      </x:c>
      <x:c r="J7" s="15" t="str">
        <x:v>C:/Users/Admin（无密码）/.codex/visualizations/2026/09/27/01a0e0b7-3c23-7c00-aeba-e67e75596ac8/qa-20260927/front-empty-account.txt；front-empty-password.txt；front-invalid-account.txt</x:v>
      </x:c>
      <x:c r="K7" s="15" t="str">
        <x:v>BLOCK-001</x:v>
      </x:c>
    </x:row>
    <x:row r="8" ht="54" customHeight="1">
      <x:c r="A8" s="162" t="n">
        <x:v>3</x:v>
      </x:c>
      <x:c r="B8" s="163" t="str">
        <x:v>登录和账号权限</x:v>
      </x:c>
      <x:c r="C8" s="164" t="str">
        <x:v>必须先测</x:v>
      </x:c>
      <x:c r="D8" s="17" t="str">
        <x:v>用要求首次改密的账号登录，改密前直接打开业务页面</x:v>
      </x:c>
      <x:c r="E8" s="17" t="str">
        <x:v>先完成改密；改密后旧密码不能继续使用</x:v>
      </x:c>
      <x:c r="F8" s="15" t="str">
        <x:v>还没测</x:v>
      </x:c>
      <x:c r="G8" s="15" t="str"/>
      <x:c r="H8" s="15" t="str"/>
      <x:c r="I8" s="16" t="str"/>
      <x:c r="J8" s="15" t="str"/>
      <x:c r="K8" s="15" t="str"/>
    </x:row>
    <x:row r="9" ht="54" customHeight="1">
      <x:c r="A9" s="162" t="n">
        <x:v>4</x:v>
      </x:c>
      <x:c r="B9" s="163" t="str">
        <x:v>登录和账号权限</x:v>
      </x:c>
      <x:c r="C9" s="164" t="str">
        <x:v>必须先测</x:v>
      </x:c>
      <x:c r="D9" s="18" t="str">
        <x:v>退出登录后，按浏览器后退，再刷新旧详情页</x:v>
      </x:c>
      <x:c r="E9" s="18" t="str">
        <x:v>不能继续读取或操作受保护资料</x:v>
      </x:c>
      <x:c r="F9" s="15" t="str">
        <x:v>还没测</x:v>
      </x:c>
      <x:c r="G9" s="15" t="str"/>
      <x:c r="H9" s="15" t="str"/>
      <x:c r="I9" s="16" t="str"/>
      <x:c r="J9" s="15" t="str"/>
      <x:c r="K9" s="15" t="str"/>
    </x:row>
    <x:row r="10" ht="54" customHeight="1">
      <x:c r="A10" s="162" t="n">
        <x:v>5</x:v>
      </x:c>
      <x:c r="B10" s="163" t="str">
        <x:v>登录和账号权限</x:v>
      </x:c>
      <x:c r="C10" s="164" t="str">
        <x:v>必须先测</x:v>
      </x:c>
      <x:c r="D10" s="17" t="str">
        <x:v>用不同权限账号打开每个业务页面和大屏</x:v>
      </x:c>
      <x:c r="E10" s="17" t="str">
        <x:v>能进哪些页面，与管理员给的权限一致；知道地址也不能绕过</x:v>
      </x:c>
      <x:c r="F10" s="15" t="str">
        <x:v>还没测</x:v>
      </x:c>
      <x:c r="G10" s="15" t="str"/>
      <x:c r="H10" s="15" t="str"/>
      <x:c r="I10" s="16" t="str"/>
      <x:c r="J10" s="15" t="str"/>
      <x:c r="K10" s="15" t="str"/>
    </x:row>
    <x:row r="11" ht="54" customHeight="1">
      <x:c r="A11" s="162" t="n">
        <x:v>6</x:v>
      </x:c>
      <x:c r="B11" s="163" t="str">
        <x:v>登录和账号权限</x:v>
      </x:c>
      <x:c r="C11" s="164" t="str">
        <x:v>必须先测</x:v>
      </x:c>
      <x:c r="D11" s="18" t="str">
        <x:v>用只能看甲单位的账号，尝试查看乙单位的列表、详情、文件和视频</x:v>
      </x:c>
      <x:c r="E11" s="18" t="str">
        <x:v>不能看到、下载或处理乙单位资料；请开发协助检查直接访问也不能绕过</x:v>
      </x:c>
      <x:c r="F11" s="15" t="str">
        <x:v>还没测</x:v>
      </x:c>
      <x:c r="G11" s="15" t="str"/>
      <x:c r="H11" s="15" t="str"/>
      <x:c r="I11" s="16" t="str"/>
      <x:c r="J11" s="15" t="str"/>
      <x:c r="K11" s="15" t="str"/>
    </x:row>
    <x:row r="12" ht="54" customHeight="1">
      <x:c r="A12" s="162" t="n">
        <x:v>7</x:v>
      </x:c>
      <x:c r="B12" s="163" t="str">
        <x:v>登录和账号权限</x:v>
      </x:c>
      <x:c r="C12" s="164" t="str">
        <x:v>必须先测</x:v>
      </x:c>
      <x:c r="D12" s="17" t="str">
        <x:v>保持页面不关，让管理员撤销权限或停用账号，再尝试操作</x:v>
      </x:c>
      <x:c r="E12" s="17" t="str">
        <x:v>旧页面不能继续靠原来的权限办事</x:v>
      </x:c>
      <x:c r="F12" s="15" t="str">
        <x:v>还没测</x:v>
      </x:c>
      <x:c r="G12" s="15" t="str"/>
      <x:c r="H12" s="15" t="str"/>
      <x:c r="I12" s="16" t="str"/>
      <x:c r="J12" s="15" t="str"/>
      <x:c r="K12" s="15" t="str"/>
    </x:row>
    <x:row r="13" ht="54" customHeight="1">
      <x:c r="A13" s="162" t="n">
        <x:v>8</x:v>
      </x:c>
      <x:c r="B13" s="163" t="str">
        <x:v>登录和账号权限</x:v>
      </x:c>
      <x:c r="C13" s="164" t="str">
        <x:v>重要检查</x:v>
      </x:c>
      <x:c r="D13" s="18" t="str">
        <x:v>打开原来的设备、监测、调测、用户、角色、审计页面地址</x:v>
      </x:c>
      <x:c r="E13" s="18" t="str">
        <x:v>只显示已迁移提示，不重新出现后台管理功能，不自动跳到另一系统</x:v>
      </x:c>
      <x:c r="F13" s="15" t="str">
        <x:v>还没测</x:v>
      </x:c>
      <x:c r="G13" s="15" t="str"/>
      <x:c r="H13" s="15" t="str"/>
      <x:c r="I13" s="16" t="str"/>
      <x:c r="J13" s="15" t="str"/>
      <x:c r="K13" s="15" t="str"/>
    </x:row>
    <x:row r="14" ht="54" customHeight="1">
      <x:c r="A14" s="162" t="n">
        <x:v>9</x:v>
      </x:c>
      <x:c r="B14" s="163" t="str">
        <x:v>登录和账号权限</x:v>
      </x:c>
      <x:c r="C14" s="164" t="str">
        <x:v>重要检查</x:v>
      </x:c>
      <x:c r="D14" s="17" t="str">
        <x:v>打开旧风险页、旧首页、旧工作台地址和旧反制授权链接</x:v>
      </x:c>
      <x:c r="E14" s="17" t="str">
        <x:v>进入当前承接业务的位置；反制授权仍定位同一条记录</x:v>
      </x:c>
      <x:c r="F14" s="15" t="str">
        <x:v>还没测</x:v>
      </x:c>
      <x:c r="G14" s="15" t="str"/>
      <x:c r="H14" s="15" t="str"/>
      <x:c r="I14" s="16" t="str"/>
      <x:c r="J14" s="15" t="str"/>
      <x:c r="K14" s="15" t="str"/>
    </x:row>
    <x:row r="15" ht="54" customHeight="1">
      <x:c r="A15" s="162" t="n">
        <x:v>10</x:v>
      </x:c>
      <x:c r="B15" s="163" t="str">
        <x:v>登录和账号权限</x:v>
      </x:c>
      <x:c r="C15" s="164" t="str">
        <x:v>必须先测</x:v>
      </x:c>
      <x:c r="D15" s="18" t="str">
        <x:v>修改登录后的跳转地址，填外部网站、无权限页面或错误地址</x:v>
      </x:c>
      <x:c r="E15" s="18" t="str">
        <x:v>不被带到陌生网站；无权限仍拦截；错误地址不造成来回跳转</x:v>
      </x:c>
      <x:c r="F15" s="15" t="str">
        <x:v>还没测</x:v>
      </x:c>
      <x:c r="G15" s="15" t="str"/>
      <x:c r="H15" s="15" t="str"/>
      <x:c r="I15" s="16" t="str"/>
      <x:c r="J15" s="15" t="str"/>
      <x:c r="K15" s="15" t="str"/>
    </x:row>
    <x:row r="16" ht="54" customHeight="1">
      <x:c r="A16" s="162" t="n">
        <x:v>11</x:v>
      </x:c>
      <x:c r="B16" s="163" t="str">
        <x:v>登录和账号权限</x:v>
      </x:c>
      <x:c r="C16" s="164" t="str">
        <x:v>重要检查</x:v>
      </x:c>
      <x:c r="D16" s="17" t="str">
        <x:v>开两个标签页，退出甲账号后登录乙账号，再回旧标签页</x:v>
      </x:c>
      <x:c r="E16" s="17" t="str">
        <x:v>不混入甲账号的数据；旧页面的失败回复不把乙账号的新登录错误清掉</x:v>
      </x:c>
      <x:c r="F16" s="15" t="str">
        <x:v>还没测</x:v>
      </x:c>
      <x:c r="G16" s="15" t="str"/>
      <x:c r="H16" s="15" t="str"/>
      <x:c r="I16" s="16" t="str"/>
      <x:c r="J16" s="15" t="str"/>
      <x:c r="K16" s="15" t="str"/>
    </x:row>
    <x:row r="17" ht="54" customHeight="1">
      <x:c r="A17" s="162" t="n">
        <x:v>12</x:v>
      </x:c>
      <x:c r="B17" s="163" t="str">
        <x:v>登录和账号权限</x:v>
      </x:c>
      <x:c r="C17" s="164" t="str">
        <x:v>重要检查</x:v>
      </x:c>
      <x:c r="D17" s="18" t="str">
        <x:v>打开详情后刷新、前进、后退，再试一条不存在的记录</x:v>
      </x:c>
      <x:c r="E17" s="18" t="str">
        <x:v>能找回正确上下文；不存在时明确提示，不能随便换成另一条</x:v>
      </x:c>
      <x:c r="F17" s="15" t="str">
        <x:v>还没测</x:v>
      </x:c>
      <x:c r="G17" s="15" t="str"/>
      <x:c r="H17" s="15" t="str"/>
      <x:c r="I17" s="16" t="str"/>
      <x:c r="J17" s="15" t="str"/>
      <x:c r="K17" s="15" t="str"/>
    </x:row>
    <x:row r="18" ht="54" customHeight="1">
      <x:c r="A18" s="165" t="n">
        <x:v>13</x:v>
      </x:c>
      <x:c r="B18" s="166" t="str">
        <x:v>融合感知</x:v>
      </x:c>
      <x:c r="C18" s="167" t="str">
        <x:v>必须先测</x:v>
      </x:c>
      <x:c r="D18" s="34" t="str">
        <x:v>用模拟器发送一架无人机的位置，在前台找它</x:v>
      </x:c>
      <x:c r="E18" s="34" t="str">
        <x:v>列表、地图、详情是同一架；位置、来源和最后上报时间正确</x:v>
      </x:c>
      <x:c r="F18" s="35" t="str">
        <x:v>还没测</x:v>
      </x:c>
      <x:c r="G18" s="35" t="str"/>
      <x:c r="H18" s="35" t="str"/>
      <x:c r="I18" s="36" t="str"/>
      <x:c r="J18" s="35" t="str"/>
      <x:c r="K18" s="35" t="str"/>
    </x:row>
    <x:row r="19" ht="54" customHeight="1">
      <x:c r="A19" s="168" t="n">
        <x:v>14</x:v>
      </x:c>
      <x:c r="B19" s="169" t="str">
        <x:v>融合感知</x:v>
      </x:c>
      <x:c r="C19" s="170" t="str">
        <x:v>必须先测</x:v>
      </x:c>
      <x:c r="D19" s="18" t="str">
        <x:v>让多台设备观察同一目标，再增加一个相邻但不同的目标</x:v>
      </x:c>
      <x:c r="E19" s="18" t="str">
        <x:v>同一目标按规则合并，不把旁边另一架错误合并；请开发核对识别关联</x:v>
      </x:c>
      <x:c r="F19" s="15" t="str">
        <x:v>还没测</x:v>
      </x:c>
      <x:c r="G19" s="15" t="str"/>
      <x:c r="H19" s="15" t="str"/>
      <x:c r="I19" s="16" t="str"/>
      <x:c r="J19" s="15" t="str"/>
      <x:c r="K19" s="15" t="str"/>
    </x:row>
    <x:row r="20" ht="54" customHeight="1">
      <x:c r="A20" s="168" t="n">
        <x:v>15</x:v>
      </x:c>
      <x:c r="B20" s="169" t="str">
        <x:v>融合感知</x:v>
      </x:c>
      <x:c r="C20" s="170" t="str">
        <x:v>重要检查</x:v>
      </x:c>
      <x:c r="D20" s="17" t="str">
        <x:v>查看今天出现过、但已超过5分钟没有更新的目标</x:v>
      </x:c>
      <x:c r="E20" s="17" t="str">
        <x:v>今天的记录仍保留；但不能说它还在持续实时跟踪；目标多页时数量不漏算</x:v>
      </x:c>
      <x:c r="F20" s="15" t="str">
        <x:v>还没测</x:v>
      </x:c>
      <x:c r="G20" s="15" t="str"/>
      <x:c r="H20" s="15" t="str"/>
      <x:c r="I20" s="16" t="str"/>
      <x:c r="J20" s="15" t="str"/>
      <x:c r="K20" s="15" t="str"/>
    </x:row>
    <x:row r="21" ht="54" customHeight="1">
      <x:c r="A21" s="168" t="n">
        <x:v>16</x:v>
      </x:c>
      <x:c r="B21" s="169" t="str">
        <x:v>融合感知</x:v>
      </x:c>
      <x:c r="C21" s="170" t="str">
        <x:v>重要检查</x:v>
      </x:c>
      <x:c r="D21" s="18" t="str">
        <x:v>请开发准备跨夜数据，检查北京时间零点前后</x:v>
      </x:c>
      <x:c r="E21" s="18" t="str">
        <x:v>“今日目标”按新的一天重新计算，不混入前一天数量</x:v>
      </x:c>
      <x:c r="F21" s="15" t="str">
        <x:v>还没测</x:v>
      </x:c>
      <x:c r="G21" s="15" t="str"/>
      <x:c r="H21" s="15" t="str"/>
      <x:c r="I21" s="16" t="str"/>
      <x:c r="J21" s="15" t="str"/>
      <x:c r="K21" s="15" t="str"/>
    </x:row>
    <x:row r="22" ht="54" customHeight="1">
      <x:c r="A22" s="168" t="n">
        <x:v>17</x:v>
      </x:c>
      <x:c r="B22" s="169" t="str">
        <x:v>融合感知</x:v>
      </x:c>
      <x:c r="C22" s="170" t="str">
        <x:v>重要检查</x:v>
      </x:c>
      <x:c r="D22" s="17" t="str">
        <x:v>分别查看正常、离线、有故障、数据失效的设备，再恢复设备</x:v>
      </x:c>
      <x:c r="E22" s="17" t="str">
        <x:v>地图上的当前异常有提示，恢复后停止；设备类别仍看得清</x:v>
      </x:c>
      <x:c r="F22" s="15" t="str">
        <x:v>还没测</x:v>
      </x:c>
      <x:c r="G22" s="15" t="str"/>
      <x:c r="H22" s="15" t="str"/>
      <x:c r="I22" s="16" t="str"/>
      <x:c r="J22" s="15" t="str"/>
      <x:c r="K22" s="15" t="str"/>
    </x:row>
    <x:row r="23" ht="54" customHeight="1">
      <x:c r="A23" s="168" t="n">
        <x:v>18</x:v>
      </x:c>
      <x:c r="B23" s="169" t="str">
        <x:v>融合感知</x:v>
      </x:c>
      <x:c r="C23" s="170" t="str">
        <x:v>重要检查</x:v>
      </x:c>
      <x:c r="D23" s="18" t="str">
        <x:v>在列表选择目标、设备和告警，并打开两侧详情</x:v>
      </x:c>
      <x:c r="E23" s="18" t="str">
        <x:v>地图选中位置突出、不被挡住，也不能为了显示好看把坐标挪走</x:v>
      </x:c>
      <x:c r="F23" s="15" t="str">
        <x:v>还没测</x:v>
      </x:c>
      <x:c r="G23" s="15" t="str"/>
      <x:c r="H23" s="15" t="str"/>
      <x:c r="I23" s="16" t="str"/>
      <x:c r="J23" s="15" t="str"/>
      <x:c r="K23" s="15" t="str"/>
    </x:row>
    <x:row r="24" ht="54" customHeight="1">
      <x:c r="A24" s="168" t="n">
        <x:v>19</x:v>
      </x:c>
      <x:c r="B24" s="169" t="str">
        <x:v>融合感知</x:v>
      </x:c>
      <x:c r="C24" s="170" t="str">
        <x:v>必须先测</x:v>
      </x:c>
      <x:c r="D24" s="17" t="str">
        <x:v>查看有转弯、停留、中断、不同段落的轨迹</x:v>
      </x:c>
      <x:c r="E24" s="17" t="str">
        <x:v>如实显示，不能把中断前后强行连起来，不能补出不存在的飞行路线</x:v>
      </x:c>
      <x:c r="F24" s="15" t="str">
        <x:v>还没测</x:v>
      </x:c>
      <x:c r="G24" s="15" t="str"/>
      <x:c r="H24" s="15" t="str"/>
      <x:c r="I24" s="16" t="str"/>
      <x:c r="J24" s="15" t="str"/>
      <x:c r="K24" s="15" t="str"/>
    </x:row>
    <x:row r="25" ht="54" customHeight="1">
      <x:c r="A25" s="168" t="n">
        <x:v>20</x:v>
      </x:c>
      <x:c r="B25" s="169" t="str">
        <x:v>融合感知</x:v>
      </x:c>
      <x:c r="C25" s="170" t="str">
        <x:v>重要检查</x:v>
      </x:c>
      <x:c r="D25" s="18" t="str">
        <x:v>查看按计划飞、偏离计划、尚未飞过和缺少判断依据的路段</x:v>
      </x:c>
      <x:c r="E25" s="18" t="str">
        <x:v>按计划已飞段绿、偏离段红、未飞计划段灰；缺依据说明未知，不能乱染色</x:v>
      </x:c>
      <x:c r="F25" s="15" t="str">
        <x:v>还没测</x:v>
      </x:c>
      <x:c r="G25" s="15" t="str"/>
      <x:c r="H25" s="15" t="str"/>
      <x:c r="I25" s="16" t="str"/>
      <x:c r="J25" s="15" t="str"/>
      <x:c r="K25" s="15" t="str"/>
    </x:row>
    <x:row r="26" ht="54" customHeight="1">
      <x:c r="A26" s="168" t="n">
        <x:v>21</x:v>
      </x:c>
      <x:c r="B26" s="169" t="str">
        <x:v>融合感知</x:v>
      </x:c>
      <x:c r="C26" s="170" t="str">
        <x:v>重要检查</x:v>
      </x:c>
      <x:c r="D26" s="17" t="str">
        <x:v>打开视频后换目标、收起视频、离开页面</x:v>
      </x:c>
      <x:c r="E26" s="17" t="str">
        <x:v>旧画面及时停止；无视频、无权限、模拟画面分别说清楚</x:v>
      </x:c>
      <x:c r="F26" s="15" t="str">
        <x:v>还没测</x:v>
      </x:c>
      <x:c r="G26" s="15" t="str"/>
      <x:c r="H26" s="15" t="str"/>
      <x:c r="I26" s="16" t="str"/>
      <x:c r="J26" s="15" t="str"/>
      <x:c r="K26" s="15" t="str"/>
    </x:row>
    <x:row r="27" ht="54" customHeight="1">
      <x:c r="A27" s="168" t="n">
        <x:v>22</x:v>
      </x:c>
      <x:c r="B27" s="169" t="str">
        <x:v>融合感知</x:v>
      </x:c>
      <x:c r="C27" s="170" t="str">
        <x:v>重要检查</x:v>
      </x:c>
      <x:c r="D27" s="18" t="str">
        <x:v>请开发模拟地图加载失败、数据读取失败，再恢复</x:v>
      </x:c>
      <x:c r="E27" s="18" t="str">
        <x:v>失败不能显示成“没有目标”，也不能用假数据填充；恢复后地图不重叠</x:v>
      </x:c>
      <x:c r="F27" s="15" t="str">
        <x:v>还没测</x:v>
      </x:c>
      <x:c r="G27" s="15" t="str"/>
      <x:c r="H27" s="15" t="str"/>
      <x:c r="I27" s="16" t="str"/>
      <x:c r="J27" s="15" t="str"/>
      <x:c r="K27" s="15" t="str"/>
    </x:row>
    <x:row r="28" ht="54" customHeight="1">
      <x:c r="A28" s="171" t="n">
        <x:v>23</x:v>
      </x:c>
      <x:c r="B28" s="172" t="str">
        <x:v>飞行计划</x:v>
      </x:c>
      <x:c r="C28" s="173" t="str">
        <x:v>必须先测</x:v>
      </x:c>
      <x:c r="D28" s="43" t="str">
        <x:v>打开一份已录入的计划，核对单位、飞手、无人机编号、起降点、时间和航线</x:v>
      </x:c>
      <x:c r="E28" s="43" t="str">
        <x:v>与录入资料一致；缺的资料写未提供，不能自己补造</x:v>
      </x:c>
      <x:c r="F28" s="44" t="str">
        <x:v>还没测</x:v>
      </x:c>
      <x:c r="G28" s="44" t="str"/>
      <x:c r="H28" s="44" t="str"/>
      <x:c r="I28" s="45" t="str"/>
      <x:c r="J28" s="44" t="str"/>
      <x:c r="K28" s="44" t="str"/>
    </x:row>
    <x:row r="29" ht="54" customHeight="1">
      <x:c r="A29" s="174" t="n">
        <x:v>24</x:v>
      </x:c>
      <x:c r="B29" s="175" t="str">
        <x:v>飞行计划</x:v>
      </x:c>
      <x:c r="C29" s="176" t="str">
        <x:v>重要检查</x:v>
      </x:c>
      <x:c r="D29" s="18" t="str">
        <x:v>按不同条件查计划，组合筛选、翻页、清空条件</x:v>
      </x:c>
      <x:c r="E29" s="18" t="str">
        <x:v>条件一起起作用，列表和总数一致；改条件后不会卡在空白的旧页码</x:v>
      </x:c>
      <x:c r="F29" s="15" t="str">
        <x:v>还没测</x:v>
      </x:c>
      <x:c r="G29" s="15" t="str"/>
      <x:c r="H29" s="15" t="str"/>
      <x:c r="I29" s="16" t="str"/>
      <x:c r="J29" s="15" t="str"/>
      <x:c r="K29" s="15" t="str"/>
    </x:row>
    <x:row r="30" ht="54" customHeight="1">
      <x:c r="A30" s="174" t="n">
        <x:v>25</x:v>
      </x:c>
      <x:c r="B30" s="175" t="str">
        <x:v>飞行计划</x:v>
      </x:c>
      <x:c r="C30" s="176" t="str">
        <x:v>重要检查</x:v>
      </x:c>
      <x:c r="D30" s="17" t="str">
        <x:v>选择不同计划查看航线，再关掉详情</x:v>
      </x:c>
      <x:c r="E30" s="17" t="str">
        <x:v>每份计划对应自己的航线；选择和筛选不混乱；轨迹颜色保持一致</x:v>
      </x:c>
      <x:c r="F30" s="15" t="str">
        <x:v>还没测</x:v>
      </x:c>
      <x:c r="G30" s="15" t="str"/>
      <x:c r="H30" s="15" t="str"/>
      <x:c r="I30" s="16" t="str"/>
      <x:c r="J30" s="15" t="str"/>
      <x:c r="K30" s="15" t="str"/>
    </x:row>
    <x:row r="31" ht="54" customHeight="1">
      <x:c r="A31" s="174" t="n">
        <x:v>26</x:v>
      </x:c>
      <x:c r="B31" s="175" t="str">
        <x:v>飞行计划</x:v>
      </x:c>
      <x:c r="C31" s="176" t="str">
        <x:v>必须先测</x:v>
      </x:c>
      <x:c r="D31" s="18" t="str">
        <x:v>计划到时间却没发现无人机，分别检查设备正常、异常、资料不足</x:v>
      </x:c>
      <x:c r="E31" s="18" t="str">
        <x:v>分清“设备异常”“可能没起飞”“目前不能确认”，不能一律认定未起飞</x:v>
      </x:c>
      <x:c r="F31" s="15" t="str">
        <x:v>还没测</x:v>
      </x:c>
      <x:c r="G31" s="15" t="str"/>
      <x:c r="H31" s="15" t="str"/>
      <x:c r="I31" s="16" t="str"/>
      <x:c r="J31" s="15" t="str"/>
      <x:c r="K31" s="15" t="str"/>
    </x:row>
    <x:row r="32" ht="54" customHeight="1">
      <x:c r="A32" s="174" t="n">
        <x:v>27</x:v>
      </x:c>
      <x:c r="B32" s="175" t="str">
        <x:v>飞行计划</x:v>
      </x:c>
      <x:c r="C32" s="176" t="str">
        <x:v>重要检查</x:v>
      </x:c>
      <x:c r="D32" s="17" t="str">
        <x:v>在起飞时间之前查看设备检查</x:v>
      </x:c>
      <x:c r="E32" s="17" t="str">
        <x:v>可以查看检查情况，不能提前当成“到时未起飞”去通知</x:v>
      </x:c>
      <x:c r="F32" s="15" t="str">
        <x:v>还没测</x:v>
      </x:c>
      <x:c r="G32" s="15" t="str"/>
      <x:c r="H32" s="15" t="str"/>
      <x:c r="I32" s="16" t="str"/>
      <x:c r="J32" s="15" t="str"/>
      <x:c r="K32" s="15" t="str"/>
    </x:row>
    <x:row r="33" ht="54" customHeight="1">
      <x:c r="A33" s="174" t="n">
        <x:v>28</x:v>
      </x:c>
      <x:c r="B33" s="175" t="str">
        <x:v>飞行计划</x:v>
      </x:c>
      <x:c r="C33" s="176" t="str">
        <x:v>必须先测</x:v>
      </x:c>
      <x:c r="D33" s="18" t="str">
        <x:v>对真实测试异常发出设备异常通知，再快速重复点击</x:v>
      </x:c>
      <x:c r="E33" s="18" t="str">
        <x:v>后台能找到对应处理事项；不能多建同一事项；通知完不等于设备已修好</x:v>
      </x:c>
      <x:c r="F33" s="15" t="str">
        <x:v>还没测</x:v>
      </x:c>
      <x:c r="G33" s="15" t="str"/>
      <x:c r="H33" s="15" t="str"/>
      <x:c r="I33" s="16" t="str"/>
      <x:c r="J33" s="15" t="str"/>
      <x:c r="K33" s="15" t="str"/>
    </x:row>
    <x:row r="34" ht="54" customHeight="1">
      <x:c r="A34" s="174" t="n">
        <x:v>29</x:v>
      </x:c>
      <x:c r="B34" s="175" t="str">
        <x:v>飞行计划</x:v>
      </x:c>
      <x:c r="C34" s="176" t="str">
        <x:v>重要检查</x:v>
      </x:c>
      <x:c r="D34" s="17" t="str">
        <x:v>查看完全覆盖、部分覆盖、不覆盖计划飞行时间的天气预报，以及缺计划时间的情况</x:v>
      </x:c>
      <x:c r="E34" s="17" t="str">
        <x:v>只展示与计划时间重合的部分；没覆盖和缺时间分别说明</x:v>
      </x:c>
      <x:c r="F34" s="15" t="str">
        <x:v>还没测</x:v>
      </x:c>
      <x:c r="G34" s="15" t="str"/>
      <x:c r="H34" s="15" t="str"/>
      <x:c r="I34" s="16" t="str"/>
      <x:c r="J34" s="15" t="str"/>
      <x:c r="K34" s="15" t="str"/>
    </x:row>
    <x:row r="35" ht="54" customHeight="1">
      <x:c r="A35" s="174" t="n">
        <x:v>30</x:v>
      </x:c>
      <x:c r="B35" s="175" t="str">
        <x:v>飞行计划</x:v>
      </x:c>
      <x:c r="C35" s="176" t="str">
        <x:v>重要检查</x:v>
      </x:c>
      <x:c r="D35" s="18" t="str">
        <x:v>打开有覆盖但时段已经结束的预报，再切页回来</x:v>
      </x:c>
      <x:c r="E35" s="18" t="str">
        <x:v>按现有要求正常保留发布时间和时段，不恢复已取消的“预报过期”提示和到期刷新</x:v>
      </x:c>
      <x:c r="F35" s="15" t="str">
        <x:v>还没测</x:v>
      </x:c>
      <x:c r="G35" s="15" t="str"/>
      <x:c r="H35" s="15" t="str"/>
      <x:c r="I35" s="16" t="str"/>
      <x:c r="J35" s="15" t="str"/>
      <x:c r="K35" s="15" t="str"/>
    </x:row>
    <x:row r="36" ht="54" customHeight="1">
      <x:c r="A36" s="174" t="n">
        <x:v>31</x:v>
      </x:c>
      <x:c r="B36" s="175" t="str">
        <x:v>飞行计划</x:v>
      </x:c>
      <x:c r="C36" s="176" t="str">
        <x:v>必须先测</x:v>
      </x:c>
      <x:c r="D36" s="17" t="str">
        <x:v>查看“本计划当前风险”，加入持续风险、已解除风险、已通知但未解除风险和待确认情况</x:v>
      </x:c>
      <x:c r="E36" s="17" t="str">
        <x:v>当前数量与当前列表一致；已通知仍可能是当前风险；待确认单独说明；历史保留</x:v>
      </x:c>
      <x:c r="F36" s="15" t="str">
        <x:v>还没测</x:v>
      </x:c>
      <x:c r="G36" s="15" t="str"/>
      <x:c r="H36" s="15" t="str"/>
      <x:c r="I36" s="16" t="str"/>
      <x:c r="J36" s="15" t="str"/>
      <x:c r="K36" s="15" t="str"/>
    </x:row>
    <x:row r="37" ht="54" customHeight="1">
      <x:c r="A37" s="174" t="n">
        <x:v>32</x:v>
      </x:c>
      <x:c r="B37" s="175" t="str">
        <x:v>飞行计划</x:v>
      </x:c>
      <x:c r="C37" s="176" t="str">
        <x:v>重要检查</x:v>
      </x:c>
      <x:c r="D37" s="18" t="str">
        <x:v>快速切换同名的不同计划，再进入研判或证据</x:v>
      </x:c>
      <x:c r="E37" s="18" t="str">
        <x:v>不串天气、风险或证据；完成、取消计划按当前规则展示，不拿上一份内容顶上</x:v>
      </x:c>
      <x:c r="F37" s="15" t="str">
        <x:v>还没测</x:v>
      </x:c>
      <x:c r="G37" s="15" t="str"/>
      <x:c r="H37" s="15" t="str"/>
      <x:c r="I37" s="16" t="str"/>
      <x:c r="J37" s="15" t="str"/>
      <x:c r="K37" s="15" t="str"/>
    </x:row>
    <x:row r="38" ht="54" customHeight="1">
      <x:c r="A38" s="177" t="n">
        <x:v>33</x:v>
      </x:c>
      <x:c r="B38" s="178" t="str">
        <x:v>合法性研判</x:v>
      </x:c>
      <x:c r="C38" s="179" t="str">
        <x:v>必须先测</x:v>
      </x:c>
      <x:c r="D38" s="52" t="str">
        <x:v>首次打开页面，对照各类待处理记录</x:v>
      </x:c>
      <x:c r="E38" s="52" t="str">
        <x:v>默认显示“待处理”；确实需要处理的记录不漏，列表、翻页和统计一致</x:v>
      </x:c>
      <x:c r="F38" s="53" t="str">
        <x:v>还没测</x:v>
      </x:c>
      <x:c r="G38" s="53" t="str"/>
      <x:c r="H38" s="53" t="str"/>
      <x:c r="I38" s="54" t="str"/>
      <x:c r="J38" s="53" t="str"/>
      <x:c r="K38" s="53" t="str"/>
    </x:row>
    <x:row r="39" ht="54" customHeight="1">
      <x:c r="A39" s="180" t="n">
        <x:v>34</x:v>
      </x:c>
      <x:c r="B39" s="181" t="str">
        <x:v>合法性研判</x:v>
      </x:c>
      <x:c r="C39" s="182" t="str">
        <x:v>必须先测</x:v>
      </x:c>
      <x:c r="D39" s="18" t="str">
        <x:v>准备无人机、鸟、气球、风筝和未知目标，再尝试列表和直接链接</x:v>
      </x:c>
      <x:c r="E39" s="18" t="str">
        <x:v>这个页面只承接明确识别为无人机的研判；没有计划的无人机仍可保留</x:v>
      </x:c>
      <x:c r="F39" s="15" t="str">
        <x:v>还没测</x:v>
      </x:c>
      <x:c r="G39" s="15" t="str"/>
      <x:c r="H39" s="15" t="str"/>
      <x:c r="I39" s="16" t="str"/>
      <x:c r="J39" s="15" t="str"/>
      <x:c r="K39" s="15" t="str"/>
    </x:row>
    <x:row r="40" ht="54" customHeight="1">
      <x:c r="A40" s="180" t="n">
        <x:v>35</x:v>
      </x:c>
      <x:c r="B40" s="181" t="str">
        <x:v>合法性研判</x:v>
      </x:c>
      <x:c r="C40" s="182" t="str">
        <x:v>重要检查</x:v>
      </x:c>
      <x:c r="D40" s="17" t="str">
        <x:v>切换“核实位置”，再叠加其他筛选</x:v>
      </x:c>
      <x:c r="E40" s="17" t="str">
        <x:v>按当前研判是否关联告警筛选；不能把没权限查看告警误认成没有告警</x:v>
      </x:c>
      <x:c r="F40" s="15" t="str">
        <x:v>还没测</x:v>
      </x:c>
      <x:c r="G40" s="15" t="str"/>
      <x:c r="H40" s="15" t="str"/>
      <x:c r="I40" s="16" t="str"/>
      <x:c r="J40" s="15" t="str"/>
      <x:c r="K40" s="15" t="str"/>
    </x:row>
    <x:row r="41" ht="54" customHeight="1">
      <x:c r="A41" s="180" t="n">
        <x:v>36</x:v>
      </x:c>
      <x:c r="B41" s="181" t="str">
        <x:v>合法性研判</x:v>
      </x:c>
      <x:c r="C41" s="182" t="str">
        <x:v>必须先测</x:v>
      </x:c>
      <x:c r="D41" s="18" t="str">
        <x:v>分别打开依据充分、可以明确判为合法和非法的记录</x:v>
      </x:c>
      <x:c r="E41" s="18" t="str">
        <x:v>两种明确结论都不强行要求再人工确认；不能只看风险分数来判断可靠程度</x:v>
      </x:c>
      <x:c r="F41" s="15" t="str">
        <x:v>还没测</x:v>
      </x:c>
      <x:c r="G41" s="15" t="str"/>
      <x:c r="H41" s="15" t="str"/>
      <x:c r="I41" s="16" t="str"/>
      <x:c r="J41" s="15" t="str"/>
      <x:c r="K41" s="15" t="str"/>
    </x:row>
    <x:row r="42" ht="54" customHeight="1">
      <x:c r="A42" s="180" t="n">
        <x:v>37</x:v>
      </x:c>
      <x:c r="B42" s="181" t="str">
        <x:v>合法性研判</x:v>
      </x:c>
      <x:c r="C42" s="182" t="str">
        <x:v>必须先测</x:v>
      </x:c>
      <x:c r="D42" s="17" t="str">
        <x:v>打开依据不足、且没有对应告警的记录，进行人工复核</x:v>
      </x:c>
      <x:c r="E42" s="17" t="str">
        <x:v>在合法性页办理；复核后更新结果并保留以前的依据和处理历史</x:v>
      </x:c>
      <x:c r="F42" s="15" t="str">
        <x:v>还没测</x:v>
      </x:c>
      <x:c r="G42" s="15" t="str"/>
      <x:c r="H42" s="15" t="str"/>
      <x:c r="I42" s="16" t="str"/>
      <x:c r="J42" s="15" t="str"/>
      <x:c r="K42" s="15" t="str"/>
    </x:row>
    <x:row r="43" ht="54" customHeight="1">
      <x:c r="A43" s="180" t="n">
        <x:v>38</x:v>
      </x:c>
      <x:c r="B43" s="181" t="str">
        <x:v>合法性研判</x:v>
      </x:c>
      <x:c r="C43" s="182" t="str">
        <x:v>必须先测</x:v>
      </x:c>
      <x:c r="D43" s="18" t="str">
        <x:v>打开依据不足、但已有对应告警的记录</x:v>
      </x:c>
      <x:c r="E43" s="18" t="str">
        <x:v>去对应告警页核实；回来能看到同一结果，不要求两页各核实一次</x:v>
      </x:c>
      <x:c r="F43" s="15" t="str">
        <x:v>还没测</x:v>
      </x:c>
      <x:c r="G43" s="15" t="str"/>
      <x:c r="H43" s="15" t="str"/>
      <x:c r="I43" s="16" t="str"/>
      <x:c r="J43" s="15" t="str"/>
      <x:c r="K43" s="15" t="str"/>
    </x:row>
    <x:row r="44" ht="54" customHeight="1">
      <x:c r="A44" s="180" t="n">
        <x:v>39</x:v>
      </x:c>
      <x:c r="B44" s="181" t="str">
        <x:v>合法性研判</x:v>
      </x:c>
      <x:c r="C44" s="182" t="str">
        <x:v>必须先测</x:v>
      </x:c>
      <x:c r="D44" s="17" t="str">
        <x:v>打开没有保存可靠程度的旧记录，或判断失败的记录</x:v>
      </x:c>
      <x:c r="E44" s="17" t="str">
        <x:v>明确写未知或不可用，不能默认当成可靠或合法</x:v>
      </x:c>
      <x:c r="F44" s="15" t="str">
        <x:v>还没测</x:v>
      </x:c>
      <x:c r="G44" s="15" t="str"/>
      <x:c r="H44" s="15" t="str"/>
      <x:c r="I44" s="16" t="str"/>
      <x:c r="J44" s="15" t="str"/>
      <x:c r="K44" s="15" t="str"/>
    </x:row>
    <x:row r="45" ht="54" customHeight="1">
      <x:c r="A45" s="180" t="n">
        <x:v>40</x:v>
      </x:c>
      <x:c r="B45" s="181" t="str">
        <x:v>合法性研判</x:v>
      </x:c>
      <x:c r="C45" s="182" t="str">
        <x:v>重要检查</x:v>
      </x:c>
      <x:c r="D45" s="18" t="str">
        <x:v>筛选“待复核”“已确认”“已驳回”“已改判”</x:v>
      </x:c>
      <x:c r="E45" s="18" t="str">
        <x:v>按实际处理情况分类，不把所有“从未人工操作”的记录都塞进待复核</x:v>
      </x:c>
      <x:c r="F45" s="15" t="str">
        <x:v>还没测</x:v>
      </x:c>
      <x:c r="G45" s="15" t="str"/>
      <x:c r="H45" s="15" t="str"/>
      <x:c r="I45" s="16" t="str"/>
      <x:c r="J45" s="15" t="str"/>
      <x:c r="K45" s="15" t="str"/>
    </x:row>
    <x:row r="46" ht="54" customHeight="1">
      <x:c r="A46" s="180" t="n">
        <x:v>41</x:v>
      </x:c>
      <x:c r="B46" s="181" t="str">
        <x:v>合法性研判</x:v>
      </x:c>
      <x:c r="C46" s="182" t="str">
        <x:v>必须先测</x:v>
      </x:c>
      <x:c r="D46" s="17" t="str">
        <x:v>两个人同时打开同一条待复核记录，先后提交不同结果</x:v>
      </x:c>
      <x:c r="E46" s="17" t="str">
        <x:v>后提交的人收到冲突或更新提示，不能无声覆盖先提交结果</x:v>
      </x:c>
      <x:c r="F46" s="15" t="str">
        <x:v>还没测</x:v>
      </x:c>
      <x:c r="G46" s="15" t="str"/>
      <x:c r="H46" s="15" t="str"/>
      <x:c r="I46" s="16" t="str"/>
      <x:c r="J46" s="15" t="str"/>
      <x:c r="K46" s="15" t="str"/>
    </x:row>
    <x:row r="47" ht="54" customHeight="1">
      <x:c r="A47" s="180" t="n">
        <x:v>42</x:v>
      </x:c>
      <x:c r="B47" s="181" t="str">
        <x:v>合法性研判</x:v>
      </x:c>
      <x:c r="C47" s="182" t="str">
        <x:v>重要检查</x:v>
      </x:c>
      <x:c r="D47" s="18" t="str">
        <x:v>带着筛选条件打开指定目标或计划的研判链接，再快速换记录</x:v>
      </x:c>
      <x:c r="E47" s="18" t="str">
        <x:v>能定位指定记录，必要时解除妨碍定位的筛选；详情和视频不串对象</x:v>
      </x:c>
      <x:c r="F47" s="15" t="str">
        <x:v>还没测</x:v>
      </x:c>
      <x:c r="G47" s="15" t="str"/>
      <x:c r="H47" s="15" t="str"/>
      <x:c r="I47" s="16" t="str"/>
      <x:c r="J47" s="15" t="str"/>
      <x:c r="K47" s="15" t="str"/>
    </x:row>
    <x:row r="48" ht="54" customHeight="1">
      <x:c r="A48" s="180" t="n">
        <x:v>43</x:v>
      </x:c>
      <x:c r="B48" s="181" t="str">
        <x:v>合法性研判</x:v>
      </x:c>
      <x:c r="C48" s="182" t="str">
        <x:v>重要检查</x:v>
      </x:c>
      <x:c r="D48" s="17" t="str">
        <x:v>查看详情里的各个区块</x:v>
      </x:c>
      <x:c r="E48" s="17" t="str">
        <x:v>保留判定依据和复核历史；不恢复已经删除的整块信息及上一条、下一条箭头</x:v>
      </x:c>
      <x:c r="F48" s="15" t="str">
        <x:v>还没测</x:v>
      </x:c>
      <x:c r="G48" s="15" t="str"/>
      <x:c r="H48" s="15" t="str"/>
      <x:c r="I48" s="16" t="str"/>
      <x:c r="J48" s="15" t="str"/>
      <x:c r="K48" s="15" t="str"/>
    </x:row>
    <x:row r="49" ht="54" customHeight="1">
      <x:c r="A49" s="180" t="n">
        <x:v>44</x:v>
      </x:c>
      <x:c r="B49" s="181" t="str">
        <x:v>合法性研判</x:v>
      </x:c>
      <x:c r="C49" s="182" t="str">
        <x:v>必须先测</x:v>
      </x:c>
      <x:c r="D49" s="18" t="str">
        <x:v>请开发模拟目标后来被判为非无人机，或关联告警读取失败</x:v>
      </x:c>
      <x:c r="E49" s="18" t="str">
        <x:v>不继续按无人机展示；读取失败不能被当成无告警并放开重复核实</x:v>
      </x:c>
      <x:c r="F49" s="15" t="str">
        <x:v>还没测</x:v>
      </x:c>
      <x:c r="G49" s="15" t="str"/>
      <x:c r="H49" s="15" t="str"/>
      <x:c r="I49" s="16" t="str"/>
      <x:c r="J49" s="15" t="str"/>
      <x:c r="K49" s="15" t="str"/>
    </x:row>
    <x:row r="50" ht="54" customHeight="1">
      <x:c r="A50" s="183" t="n">
        <x:v>45</x:v>
      </x:c>
      <x:c r="B50" s="184" t="str">
        <x:v>空域管理</x:v>
      </x:c>
      <x:c r="C50" s="185" t="str">
        <x:v>重要检查</x:v>
      </x:c>
      <x:c r="D50" s="61" t="str">
        <x:v>查询、选择、关闭不同空域详情</x:v>
      </x:c>
      <x:c r="E50" s="61" t="str">
        <x:v>列表、地图范围和详情对应；没选中时不留空白详情栏；选择空域不偷偷改变筛选</x:v>
      </x:c>
      <x:c r="F50" s="62" t="str">
        <x:v>还没测</x:v>
      </x:c>
      <x:c r="G50" s="62" t="str"/>
      <x:c r="H50" s="62" t="str"/>
      <x:c r="I50" s="63" t="str"/>
      <x:c r="J50" s="62" t="str"/>
      <x:c r="K50" s="62" t="str"/>
    </x:row>
    <x:row r="51" ht="54" customHeight="1">
      <x:c r="A51" s="186" t="n">
        <x:v>46</x:v>
      </x:c>
      <x:c r="B51" s="187" t="str">
        <x:v>空域管理</x:v>
      </x:c>
      <x:c r="C51" s="188" t="str">
        <x:v>必须先测</x:v>
      </x:c>
      <x:c r="D51" s="18" t="str">
        <x:v>准备范围内、边界上、范围外的目标，并用限制区域账号查看</x:v>
      </x:c>
      <x:c r="E51" s="18" t="str">
        <x:v>按已确定的空间规则处理；不能只凭地图上看起来靠近就算在范围内，也不能越权</x:v>
      </x:c>
      <x:c r="F51" s="15" t="str">
        <x:v>还没测</x:v>
      </x:c>
      <x:c r="G51" s="15" t="str"/>
      <x:c r="H51" s="15" t="str"/>
      <x:c r="I51" s="16" t="str"/>
      <x:c r="J51" s="15" t="str"/>
      <x:c r="K51" s="15" t="str"/>
    </x:row>
    <x:row r="52" ht="54" customHeight="1">
      <x:c r="A52" s="186" t="n">
        <x:v>47</x:v>
      </x:c>
      <x:c r="B52" s="187" t="str">
        <x:v>空域管理</x:v>
      </x:c>
      <x:c r="C52" s="188" t="str">
        <x:v>重要检查</x:v>
      </x:c>
      <x:c r="D52" s="17" t="str">
        <x:v>查看当前风险和已经解除的历史风险</x:v>
      </x:c>
      <x:c r="E52" s="17" t="str">
        <x:v>当前异常有提示，历史不继续闪；通知送达不自动解除异常</x:v>
      </x:c>
      <x:c r="F52" s="15" t="str">
        <x:v>还没测</x:v>
      </x:c>
      <x:c r="G52" s="15" t="str"/>
      <x:c r="H52" s="15" t="str"/>
      <x:c r="I52" s="16" t="str"/>
      <x:c r="J52" s="15" t="str"/>
      <x:c r="K52" s="15" t="str"/>
    </x:row>
    <x:row r="53" ht="54" customHeight="1">
      <x:c r="A53" s="186" t="n">
        <x:v>48</x:v>
      </x:c>
      <x:c r="B53" s="187" t="str">
        <x:v>空域管理</x:v>
      </x:c>
      <x:c r="C53" s="188" t="str">
        <x:v>重要检查</x:v>
      </x:c>
      <x:c r="D53" s="18" t="str">
        <x:v>有位置、有权限且测试设备空闲时，发起光电跟踪</x:v>
      </x:c>
      <x:c r="E53" s="18" t="str">
        <x:v>跟踪的是所选目标；命令收到、跟踪成功、有视频分别显示</x:v>
      </x:c>
      <x:c r="F53" s="15" t="str">
        <x:v>还没测</x:v>
      </x:c>
      <x:c r="G53" s="15" t="str"/>
      <x:c r="H53" s="15" t="str"/>
      <x:c r="I53" s="16" t="str"/>
      <x:c r="J53" s="15" t="str"/>
      <x:c r="K53" s="15" t="str"/>
    </x:row>
    <x:row r="54" ht="54" customHeight="1">
      <x:c r="A54" s="186" t="n">
        <x:v>49</x:v>
      </x:c>
      <x:c r="B54" s="187" t="str">
        <x:v>空域管理</x:v>
      </x:c>
      <x:c r="C54" s="188" t="str">
        <x:v>必须先测</x:v>
      </x:c>
      <x:c r="D54" s="17" t="str">
        <x:v>没有位置、没有权限、设备忙，或只有气象风险时尝试跟踪</x:v>
      </x:c>
      <x:c r="E54" s="17" t="str">
        <x:v>明确说明不能操作的原因；不能虚构一个目标去跟踪</x:v>
      </x:c>
      <x:c r="F54" s="15" t="str">
        <x:v>还没测</x:v>
      </x:c>
      <x:c r="G54" s="15" t="str"/>
      <x:c r="H54" s="15" t="str"/>
      <x:c r="I54" s="16" t="str"/>
      <x:c r="J54" s="15" t="str"/>
      <x:c r="K54" s="15" t="str"/>
    </x:row>
    <x:row r="55" ht="54" customHeight="1">
      <x:c r="A55" s="186" t="n">
        <x:v>50</x:v>
      </x:c>
      <x:c r="B55" s="187" t="str">
        <x:v>空域管理</x:v>
      </x:c>
      <x:c r="C55" s="188" t="str">
        <x:v>重要检查</x:v>
      </x:c>
      <x:c r="D55" s="18" t="str">
        <x:v>查看空域资料和风险详情</x:v>
      </x:c>
      <x:c r="E55" s="18" t="str">
        <x:v>不恢复“关联规则”区块，不把后台规则编辑功能放回前台</x:v>
      </x:c>
      <x:c r="F55" s="15" t="str">
        <x:v>还没测</x:v>
      </x:c>
      <x:c r="G55" s="15" t="str"/>
      <x:c r="H55" s="15" t="str"/>
      <x:c r="I55" s="16" t="str"/>
      <x:c r="J55" s="15" t="str"/>
      <x:c r="K55" s="15" t="str"/>
    </x:row>
    <x:row r="56" ht="54" customHeight="1">
      <x:c r="A56" s="189" t="n">
        <x:v>51</x:v>
      </x:c>
      <x:c r="B56" s="190" t="str">
        <x:v>风险核验和通知上级</x:v>
      </x:c>
      <x:c r="C56" s="191" t="str">
        <x:v>必须先测</x:v>
      </x:c>
      <x:c r="D56" s="70" t="str">
        <x:v>对待核验风险分别选择属实和排除</x:v>
      </x:c>
      <x:c r="E56" s="70" t="str">
        <x:v>处理结果及历史正确；已排除的事项不继续要求重复核验或通知</x:v>
      </x:c>
      <x:c r="F56" s="71" t="str">
        <x:v>还没测</x:v>
      </x:c>
      <x:c r="G56" s="71" t="str"/>
      <x:c r="H56" s="71" t="str"/>
      <x:c r="I56" s="72" t="str"/>
      <x:c r="J56" s="71" t="str"/>
      <x:c r="K56" s="71" t="str"/>
    </x:row>
    <x:row r="57" ht="54" customHeight="1">
      <x:c r="A57" s="192" t="n">
        <x:v>52</x:v>
      </x:c>
      <x:c r="B57" s="193" t="str">
        <x:v>风险核验和通知上级</x:v>
      </x:c>
      <x:c r="C57" s="194" t="str">
        <x:v>必须先测</x:v>
      </x:c>
      <x:c r="D57" s="18" t="str">
        <x:v>对核验属实的风险执行“通知上级”</x:v>
      </x:c>
      <x:c r="E57" s="18" t="str">
        <x:v>通知正确的上级，不新增按区域、风险类型选职责单位的步骤</x:v>
      </x:c>
      <x:c r="F57" s="15" t="str">
        <x:v>还没测</x:v>
      </x:c>
      <x:c r="G57" s="15" t="str"/>
      <x:c r="H57" s="15" t="str"/>
      <x:c r="I57" s="16" t="str"/>
      <x:c r="J57" s="15" t="str"/>
      <x:c r="K57" s="15" t="str"/>
    </x:row>
    <x:row r="58" ht="54" customHeight="1">
      <x:c r="A58" s="192" t="n">
        <x:v>53</x:v>
      </x:c>
      <x:c r="B58" s="193" t="str">
        <x:v>风险核验和通知上级</x:v>
      </x:c>
      <x:c r="C58" s="194" t="str">
        <x:v>重要检查</x:v>
      </x:c>
      <x:c r="D58" s="17" t="str">
        <x:v>在飞行计划“全部风险事件”的“通知与回执”页签查看</x:v>
      </x:c>
      <x:c r="E58" s="17" t="str">
        <x:v>这里只看通知及回复，不再出现核验、改判操作；核验在风险详情办理</x:v>
      </x:c>
      <x:c r="F58" s="15" t="str">
        <x:v>还没测</x:v>
      </x:c>
      <x:c r="G58" s="15" t="str"/>
      <x:c r="H58" s="15" t="str"/>
      <x:c r="I58" s="16" t="str"/>
      <x:c r="J58" s="15" t="str"/>
      <x:c r="K58" s="15" t="str"/>
    </x:row>
    <x:row r="59" ht="54" customHeight="1">
      <x:c r="A59" s="192" t="n">
        <x:v>54</x:v>
      </x:c>
      <x:c r="B59" s="193" t="str">
        <x:v>风险核验和通知上级</x:v>
      </x:c>
      <x:c r="C59" s="194" t="str">
        <x:v>必须先测</x:v>
      </x:c>
      <x:c r="D59" s="18" t="str">
        <x:v>分别制造发送失败、等待结果、已送达、超时的情况</x:v>
      </x:c>
      <x:c r="E59" s="18" t="str">
        <x:v>分别显示真实状态；点完发送不能立刻当作已通知成功；结果未知时先核对</x:v>
      </x:c>
      <x:c r="F59" s="15" t="str">
        <x:v>还没测</x:v>
      </x:c>
      <x:c r="G59" s="15" t="str"/>
      <x:c r="H59" s="15" t="str"/>
      <x:c r="I59" s="16" t="str"/>
      <x:c r="J59" s="15" t="str"/>
      <x:c r="K59" s="15" t="str"/>
    </x:row>
    <x:row r="60" ht="54" customHeight="1">
      <x:c r="A60" s="192" t="n">
        <x:v>55</x:v>
      </x:c>
      <x:c r="B60" s="193" t="str">
        <x:v>风险核验和通知上级</x:v>
      </x:c>
      <x:c r="C60" s="194" t="str">
        <x:v>必须先测</x:v>
      </x:c>
      <x:c r="D60" s="17" t="str">
        <x:v>上级签收后让风险继续存在，再提供有效解除依据</x:v>
      </x:c>
      <x:c r="E60" s="17" t="str">
        <x:v>签收不解除风险；有实际解除依据后才更新当前风险，旧通知保留</x:v>
      </x:c>
      <x:c r="F60" s="15" t="str">
        <x:v>还没测</x:v>
      </x:c>
      <x:c r="G60" s="15" t="str"/>
      <x:c r="H60" s="15" t="str"/>
      <x:c r="I60" s="16" t="str"/>
      <x:c r="J60" s="15" t="str"/>
      <x:c r="K60" s="15" t="str"/>
    </x:row>
    <x:row r="61" ht="54" customHeight="1">
      <x:c r="A61" s="192" t="n">
        <x:v>56</x:v>
      </x:c>
      <x:c r="B61" s="193" t="str">
        <x:v>风险核验和通知上级</x:v>
      </x:c>
      <x:c r="C61" s="194" t="str">
        <x:v>重要检查</x:v>
      </x:c>
      <x:c r="D61" s="18" t="str">
        <x:v>查看过了有效时间的气象风险，以及缺少新依据的其他风险</x:v>
      </x:c>
      <x:c r="E61" s="18" t="str">
        <x:v>按实际依据处理；无法确认的说明待确认，不能一律当作已经解除</x:v>
      </x:c>
      <x:c r="F61" s="15" t="str">
        <x:v>还没测</x:v>
      </x:c>
      <x:c r="G61" s="15" t="str"/>
      <x:c r="H61" s="15" t="str"/>
      <x:c r="I61" s="16" t="str"/>
      <x:c r="J61" s="15" t="str"/>
      <x:c r="K61" s="15" t="str"/>
    </x:row>
    <x:row r="62" ht="54" customHeight="1">
      <x:c r="A62" s="195" t="n">
        <x:v>57</x:v>
      </x:c>
      <x:c r="B62" s="196" t="str">
        <x:v>告警事件</x:v>
      </x:c>
      <x:c r="C62" s="197" t="str">
        <x:v>必须先测</x:v>
      </x:c>
      <x:c r="D62" s="79" t="str">
        <x:v>找到本次模拟产生的新告警，打开详情</x:v>
      </x:c>
      <x:c r="E62" s="79" t="str">
        <x:v>无人机、事件、研判对应；需要人工核实的显示待核实；查看本身不办业务</x:v>
      </x:c>
      <x:c r="F62" s="80" t="str">
        <x:v>还没测</x:v>
      </x:c>
      <x:c r="G62" s="80" t="str"/>
      <x:c r="H62" s="80" t="str"/>
      <x:c r="I62" s="81" t="str"/>
      <x:c r="J62" s="80" t="str"/>
      <x:c r="K62" s="80" t="str"/>
    </x:row>
    <x:row r="63" ht="54" customHeight="1">
      <x:c r="A63" s="198" t="n">
        <x:v>58</x:v>
      </x:c>
      <x:c r="B63" s="199" t="str">
        <x:v>告警事件</x:v>
      </x:c>
      <x:c r="C63" s="200" t="str">
        <x:v>必须先测</x:v>
      </x:c>
      <x:c r="D63" s="18" t="str">
        <x:v>有权限的值班人员把告警核实为属实，再刷新</x:v>
      </x:c>
      <x:c r="E63" s="18" t="str">
        <x:v>显示“告警已确认”，记录谁处理的；后续通知按飞手和渠道条件办理</x:v>
      </x:c>
      <x:c r="F63" s="15" t="str">
        <x:v>还没测</x:v>
      </x:c>
      <x:c r="G63" s="15" t="str"/>
      <x:c r="H63" s="15" t="str"/>
      <x:c r="I63" s="16" t="str"/>
      <x:c r="J63" s="15" t="str"/>
      <x:c r="K63" s="15" t="str"/>
    </x:row>
    <x:row r="64" ht="54" customHeight="1">
      <x:c r="A64" s="198" t="n">
        <x:v>59</x:v>
      </x:c>
      <x:c r="B64" s="199" t="str">
        <x:v>告警事件</x:v>
      </x:c>
      <x:c r="C64" s="200" t="str">
        <x:v>必须先测</x:v>
      </x:c>
      <x:c r="D64" s="17" t="str">
        <x:v>将另一条待核实告警判为误报</x:v>
      </x:c>
      <x:c r="E64" s="17" t="str">
        <x:v>留下处理原因和历史；不会继续发短信、打电话或发起反制</x:v>
      </x:c>
      <x:c r="F64" s="15" t="str">
        <x:v>还没测</x:v>
      </x:c>
      <x:c r="G64" s="15" t="str"/>
      <x:c r="H64" s="15" t="str"/>
      <x:c r="I64" s="16" t="str"/>
      <x:c r="J64" s="15" t="str"/>
      <x:c r="K64" s="15" t="str"/>
    </x:row>
    <x:row r="65" ht="54" customHeight="1">
      <x:c r="A65" s="198" t="n">
        <x:v>60</x:v>
      </x:c>
      <x:c r="B65" s="199" t="str">
        <x:v>告警事件</x:v>
      </x:c>
      <x:c r="C65" s="200" t="str">
        <x:v>重要检查</x:v>
      </x:c>
      <x:c r="D65" s="18" t="str">
        <x:v>组合筛选、翻页，在“告警与处置”和“反制办理”间切换</x:v>
      </x:c>
      <x:c r="E65" s="18" t="str">
        <x:v>列表和数量正确；顶部统计卡大小保持一致</x:v>
      </x:c>
      <x:c r="F65" s="15" t="str">
        <x:v>还没测</x:v>
      </x:c>
      <x:c r="G65" s="15" t="str"/>
      <x:c r="H65" s="15" t="str"/>
      <x:c r="I65" s="16" t="str"/>
      <x:c r="J65" s="15" t="str"/>
      <x:c r="K65" s="15" t="str"/>
    </x:row>
    <x:row r="66" ht="54" customHeight="1">
      <x:c r="A66" s="198" t="n">
        <x:v>61</x:v>
      </x:c>
      <x:c r="B66" s="199" t="str">
        <x:v>告警事件</x:v>
      </x:c>
      <x:c r="C66" s="200" t="str">
        <x:v>必须先测</x:v>
      </x:c>
      <x:c r="D66" s="17" t="str">
        <x:v>查看现有告警和旧的人工现场记录</x:v>
      </x:c>
      <x:c r="E66" s="17" t="str">
        <x:v>不再有“现场情况”“人工补充现场情况”写入口；旧记录可看但不能替代当前依据</x:v>
      </x:c>
      <x:c r="F66" s="15" t="str">
        <x:v>还没测</x:v>
      </x:c>
      <x:c r="G66" s="15" t="str"/>
      <x:c r="H66" s="15" t="str"/>
      <x:c r="I66" s="16" t="str"/>
      <x:c r="J66" s="15" t="str"/>
      <x:c r="K66" s="15" t="str"/>
    </x:row>
    <x:row r="67" ht="54" customHeight="1">
      <x:c r="A67" s="198" t="n">
        <x:v>62</x:v>
      </x:c>
      <x:c r="B67" s="199" t="str">
        <x:v>告警事件</x:v>
      </x:c>
      <x:c r="C67" s="200" t="str">
        <x:v>重要检查</x:v>
      </x:c>
      <x:c r="D67" s="18" t="str">
        <x:v>快速切换两条名称相似的告警</x:v>
      </x:c>
      <x:c r="E67" s="18" t="str">
        <x:v>不把前一条的通知、视频、授权、急停状态显示到后一条</x:v>
      </x:c>
      <x:c r="F67" s="15" t="str">
        <x:v>还没测</x:v>
      </x:c>
      <x:c r="G67" s="15" t="str"/>
      <x:c r="H67" s="15" t="str"/>
      <x:c r="I67" s="16" t="str"/>
      <x:c r="J67" s="15" t="str"/>
      <x:c r="K67" s="15" t="str"/>
    </x:row>
    <x:row r="68" ht="54" customHeight="1">
      <x:c r="A68" s="198" t="n">
        <x:v>63</x:v>
      </x:c>
      <x:c r="B68" s="199" t="str">
        <x:v>告警事件</x:v>
      </x:c>
      <x:c r="C68" s="200" t="str">
        <x:v>必须先测</x:v>
      </x:c>
      <x:c r="D68" s="17" t="str">
        <x:v>两个人同时核实，或一人快速重复点击提交</x:v>
      </x:c>
      <x:c r="E68" s="17" t="str">
        <x:v>不重复处理，不无声覆盖别人的结果；需要时提示重新读取</x:v>
      </x:c>
      <x:c r="F68" s="15" t="str">
        <x:v>还没测</x:v>
      </x:c>
      <x:c r="G68" s="15" t="str"/>
      <x:c r="H68" s="15" t="str"/>
      <x:c r="I68" s="16" t="str"/>
      <x:c r="J68" s="15" t="str"/>
      <x:c r="K68" s="15" t="str"/>
    </x:row>
    <x:row r="69" ht="54" customHeight="1">
      <x:c r="A69" s="198" t="n">
        <x:v>64</x:v>
      </x:c>
      <x:c r="B69" s="199" t="str">
        <x:v>告警事件</x:v>
      </x:c>
      <x:c r="C69" s="200" t="str">
        <x:v>必须先测</x:v>
      </x:c>
      <x:c r="D69" s="18" t="str">
        <x:v>无核实权限或缺关键依据时尝试处理</x:v>
      </x:c>
      <x:c r="E69" s="18" t="str">
        <x:v>有清楚的阻止原因；能进页面不等于能做所有操作</x:v>
      </x:c>
      <x:c r="F69" s="15" t="str">
        <x:v>还没测</x:v>
      </x:c>
      <x:c r="G69" s="15" t="str"/>
      <x:c r="H69" s="15" t="str"/>
      <x:c r="I69" s="16" t="str"/>
      <x:c r="J69" s="15" t="str"/>
      <x:c r="K69" s="15" t="str"/>
    </x:row>
    <x:row r="70" ht="54" customHeight="1">
      <x:c r="A70" s="198" t="n">
        <x:v>65</x:v>
      </x:c>
      <x:c r="B70" s="199" t="str">
        <x:v>告警事件</x:v>
      </x:c>
      <x:c r="C70" s="200" t="str">
        <x:v>重要检查</x:v>
      </x:c>
      <x:c r="D70" s="17" t="str">
        <x:v>打开告警及反制详情的视频，收起后再展开</x:v>
      </x:c>
      <x:c r="E70" s="17" t="str">
        <x:v>默认展开，支持收起；没接入、没权限、读取失败分别说明；看视频不触发反制</x:v>
      </x:c>
      <x:c r="F70" s="15" t="str">
        <x:v>还没测</x:v>
      </x:c>
      <x:c r="G70" s="15" t="str"/>
      <x:c r="H70" s="15" t="str"/>
      <x:c r="I70" s="16" t="str"/>
      <x:c r="J70" s="15" t="str"/>
      <x:c r="K70" s="15" t="str"/>
    </x:row>
    <x:row r="71" ht="54" customHeight="1">
      <x:c r="A71" s="201" t="n">
        <x:v>66</x:v>
      </x:c>
      <x:c r="B71" s="202" t="str">
        <x:v>飞手短信和电话</x:v>
      </x:c>
      <x:c r="C71" s="203" t="str">
        <x:v>必须先测</x:v>
      </x:c>
      <x:c r="D71" s="88" t="str">
        <x:v>已核验飞手、短信电话都可用，让无人机持续留在告警区域，再核实属实</x:v>
      </x:c>
      <x:c r="E71" s="88" t="str">
        <x:v>先短信，观察，再电话，再观察；仍没离开才到待反制。不能少等、乱跳步骤</x:v>
      </x:c>
      <x:c r="F71" s="89" t="str">
        <x:v>还没测</x:v>
      </x:c>
      <x:c r="G71" s="89" t="str"/>
      <x:c r="H71" s="89" t="str"/>
      <x:c r="I71" s="90" t="str"/>
      <x:c r="J71" s="89" t="str"/>
      <x:c r="K71" s="89" t="str"/>
    </x:row>
    <x:row r="72" ht="54" customHeight="1">
      <x:c r="A72" s="204" t="n">
        <x:v>67</x:v>
      </x:c>
      <x:c r="B72" s="205" t="str">
        <x:v>飞手短信和电话</x:v>
      </x:c>
      <x:c r="C72" s="206" t="str">
        <x:v>必须先测</x:v>
      </x:c>
      <x:c r="D72" s="17" t="str">
        <x:v>没有已核验执行飞手时核实属实</x:v>
      </x:c>
      <x:c r="E72" s="17" t="str">
        <x:v>直接到待反制，不给未核验的人发短信打电话</x:v>
      </x:c>
      <x:c r="F72" s="15" t="str">
        <x:v>还没测</x:v>
      </x:c>
      <x:c r="G72" s="15" t="str"/>
      <x:c r="H72" s="15" t="str"/>
      <x:c r="I72" s="16" t="str"/>
      <x:c r="J72" s="15" t="str"/>
      <x:c r="K72" s="15" t="str"/>
    </x:row>
    <x:row r="73" ht="54" customHeight="1">
      <x:c r="A73" s="204" t="n">
        <x:v>68</x:v>
      </x:c>
      <x:c r="B73" s="205" t="str">
        <x:v>飞手短信和电话</x:v>
      </x:c>
      <x:c r="C73" s="206" t="str">
        <x:v>必须先测</x:v>
      </x:c>
      <x:c r="D73" s="18" t="str">
        <x:v>短信渠道不可用时核实属实</x:v>
      </x:c>
      <x:c r="E73" s="18" t="str">
        <x:v>按既定流程到待反制，不假装短信已送达</x:v>
      </x:c>
      <x:c r="F73" s="15" t="str">
        <x:v>还没测</x:v>
      </x:c>
      <x:c r="G73" s="15" t="str"/>
      <x:c r="H73" s="15" t="str"/>
      <x:c r="I73" s="16" t="str"/>
      <x:c r="J73" s="15" t="str"/>
      <x:c r="K73" s="15" t="str"/>
    </x:row>
    <x:row r="74" ht="54" customHeight="1">
      <x:c r="A74" s="204" t="n">
        <x:v>69</x:v>
      </x:c>
      <x:c r="B74" s="205" t="str">
        <x:v>飞手短信和电话</x:v>
      </x:c>
      <x:c r="C74" s="206" t="str">
        <x:v>必须先测</x:v>
      </x:c>
      <x:c r="D74" s="17" t="str">
        <x:v>短信可用、电话不可用，无人机还在区域内</x:v>
      </x:c>
      <x:c r="E74" s="17" t="str">
        <x:v>先发短信并完成观察，再到待反制；不能直接跳过观察</x:v>
      </x:c>
      <x:c r="F74" s="15" t="str">
        <x:v>还没测</x:v>
      </x:c>
      <x:c r="G74" s="15" t="str"/>
      <x:c r="H74" s="15" t="str"/>
      <x:c r="I74" s="16" t="str"/>
      <x:c r="J74" s="15" t="str"/>
      <x:c r="K74" s="15" t="str"/>
    </x:row>
    <x:row r="75" ht="54" customHeight="1">
      <x:c r="A75" s="204" t="n">
        <x:v>70</x:v>
      </x:c>
      <x:c r="B75" s="205" t="str">
        <x:v>飞手短信和电话</x:v>
      </x:c>
      <x:c r="C75" s="206" t="str">
        <x:v>必须先测</x:v>
      </x:c>
      <x:c r="D75" s="18" t="str">
        <x:v>短信送达后让无人机真正飞离，继续上报位置</x:v>
      </x:c>
      <x:c r="E75" s="18" t="str">
        <x:v>有位置证明离开后，不再升级电话或待反制；原告警确认记录仍保留</x:v>
      </x:c>
      <x:c r="F75" s="15" t="str">
        <x:v>还没测</x:v>
      </x:c>
      <x:c r="G75" s="15" t="str"/>
      <x:c r="H75" s="15" t="str"/>
      <x:c r="I75" s="16" t="str"/>
      <x:c r="J75" s="15" t="str"/>
      <x:c r="K75" s="15" t="str"/>
    </x:row>
    <x:row r="76" ht="54" customHeight="1">
      <x:c r="A76" s="204" t="n">
        <x:v>71</x:v>
      </x:c>
      <x:c r="B76" s="205" t="str">
        <x:v>飞手短信和电话</x:v>
      </x:c>
      <x:c r="C76" s="206" t="str">
        <x:v>必须先测</x:v>
      </x:c>
      <x:c r="D76" s="17" t="str">
        <x:v>一条始终不核实，另一条判为误报，多次打开页面</x:v>
      </x:c>
      <x:c r="E76" s="17" t="str">
        <x:v>两条都不发短信或电话；打开、刷新页面不触发通知</x:v>
      </x:c>
      <x:c r="F76" s="15" t="str">
        <x:v>还没测</x:v>
      </x:c>
      <x:c r="G76" s="15" t="str"/>
      <x:c r="H76" s="15" t="str"/>
      <x:c r="I76" s="16" t="str"/>
      <x:c r="J76" s="15" t="str"/>
      <x:c r="K76" s="15" t="str"/>
    </x:row>
    <x:row r="77" ht="54" customHeight="1">
      <x:c r="A77" s="204" t="n">
        <x:v>72</x:v>
      </x:c>
      <x:c r="B77" s="205" t="str">
        <x:v>飞手短信和电话</x:v>
      </x:c>
      <x:c r="C77" s="206" t="str">
        <x:v>必须先测</x:v>
      </x:c>
      <x:c r="D77" s="18" t="str">
        <x:v>短信送达后停止无人机位置上报，但设备还在线</x:v>
      </x:c>
      <x:c r="E77" s="18" t="str">
        <x:v>不当作飞走，也不继续自动打电话；即使显示待反制，缺少有效位置仍不能实际反制</x:v>
      </x:c>
      <x:c r="F77" s="15" t="str">
        <x:v>还没测</x:v>
      </x:c>
      <x:c r="G77" s="15" t="str"/>
      <x:c r="H77" s="15" t="str"/>
      <x:c r="I77" s="16" t="str"/>
      <x:c r="J77" s="15" t="str"/>
      <x:c r="K77" s="15" t="str"/>
    </x:row>
    <x:row r="78" ht="54" customHeight="1">
      <x:c r="A78" s="204" t="n">
        <x:v>73</x:v>
      </x:c>
      <x:c r="B78" s="205" t="str">
        <x:v>飞手短信和电话</x:v>
      </x:c>
      <x:c r="C78" s="206" t="str">
        <x:v>必须先测</x:v>
      </x:c>
      <x:c r="D78" s="17" t="str">
        <x:v>电话播放完成后让无人机飞离</x:v>
      </x:c>
      <x:c r="E78" s="17" t="str">
        <x:v>第二次观察根据实际位置判断离开，保留电话通知记录</x:v>
      </x:c>
      <x:c r="F78" s="15" t="str">
        <x:v>还没测</x:v>
      </x:c>
      <x:c r="G78" s="15" t="str"/>
      <x:c r="H78" s="15" t="str"/>
      <x:c r="I78" s="16" t="str"/>
      <x:c r="J78" s="15" t="str"/>
      <x:c r="K78" s="15" t="str"/>
    </x:row>
    <x:row r="79" ht="54" customHeight="1">
      <x:c r="A79" s="204" t="n">
        <x:v>74</x:v>
      </x:c>
      <x:c r="B79" s="205" t="str">
        <x:v>飞手短信和电话</x:v>
      </x:c>
      <x:c r="C79" s="206" t="str">
        <x:v>必须先测</x:v>
      </x:c>
      <x:c r="D79" s="18" t="str">
        <x:v>短信只发出但没确认送达，或电话没接通、没播放完</x:v>
      </x:c>
      <x:c r="E79" s="18" t="str">
        <x:v>不把这些状态当成已通知完成；不错误启动下一段观察</x:v>
      </x:c>
      <x:c r="F79" s="15" t="str">
        <x:v>还没测</x:v>
      </x:c>
      <x:c r="G79" s="15" t="str"/>
      <x:c r="H79" s="15" t="str"/>
      <x:c r="I79" s="16" t="str"/>
      <x:c r="J79" s="15" t="str"/>
      <x:c r="K79" s="15" t="str"/>
    </x:row>
    <x:row r="80" ht="54" customHeight="1">
      <x:c r="A80" s="204" t="n">
        <x:v>75</x:v>
      </x:c>
      <x:c r="B80" s="205" t="str">
        <x:v>飞手短信和电话</x:v>
      </x:c>
      <x:c r="C80" s="206" t="str">
        <x:v>必须先测</x:v>
      </x:c>
      <x:c r="D80" s="17" t="str">
        <x:v>请开发重复发送同一条通知回复，或把短信、电话回复顺序打乱</x:v>
      </x:c>
      <x:c r="E80" s="17" t="str">
        <x:v>不重复发送，不混用两个渠道结果，旧回复不覆盖新事实</x:v>
      </x:c>
      <x:c r="F80" s="15" t="str">
        <x:v>还没测</x:v>
      </x:c>
      <x:c r="G80" s="15" t="str"/>
      <x:c r="H80" s="15" t="str"/>
      <x:c r="I80" s="16" t="str"/>
      <x:c r="J80" s="15" t="str"/>
      <x:c r="K80" s="15" t="str"/>
    </x:row>
    <x:row r="81" ht="54" customHeight="1">
      <x:c r="A81" s="204" t="n">
        <x:v>76</x:v>
      </x:c>
      <x:c r="B81" s="205" t="str">
        <x:v>飞手短信和电话</x:v>
      </x:c>
      <x:c r="C81" s="206" t="str">
        <x:v>必须先测</x:v>
      </x:c>
      <x:c r="D81" s="18" t="str">
        <x:v>用别的事件或上一次模拟的回复干扰本次事件</x:v>
      </x:c>
      <x:c r="E81" s="18" t="str">
        <x:v>本次告警不被推进，本次无人机不因此触发撤离</x:v>
      </x:c>
      <x:c r="F81" s="15" t="str">
        <x:v>还没测</x:v>
      </x:c>
      <x:c r="G81" s="15" t="str"/>
      <x:c r="H81" s="15" t="str"/>
      <x:c r="I81" s="16" t="str"/>
      <x:c r="J81" s="15" t="str"/>
      <x:c r="K81" s="15" t="str"/>
    </x:row>
    <x:row r="82" ht="54" customHeight="1">
      <x:c r="A82" s="204" t="n">
        <x:v>77</x:v>
      </x:c>
      <x:c r="B82" s="205" t="str">
        <x:v>飞手短信和电话</x:v>
      </x:c>
      <x:c r="C82" s="206" t="str">
        <x:v>重要检查</x:v>
      </x:c>
      <x:c r="D82" s="17" t="str">
        <x:v>已有送达记录后关闭渠道，或让当前位置过期</x:v>
      </x:c>
      <x:c r="E82" s="17" t="str">
        <x:v>当时已经送达的事实仍保留，不能改成“从未发送”</x:v>
      </x:c>
      <x:c r="F82" s="15" t="str">
        <x:v>还没测</x:v>
      </x:c>
      <x:c r="G82" s="15" t="str"/>
      <x:c r="H82" s="15" t="str"/>
      <x:c r="I82" s="16" t="str"/>
      <x:c r="J82" s="15" t="str"/>
      <x:c r="K82" s="15" t="str"/>
    </x:row>
    <x:row r="83" ht="54" customHeight="1">
      <x:c r="A83" s="204" t="n">
        <x:v>78</x:v>
      </x:c>
      <x:c r="B83" s="205" t="str">
        <x:v>飞手短信和电话</x:v>
      </x:c>
      <x:c r="C83" s="206" t="str">
        <x:v>必须先测</x:v>
      </x:c>
      <x:c r="D83" s="18" t="str">
        <x:v>通知开始后关闭前台和收件箱，过一段时间再打开</x:v>
      </x:c>
      <x:c r="E83" s="18" t="str">
        <x:v>已启用的后台流程能继续按条件处理，不依赖人守着页面</x:v>
      </x:c>
      <x:c r="F83" s="15" t="str">
        <x:v>还没测</x:v>
      </x:c>
      <x:c r="G83" s="15" t="str"/>
      <x:c r="H83" s="15" t="str"/>
      <x:c r="I83" s="16" t="str"/>
      <x:c r="J83" s="15" t="str"/>
      <x:c r="K83" s="15" t="str"/>
    </x:row>
    <x:row r="84" ht="54" customHeight="1">
      <x:c r="A84" s="204" t="n">
        <x:v>79</x:v>
      </x:c>
      <x:c r="B84" s="205" t="str">
        <x:v>飞手短信和电话</x:v>
      </x:c>
      <x:c r="C84" s="206" t="str">
        <x:v>必须先测</x:v>
      </x:c>
      <x:c r="D84" s="17" t="str">
        <x:v>通知处理中断网或重启测试服务，再恢复</x:v>
      </x:c>
      <x:c r="E84" s="17" t="str">
        <x:v>先核对原任务，不盲目重复发送；未知结果如实显示</x:v>
      </x:c>
      <x:c r="F84" s="15" t="str">
        <x:v>还没测</x:v>
      </x:c>
      <x:c r="G84" s="15" t="str"/>
      <x:c r="H84" s="15" t="str"/>
      <x:c r="I84" s="16" t="str"/>
      <x:c r="J84" s="15" t="str"/>
      <x:c r="K84" s="15" t="str"/>
    </x:row>
    <x:row r="85" ht="54" customHeight="1">
      <x:c r="A85" s="207" t="n">
        <x:v>80</x:v>
      </x:c>
      <x:c r="B85" s="208" t="str">
        <x:v>反制申请 审批 执行和急停</x:v>
      </x:c>
      <x:c r="C85" s="209" t="str">
        <x:v>必须先测</x:v>
      </x:c>
      <x:c r="D85" s="97" t="str">
        <x:v>普通申请人对符合条件的告警选择设备并提交反制申请</x:v>
      </x:c>
      <x:c r="E85" s="97" t="str">
        <x:v>进入审批流程，申请人和对象正确；审批前不能执行</x:v>
      </x:c>
      <x:c r="F85" s="98" t="str">
        <x:v>还没测</x:v>
      </x:c>
      <x:c r="G85" s="98" t="str"/>
      <x:c r="H85" s="98" t="str"/>
      <x:c r="I85" s="99" t="str"/>
      <x:c r="J85" s="98" t="str"/>
      <x:c r="K85" s="98" t="str"/>
    </x:row>
    <x:row r="86" ht="54" customHeight="1">
      <x:c r="A86" s="210" t="n">
        <x:v>81</x:v>
      </x:c>
      <x:c r="B86" s="211" t="str">
        <x:v>反制申请 审批 执行和急停</x:v>
      </x:c>
      <x:c r="C86" s="212" t="str">
        <x:v>必须先测</x:v>
      </x:c>
      <x:c r="D86" s="17" t="str">
        <x:v>用另一有权账号分别批准和驳回，再尝试由申请人审批自己的申请</x:v>
      </x:c>
      <x:c r="E86" s="17" t="str">
        <x:v>按现有审批约束处理；不允许的自批被拦；驳回不能继续执行</x:v>
      </x:c>
      <x:c r="F86" s="15" t="str">
        <x:v>还没测</x:v>
      </x:c>
      <x:c r="G86" s="15" t="str"/>
      <x:c r="H86" s="15" t="str"/>
      <x:c r="I86" s="16" t="str"/>
      <x:c r="J86" s="15" t="str"/>
      <x:c r="K86" s="15" t="str"/>
    </x:row>
    <x:row r="87" ht="54" customHeight="1">
      <x:c r="A87" s="210" t="n">
        <x:v>82</x:v>
      </x:c>
      <x:c r="B87" s="211" t="str">
        <x:v>反制申请 审批 执行和急停</x:v>
      </x:c>
      <x:c r="C87" s="212" t="str">
        <x:v>必须先测</x:v>
      </x:c>
      <x:c r="D87" s="18" t="str">
        <x:v>用执行账号执行已批准且有效的任务</x:v>
      </x:c>
      <x:c r="E87" s="18" t="str">
        <x:v>收到命令、开始执行、执行完成分别显示；只有设备结果才能证明实际执行情况</x:v>
      </x:c>
      <x:c r="F87" s="15" t="str">
        <x:v>还没测</x:v>
      </x:c>
      <x:c r="G87" s="15" t="str"/>
      <x:c r="H87" s="15" t="str"/>
      <x:c r="I87" s="16" t="str"/>
      <x:c r="J87" s="15" t="str"/>
      <x:c r="K87" s="15" t="str"/>
    </x:row>
    <x:row r="88" ht="54" customHeight="1">
      <x:c r="A88" s="210" t="n">
        <x:v>83</x:v>
      </x:c>
      <x:c r="B88" s="211" t="str">
        <x:v>反制申请 审批 执行和急停</x:v>
      </x:c>
      <x:c r="C88" s="212" t="str">
        <x:v>必须先测</x:v>
      </x:c>
      <x:c r="D88" s="17" t="str">
        <x:v>对已经过期、撤销、驳回的授权执行，包括停留在旧页面再点</x:v>
      </x:c>
      <x:c r="E88" s="17" t="str">
        <x:v>都重新检查当前状态，不因旧按钮还在就发命令</x:v>
      </x:c>
      <x:c r="F88" s="15" t="str">
        <x:v>还没测</x:v>
      </x:c>
      <x:c r="G88" s="15" t="str"/>
      <x:c r="H88" s="15" t="str"/>
      <x:c r="I88" s="16" t="str"/>
      <x:c r="J88" s="15" t="str"/>
      <x:c r="K88" s="15" t="str"/>
    </x:row>
    <x:row r="89" ht="54" customHeight="1">
      <x:c r="A89" s="210" t="n">
        <x:v>84</x:v>
      </x:c>
      <x:c r="B89" s="211" t="str">
        <x:v>反制申请 审批 执行和急停</x:v>
      </x:c>
      <x:c r="C89" s="212" t="str">
        <x:v>必须先测</x:v>
      </x:c>
      <x:c r="D89" s="18" t="str">
        <x:v>用明确有直接反制权限的账号操作符合条件的事件</x:v>
      </x:c>
      <x:c r="E89" s="18" t="str">
        <x:v>可以免逐次审批；记下真实发起人，不捏造审批人</x:v>
      </x:c>
      <x:c r="F89" s="15" t="str">
        <x:v>还没测</x:v>
      </x:c>
      <x:c r="G89" s="15" t="str"/>
      <x:c r="H89" s="15" t="str"/>
      <x:c r="I89" s="16" t="str"/>
      <x:c r="J89" s="15" t="str"/>
      <x:c r="K89" s="15" t="str"/>
    </x:row>
    <x:row r="90" ht="54" customHeight="1">
      <x:c r="A90" s="210" t="n">
        <x:v>85</x:v>
      </x:c>
      <x:c r="B90" s="211" t="str">
        <x:v>反制申请 审批 执行和急停</x:v>
      </x:c>
      <x:c r="C90" s="212" t="str">
        <x:v>必须先测</x:v>
      </x:c>
      <x:c r="D90" s="17" t="str">
        <x:v>用普通申请、审批、执行账号，以及没有单独授予直接权限的管理员尝试直接反制</x:v>
      </x:c>
      <x:c r="E90" s="17" t="str">
        <x:v>不能把这些身份自动当成直接反制许可</x:v>
      </x:c>
      <x:c r="F90" s="15" t="str">
        <x:v>还没测</x:v>
      </x:c>
      <x:c r="G90" s="15" t="str"/>
      <x:c r="H90" s="15" t="str"/>
      <x:c r="I90" s="16" t="str"/>
      <x:c r="J90" s="15" t="str"/>
      <x:c r="K90" s="15" t="str"/>
    </x:row>
    <x:row r="91" ht="54" customHeight="1">
      <x:c r="A91" s="210" t="n">
        <x:v>86</x:v>
      </x:c>
      <x:c r="B91" s="211" t="str">
        <x:v>反制申请 审批 执行和急停</x:v>
      </x:c>
      <x:c r="C91" s="212" t="str">
        <x:v>必须先测</x:v>
      </x:c>
      <x:c r="D91" s="18" t="str">
        <x:v>有直接权限，但对象、区域、设备不在允许范围，或已经过期</x:v>
      </x:c>
      <x:c r="E91" s="18" t="str">
        <x:v>仍然阻止操作，不能超范围执行</x:v>
      </x:c>
      <x:c r="F91" s="15" t="str">
        <x:v>还没测</x:v>
      </x:c>
      <x:c r="G91" s="15" t="str"/>
      <x:c r="H91" s="15" t="str"/>
      <x:c r="I91" s="16" t="str"/>
      <x:c r="J91" s="15" t="str"/>
      <x:c r="K91" s="15" t="str"/>
    </x:row>
    <x:row r="92" ht="54" customHeight="1">
      <x:c r="A92" s="210" t="n">
        <x:v>87</x:v>
      </x:c>
      <x:c r="B92" s="211" t="str">
        <x:v>反制申请 审批 执行和急停</x:v>
      </x:c>
      <x:c r="C92" s="212" t="str">
        <x:v>必须先测</x:v>
      </x:c>
      <x:c r="D92" s="17" t="str">
        <x:v>分别使用过期位置、未知或合法结论、证据不足、另一事件的研判</x:v>
      </x:c>
      <x:c r="E92" s="17" t="str">
        <x:v>申请、直接发起、实际执行都要挡住；不能拿旧现场记录凑依据</x:v>
      </x:c>
      <x:c r="F92" s="15" t="str">
        <x:v>还没测</x:v>
      </x:c>
      <x:c r="G92" s="15" t="str"/>
      <x:c r="H92" s="15" t="str"/>
      <x:c r="I92" s="16" t="str"/>
      <x:c r="J92" s="15" t="str"/>
      <x:c r="K92" s="15" t="str"/>
    </x:row>
    <x:row r="93" ht="54" customHeight="1">
      <x:c r="A93" s="210" t="n">
        <x:v>88</x:v>
      </x:c>
      <x:c r="B93" s="211" t="str">
        <x:v>反制申请 审批 执行和急停</x:v>
      </x:c>
      <x:c r="C93" s="212" t="str">
        <x:v>必须先测</x:v>
      </x:c>
      <x:c r="D93" s="18" t="str">
        <x:v>命令排队时撤权，或让授权、位置过期</x:v>
      </x:c>
      <x:c r="E93" s="18" t="str">
        <x:v>真正发命令之前再检查，不把失效的任务继续下发</x:v>
      </x:c>
      <x:c r="F93" s="15" t="str">
        <x:v>还没测</x:v>
      </x:c>
      <x:c r="G93" s="15" t="str"/>
      <x:c r="H93" s="15" t="str"/>
      <x:c r="I93" s="16" t="str"/>
      <x:c r="J93" s="15" t="str"/>
      <x:c r="K93" s="15" t="str"/>
    </x:row>
    <x:row r="94" ht="54" customHeight="1">
      <x:c r="A94" s="210" t="n">
        <x:v>89</x:v>
      </x:c>
      <x:c r="B94" s="211" t="str">
        <x:v>反制申请 审批 执行和急停</x:v>
      </x:c>
      <x:c r="C94" s="212" t="str">
        <x:v>必须先测</x:v>
      </x:c>
      <x:c r="D94" s="17" t="str">
        <x:v>任务需要继续执行时，让原授权到期或撤销资格</x:v>
      </x:c>
      <x:c r="E94" s="17" t="str">
        <x:v>后续命令仍重新检查，不能超出原来允许的时间</x:v>
      </x:c>
      <x:c r="F94" s="15" t="str">
        <x:v>还没测</x:v>
      </x:c>
      <x:c r="G94" s="15" t="str"/>
      <x:c r="H94" s="15" t="str"/>
      <x:c r="I94" s="16" t="str"/>
      <x:c r="J94" s="15" t="str"/>
      <x:c r="K94" s="15" t="str"/>
    </x:row>
    <x:row r="95" ht="54" customHeight="1">
      <x:c r="A95" s="210" t="n">
        <x:v>90</x:v>
      </x:c>
      <x:c r="B95" s="211" t="str">
        <x:v>反制申请 审批 执行和急停</x:v>
      </x:c>
      <x:c r="C95" s="212" t="str">
        <x:v>必须先测</x:v>
      </x:c>
      <x:c r="D95" s="18" t="str">
        <x:v>设备忙、离线、故障时操作，再试重复点击和两个人同时提交</x:v>
      </x:c>
      <x:c r="E95" s="18" t="str">
        <x:v>说明失败或冲突；不重复下发；不能改走“人工填写执行成功”</x:v>
      </x:c>
      <x:c r="F95" s="15" t="str">
        <x:v>还没测</x:v>
      </x:c>
      <x:c r="G95" s="15" t="str"/>
      <x:c r="H95" s="15" t="str"/>
      <x:c r="I95" s="16" t="str"/>
      <x:c r="J95" s="15" t="str"/>
      <x:c r="K95" s="15" t="str"/>
    </x:row>
    <x:row r="96" ht="54" customHeight="1">
      <x:c r="A96" s="210" t="n">
        <x:v>91</x:v>
      </x:c>
      <x:c r="B96" s="211" t="str">
        <x:v>反制申请 审批 执行和急停</x:v>
      </x:c>
      <x:c r="C96" s="212" t="str">
        <x:v>必须先测</x:v>
      </x:c>
      <x:c r="D96" s="17" t="str">
        <x:v>设备已经收到命令，但回复迟迟不到，过后再补回结果</x:v>
      </x:c>
      <x:c r="E96" s="17" t="str">
        <x:v>超时不能证明设备没执行；不要盲目重发；后到结果对应原任务</x:v>
      </x:c>
      <x:c r="F96" s="15" t="str">
        <x:v>还没测</x:v>
      </x:c>
      <x:c r="G96" s="15" t="str"/>
      <x:c r="H96" s="15" t="str"/>
      <x:c r="I96" s="16" t="str"/>
      <x:c r="J96" s="15" t="str"/>
      <x:c r="K96" s="15" t="str"/>
    </x:row>
    <x:row r="97" ht="54" customHeight="1">
      <x:c r="A97" s="210" t="n">
        <x:v>92</x:v>
      </x:c>
      <x:c r="B97" s="211" t="str">
        <x:v>反制申请 审批 执行和急停</x:v>
      </x:c>
      <x:c r="C97" s="212" t="str">
        <x:v>必须先测</x:v>
      </x:c>
      <x:c r="D97" s="18" t="str">
        <x:v>执行中点击急停</x:v>
      </x:c>
      <x:c r="E97" s="18" t="str">
        <x:v>停止按钮容易找到；急停请求、设备回复、实际停机核查分别看，不能一点就当已停机</x:v>
      </x:c>
      <x:c r="F97" s="15" t="str">
        <x:v>还没测</x:v>
      </x:c>
      <x:c r="G97" s="15" t="str"/>
      <x:c r="H97" s="15" t="str"/>
      <x:c r="I97" s="16" t="str"/>
      <x:c r="J97" s="15" t="str"/>
      <x:c r="K97" s="15" t="str"/>
    </x:row>
    <x:row r="98" ht="54" customHeight="1">
      <x:c r="A98" s="210" t="n">
        <x:v>93</x:v>
      </x:c>
      <x:c r="B98" s="211" t="str">
        <x:v>反制申请 审批 执行和急停</x:v>
      </x:c>
      <x:c r="C98" s="212" t="str">
        <x:v>必须先测</x:v>
      </x:c>
      <x:c r="D98" s="17" t="str">
        <x:v>未开始执行时撤销；急停后刷新或重新打开任务</x:v>
      </x:c>
      <x:c r="E98" s="17" t="str">
        <x:v>撤销与急停分清；刷新不自动恢复执行或授权</x:v>
      </x:c>
      <x:c r="F98" s="15" t="str">
        <x:v>还没测</x:v>
      </x:c>
      <x:c r="G98" s="15" t="str"/>
      <x:c r="H98" s="15" t="str"/>
      <x:c r="I98" s="16" t="str"/>
      <x:c r="J98" s="15" t="str"/>
      <x:c r="K98" s="15" t="str"/>
    </x:row>
    <x:row r="99" ht="54" customHeight="1">
      <x:c r="A99" s="210" t="n">
        <x:v>94</x:v>
      </x:c>
      <x:c r="B99" s="211" t="str">
        <x:v>反制申请 审批 执行和急停</x:v>
      </x:c>
      <x:c r="C99" s="212" t="str">
        <x:v>必须先测</x:v>
      </x:c>
      <x:c r="D99" s="18" t="str">
        <x:v>急停失败、结果不明、重复急停或设备回复顺序错乱</x:v>
      </x:c>
      <x:c r="E99" s="18" t="str">
        <x:v>不能显示成已经安全停机；不串任务，继续清楚提示实际状况</x:v>
      </x:c>
      <x:c r="F99" s="15" t="str">
        <x:v>还没测</x:v>
      </x:c>
      <x:c r="G99" s="15" t="str"/>
      <x:c r="H99" s="15" t="str"/>
      <x:c r="I99" s="16" t="str"/>
      <x:c r="J99" s="15" t="str"/>
      <x:c r="K99" s="15" t="str"/>
    </x:row>
    <x:row r="100" ht="54" customHeight="1">
      <x:c r="A100" s="210" t="n">
        <x:v>95</x:v>
      </x:c>
      <x:c r="B100" s="211" t="str">
        <x:v>反制申请 审批 执行和急停</x:v>
      </x:c>
      <x:c r="C100" s="212" t="str">
        <x:v>必须先测</x:v>
      </x:c>
      <x:c r="D100" s="17" t="str">
        <x:v>准备超过一页的待办，进入“待我处理”，再看“全部记录”</x:v>
      </x:c>
      <x:c r="E100" s="17" t="str">
        <x:v>待办不漏页；读取失败不能说没待办；当前事件和历史记录区分正确</x:v>
      </x:c>
      <x:c r="F100" s="15" t="str">
        <x:v>还没测</x:v>
      </x:c>
      <x:c r="G100" s="15" t="str"/>
      <x:c r="H100" s="15" t="str"/>
      <x:c r="I100" s="16" t="str"/>
      <x:c r="J100" s="15" t="str"/>
      <x:c r="K100" s="15" t="str"/>
    </x:row>
    <x:row r="101" ht="54" customHeight="1">
      <x:c r="A101" s="210" t="n">
        <x:v>96</x:v>
      </x:c>
      <x:c r="B101" s="211" t="str">
        <x:v>反制申请 审批 执行和急停</x:v>
      </x:c>
      <x:c r="C101" s="212" t="str">
        <x:v>重要检查</x:v>
      </x:c>
      <x:c r="D101" s="18" t="str">
        <x:v>查看以前的人工执行记录</x:v>
      </x:c>
      <x:c r="E101" s="18" t="str">
        <x:v>只读保留，不重新进入可审批、可执行队列，不提供人工登记成功或失败</x:v>
      </x:c>
      <x:c r="F101" s="15" t="str">
        <x:v>还没测</x:v>
      </x:c>
      <x:c r="G101" s="15" t="str"/>
      <x:c r="H101" s="15" t="str"/>
      <x:c r="I101" s="16" t="str"/>
      <x:c r="J101" s="15" t="str"/>
      <x:c r="K101" s="15" t="str"/>
    </x:row>
    <x:row r="102" ht="54" customHeight="1">
      <x:c r="A102" s="210" t="n">
        <x:v>97</x:v>
      </x:c>
      <x:c r="B102" s="211" t="str">
        <x:v>反制申请 审批 执行和急停</x:v>
      </x:c>
      <x:c r="C102" s="212" t="str">
        <x:v>必须先测</x:v>
      </x:c>
      <x:c r="D102" s="17" t="str">
        <x:v>请开发配合，让批准、撤销、执行同时发生，并模拟短时服务中断</x:v>
      </x:c>
      <x:c r="E102" s="17" t="str">
        <x:v>只接受当时合法的操作，不重复发命令；办理历史与实际结果一致</x:v>
      </x:c>
      <x:c r="F102" s="15" t="str">
        <x:v>还没测</x:v>
      </x:c>
      <x:c r="G102" s="15" t="str"/>
      <x:c r="H102" s="15" t="str"/>
      <x:c r="I102" s="16" t="str"/>
      <x:c r="J102" s="15" t="str"/>
      <x:c r="K102" s="15" t="str"/>
    </x:row>
    <x:row r="103" ht="54" customHeight="1">
      <x:c r="A103" s="213" t="n">
        <x:v>98</x:v>
      </x:c>
      <x:c r="B103" s="214" t="str">
        <x:v>移送与处罚</x:v>
      </x:c>
      <x:c r="C103" s="215" t="str">
        <x:v>必须先测</x:v>
      </x:c>
      <x:c r="D103" s="106" t="str">
        <x:v>打开本次事件的移送记录，核对目标、材料和来源</x:v>
      </x:c>
      <x:c r="E103" s="106" t="str">
        <x:v>是同一件事，不把反制申请审批放回这里办理</x:v>
      </x:c>
      <x:c r="F103" s="107" t="str">
        <x:v>还没测</x:v>
      </x:c>
      <x:c r="G103" s="107" t="str"/>
      <x:c r="H103" s="107" t="str"/>
      <x:c r="I103" s="108" t="str"/>
      <x:c r="J103" s="107" t="str"/>
      <x:c r="K103" s="107" t="str"/>
    </x:row>
    <x:row r="104" ht="115" customHeight="1">
      <x:c r="A104" s="216" t="n">
        <x:v>99</x:v>
      </x:c>
      <x:c r="B104" s="217" t="str">
        <x:v>移送与处罚</x:v>
      </x:c>
      <x:c r="C104" s="218" t="str">
        <x:v>必须先测</x:v>
      </x:c>
      <x:c r="D104" s="17" t="str">
        <x:v>分别检查自动建交接、自动发送和人工补发；引擎关闭与对应规则停用使用独立批次</x:v>
      </x:c>
      <x:c r="E104" s="17" t="str">
        <x:v>按实际触发条件显示；自动建交接检查干扰完成，人工交接不要求先反制。只读刷新不写入；发送、送达、签收和处罚结果分别记录</x:v>
      </x:c>
      <x:c r="F104" s="15" t="str">
        <x:v>还没测</x:v>
      </x:c>
      <x:c r="G104" s="15" t="str"/>
      <x:c r="H104" s="15" t="str"/>
      <x:c r="I104" s="16" t="str"/>
      <x:c r="J104" s="15" t="str"/>
      <x:c r="K104" s="15" t="str"/>
    </x:row>
    <x:row r="105" ht="54" customHeight="1">
      <x:c r="A105" s="216" t="n">
        <x:v>100</x:v>
      </x:c>
      <x:c r="B105" s="217" t="str">
        <x:v>移送与处罚</x:v>
      </x:c>
      <x:c r="C105" s="218" t="str">
        <x:v>必须先测</x:v>
      </x:c>
      <x:c r="D105" s="18" t="str">
        <x:v>查看待发送、等送达确认、已送达、发送失败的记录</x:v>
      </x:c>
      <x:c r="E105" s="18" t="str">
        <x:v>四种情况分清，保留每次发送记录，不能把未知写成成功</x:v>
      </x:c>
      <x:c r="F105" s="15" t="str">
        <x:v>还没测</x:v>
      </x:c>
      <x:c r="G105" s="15" t="str"/>
      <x:c r="H105" s="15" t="str"/>
      <x:c r="I105" s="16" t="str"/>
      <x:c r="J105" s="15" t="str"/>
      <x:c r="K105" s="15" t="str"/>
    </x:row>
    <x:row r="106" ht="54" customHeight="1">
      <x:c r="A106" s="216" t="n">
        <x:v>101</x:v>
      </x:c>
      <x:c r="B106" s="217" t="str">
        <x:v>移送与处罚</x:v>
      </x:c>
      <x:c r="C106" s="218" t="str">
        <x:v>必须先测</x:v>
      </x:c>
      <x:c r="D106" s="17" t="str">
        <x:v>查看未进入签收、等签收、已签收、签收超时</x:v>
      </x:c>
      <x:c r="E106" s="17" t="str">
        <x:v>签收与送达分开；已送达不等于已签收，已签收不等于处罚完成</x:v>
      </x:c>
      <x:c r="F106" s="15" t="str">
        <x:v>还没测</x:v>
      </x:c>
      <x:c r="G106" s="15" t="str"/>
      <x:c r="H106" s="15" t="str"/>
      <x:c r="I106" s="16" t="str"/>
      <x:c r="J106" s="15" t="str"/>
      <x:c r="K106" s="15" t="str"/>
    </x:row>
    <x:row r="107" ht="54" customHeight="1">
      <x:c r="A107" s="216" t="n">
        <x:v>102</x:v>
      </x:c>
      <x:c r="B107" s="217" t="str">
        <x:v>移送与处罚</x:v>
      </x:c>
      <x:c r="C107" s="218" t="str">
        <x:v>必须先测</x:v>
      </x:c>
      <x:c r="D107" s="18" t="str">
        <x:v>对允许补发的未发送或明确失败记录操作，再对结果未知的记录尝试重发</x:v>
      </x:c>
      <x:c r="E107" s="18" t="str">
        <x:v>只允许当前合法操作；结果未知先核对，不反复发送</x:v>
      </x:c>
      <x:c r="F107" s="15" t="str">
        <x:v>还没测</x:v>
      </x:c>
      <x:c r="G107" s="15" t="str"/>
      <x:c r="H107" s="15" t="str"/>
      <x:c r="I107" s="16" t="str"/>
      <x:c r="J107" s="15" t="str"/>
      <x:c r="K107" s="15" t="str"/>
    </x:row>
    <x:row r="108" ht="54" customHeight="1">
      <x:c r="A108" s="216" t="n">
        <x:v>103</x:v>
      </x:c>
      <x:c r="B108" s="217" t="str">
        <x:v>移送与处罚</x:v>
      </x:c>
      <x:c r="C108" s="218" t="str">
        <x:v>必须先测</x:v>
      </x:c>
      <x:c r="D108" s="17" t="str">
        <x:v>请开发模拟重复、迟到或发错事件的送达签收回复</x:v>
      </x:c>
      <x:c r="E108" s="17" t="str">
        <x:v>不重复处理，不串事件，历史事实不被随便覆盖</x:v>
      </x:c>
      <x:c r="F108" s="15" t="str">
        <x:v>还没测</x:v>
      </x:c>
      <x:c r="G108" s="15" t="str"/>
      <x:c r="H108" s="15" t="str"/>
      <x:c r="I108" s="16" t="str"/>
      <x:c r="J108" s="15" t="str"/>
      <x:c r="K108" s="15" t="str"/>
    </x:row>
    <x:row r="109" ht="54" customHeight="1">
      <x:c r="A109" s="216" t="n">
        <x:v>104</x:v>
      </x:c>
      <x:c r="B109" s="217" t="str">
        <x:v>移送与处罚</x:v>
      </x:c>
      <x:c r="C109" s="218" t="str">
        <x:v>重要检查</x:v>
      </x:c>
      <x:c r="D109" s="18" t="str">
        <x:v>查看已有正式办理结果和还没有决定的记录</x:v>
      </x:c>
      <x:c r="E109" s="18" t="str">
        <x:v>没有决定不编出处罚结果；收到材料不自动结案</x:v>
      </x:c>
      <x:c r="F109" s="15" t="str">
        <x:v>还没测</x:v>
      </x:c>
      <x:c r="G109" s="15" t="str"/>
      <x:c r="H109" s="15" t="str"/>
      <x:c r="I109" s="16" t="str"/>
      <x:c r="J109" s="15" t="str"/>
      <x:c r="K109" s="15" t="str"/>
    </x:row>
    <x:row r="110" ht="54" customHeight="1">
      <x:c r="A110" s="216" t="n">
        <x:v>105</x:v>
      </x:c>
      <x:c r="B110" s="217" t="str">
        <x:v>移送与处罚</x:v>
      </x:c>
      <x:c r="C110" s="218" t="str">
        <x:v>必须先测</x:v>
      </x:c>
      <x:c r="D110" s="17" t="str">
        <x:v>已固定保存的材料之后又增加新证据，或改变当前配置</x:v>
      </x:c>
      <x:c r="E110" s="17" t="str">
        <x:v>原材料内容保留，新资料另行关联；直接反制记录写真实发起人</x:v>
      </x:c>
      <x:c r="F110" s="15" t="str">
        <x:v>还没测</x:v>
      </x:c>
      <x:c r="G110" s="15" t="str"/>
      <x:c r="H110" s="15" t="str"/>
      <x:c r="I110" s="16" t="str"/>
      <x:c r="J110" s="15" t="str"/>
      <x:c r="K110" s="15" t="str"/>
    </x:row>
    <x:row r="111" ht="54" customHeight="1">
      <x:c r="A111" s="216" t="n">
        <x:v>106</x:v>
      </x:c>
      <x:c r="B111" s="217" t="str">
        <x:v>移送与处罚</x:v>
      </x:c>
      <x:c r="C111" s="218" t="str">
        <x:v>必须先测</x:v>
      </x:c>
      <x:c r="D111" s="18" t="str">
        <x:v>用范围受限或无办理权限的账号看详情、下载材料、尝试发送</x:v>
      </x:c>
      <x:c r="E111" s="18" t="str">
        <x:v>查看、下载、处理都受权限限制，不能越权</x:v>
      </x:c>
      <x:c r="F111" s="15" t="str">
        <x:v>还没测</x:v>
      </x:c>
      <x:c r="G111" s="15" t="str"/>
      <x:c r="H111" s="15" t="str"/>
      <x:c r="I111" s="16" t="str"/>
      <x:c r="J111" s="15" t="str"/>
      <x:c r="K111" s="15" t="str"/>
    </x:row>
    <x:row r="112" ht="54" customHeight="1">
      <x:c r="A112" s="219" t="n">
        <x:v>107</x:v>
      </x:c>
      <x:c r="B112" s="220" t="str">
        <x:v>证据和视频</x:v>
      </x:c>
      <x:c r="C112" s="221" t="str">
        <x:v>重要检查</x:v>
      </x:c>
      <x:c r="D112" s="115" t="str">
        <x:v>分别打开图片、PDF、视频和文本证据</x:v>
      </x:c>
      <x:c r="E112" s="115" t="str">
        <x:v>内容可读，采集时间与模拟标记明确</x:v>
      </x:c>
      <x:c r="F112" s="116" t="str">
        <x:v>还没测</x:v>
      </x:c>
      <x:c r="G112" s="116" t="str"/>
      <x:c r="H112" s="116" t="str"/>
      <x:c r="I112" s="117" t="str"/>
      <x:c r="J112" s="116" t="str"/>
      <x:c r="K112" s="116" t="str"/>
    </x:row>
    <x:row r="113" ht="54" customHeight="1">
      <x:c r="A113" s="222" t="n">
        <x:v>108</x:v>
      </x:c>
      <x:c r="B113" s="223" t="str">
        <x:v>证据和视频</x:v>
      </x:c>
      <x:c r="C113" s="224" t="str">
        <x:v>必须先测</x:v>
      </x:c>
      <x:c r="D113" s="18" t="str">
        <x:v>同一事件有多个同名文件，从业务页点击查看证据详情</x:v>
      </x:c>
      <x:c r="E113" s="18" t="str">
        <x:v>精确打开刚才那个文件，不能换成第一个或最新的文件</x:v>
      </x:c>
      <x:c r="F113" s="15" t="str">
        <x:v>还没测</x:v>
      </x:c>
      <x:c r="G113" s="15" t="str"/>
      <x:c r="H113" s="15" t="str"/>
      <x:c r="I113" s="16" t="str"/>
      <x:c r="J113" s="15" t="str"/>
      <x:c r="K113" s="15" t="str"/>
    </x:row>
    <x:row r="114" ht="54" customHeight="1">
      <x:c r="A114" s="222" t="n">
        <x:v>109</x:v>
      </x:c>
      <x:c r="B114" s="223" t="str">
        <x:v>证据和视频</x:v>
      </x:c>
      <x:c r="C114" s="224" t="str">
        <x:v>必须先测</x:v>
      </x:c>
      <x:c r="D114" s="17" t="str">
        <x:v>同一目标有多条轨迹，从业务页跳到轨迹证据</x:v>
      </x:c>
      <x:c r="E114" s="17" t="str">
        <x:v>打开正确的那一条，不能把轨迹编号当成文件编号找错内容</x:v>
      </x:c>
      <x:c r="F114" s="15" t="str">
        <x:v>还没测</x:v>
      </x:c>
      <x:c r="G114" s="15" t="str"/>
      <x:c r="H114" s="15" t="str"/>
      <x:c r="I114" s="16" t="str"/>
      <x:c r="J114" s="15" t="str"/>
      <x:c r="K114" s="15" t="str"/>
    </x:row>
    <x:row r="115" ht="54" customHeight="1">
      <x:c r="A115" s="222" t="n">
        <x:v>110</x:v>
      </x:c>
      <x:c r="B115" s="223" t="str">
        <x:v>证据和视频</x:v>
      </x:c>
      <x:c r="C115" s="224" t="str">
        <x:v>重要检查</x:v>
      </x:c>
      <x:c r="D115" s="18" t="str">
        <x:v>打开已丢失、损坏或不支持预览的文件</x:v>
      </x:c>
      <x:c r="E115" s="18" t="str">
        <x:v>明确提示，不能用样例文件冒充；有文件名不代表文件一定还在</x:v>
      </x:c>
      <x:c r="F115" s="15" t="str">
        <x:v>还没测</x:v>
      </x:c>
      <x:c r="G115" s="15" t="str"/>
      <x:c r="H115" s="15" t="str"/>
      <x:c r="I115" s="16" t="str"/>
      <x:c r="J115" s="15" t="str"/>
      <x:c r="K115" s="15" t="str"/>
    </x:row>
    <x:row r="116" ht="54" customHeight="1">
      <x:c r="A116" s="222" t="n">
        <x:v>111</x:v>
      </x:c>
      <x:c r="B116" s="223" t="str">
        <x:v>证据和视频</x:v>
      </x:c>
      <x:c r="C116" s="224" t="str">
        <x:v>必须先测</x:v>
      </x:c>
      <x:c r="D116" s="17" t="str">
        <x:v>用无权限账号，或退出后再打开原文件链接</x:v>
      </x:c>
      <x:c r="E116" s="17" t="str">
        <x:v>不能因为知道地址就下载或预览</x:v>
      </x:c>
      <x:c r="F116" s="15" t="str">
        <x:v>还没测</x:v>
      </x:c>
      <x:c r="G116" s="15" t="str"/>
      <x:c r="H116" s="15" t="str"/>
      <x:c r="I116" s="16" t="str"/>
      <x:c r="J116" s="15" t="str"/>
      <x:c r="K116" s="15" t="str"/>
    </x:row>
    <x:row r="117" ht="54" customHeight="1">
      <x:c r="A117" s="222" t="n">
        <x:v>112</x:v>
      </x:c>
      <x:c r="B117" s="223" t="str">
        <x:v>证据和视频</x:v>
      </x:c>
      <x:c r="C117" s="224" t="str">
        <x:v>重要检查</x:v>
      </x:c>
      <x:c r="D117" s="18" t="str">
        <x:v>检查一份完整文件和一份受控损坏的测试副本</x:v>
      </x:c>
      <x:c r="E117" s="18" t="str">
        <x:v>如实给出完整性结果；“文件完整”不代表“内容一定真实”</x:v>
      </x:c>
      <x:c r="F117" s="15" t="str">
        <x:v>还没测</x:v>
      </x:c>
      <x:c r="G117" s="15" t="str"/>
      <x:c r="H117" s="15" t="str"/>
      <x:c r="I117" s="16" t="str"/>
      <x:c r="J117" s="15" t="str"/>
      <x:c r="K117" s="15" t="str"/>
    </x:row>
    <x:row r="118" ht="54" customHeight="1">
      <x:c r="A118" s="222" t="n">
        <x:v>113</x:v>
      </x:c>
      <x:c r="B118" s="223" t="str">
        <x:v>证据和视频</x:v>
      </x:c>
      <x:c r="C118" s="224" t="str">
        <x:v>必须先测</x:v>
      </x:c>
      <x:c r="D118" s="17" t="str">
        <x:v>视频加载时快速切换目标，或离开告警、研判、反制页面</x:v>
      </x:c>
      <x:c r="E118" s="17" t="str">
        <x:v>旧画面停止，不把上一目标画面放到下一目标上</x:v>
      </x:c>
      <x:c r="F118" s="15" t="str">
        <x:v>还没测</x:v>
      </x:c>
      <x:c r="G118" s="15" t="str"/>
      <x:c r="H118" s="15" t="str"/>
      <x:c r="I118" s="16" t="str"/>
      <x:c r="J118" s="15" t="str"/>
      <x:c r="K118" s="15" t="str"/>
    </x:row>
    <x:row r="119" ht="54" customHeight="1">
      <x:c r="A119" s="222" t="n">
        <x:v>114</x:v>
      </x:c>
      <x:c r="B119" s="223" t="str">
        <x:v>证据和视频</x:v>
      </x:c>
      <x:c r="C119" s="224" t="str">
        <x:v>重要检查</x:v>
      </x:c>
      <x:c r="D119" s="18" t="str">
        <x:v>查看长文件名、大图片、冻结记录，连续开关预览</x:v>
      </x:c>
      <x:c r="E119" s="18" t="str">
        <x:v>内容不被裁掉，页面不越来越卡，历史资料不被改变</x:v>
      </x:c>
      <x:c r="F119" s="15" t="str">
        <x:v>还没测</x:v>
      </x:c>
      <x:c r="G119" s="15" t="str"/>
      <x:c r="H119" s="15" t="str"/>
      <x:c r="I119" s="16" t="str"/>
      <x:c r="J119" s="15" t="str"/>
      <x:c r="K119" s="15" t="str"/>
    </x:row>
    <x:row r="120" ht="54" customHeight="1">
      <x:c r="A120" s="225" t="n">
        <x:v>115</x:v>
      </x:c>
      <x:c r="B120" s="226" t="str">
        <x:v>运行统计</x:v>
      </x:c>
      <x:c r="C120" s="227" t="str">
        <x:v>必须先测</x:v>
      </x:c>
      <x:c r="D120" s="124" t="str">
        <x:v>用本次能对得上的目标、立案和处罚结果核对数字</x:v>
      </x:c>
      <x:c r="E120" s="124" t="str">
        <x:v>新目标按首次发现计数，不因重复上报重复算；立案按立案时间，处罚只算有效结果</x:v>
      </x:c>
      <x:c r="F120" s="125" t="str">
        <x:v>还没测</x:v>
      </x:c>
      <x:c r="G120" s="125" t="str"/>
      <x:c r="H120" s="125" t="str"/>
      <x:c r="I120" s="126" t="str"/>
      <x:c r="J120" s="125" t="str"/>
      <x:c r="K120" s="125" t="str"/>
    </x:row>
    <x:row r="121" ht="54" customHeight="1">
      <x:c r="A121" s="228" t="n">
        <x:v>116</x:v>
      </x:c>
      <x:c r="B121" s="229" t="str">
        <x:v>运行统计</x:v>
      </x:c>
      <x:c r="C121" s="230" t="str">
        <x:v>重要检查</x:v>
      </x:c>
      <x:c r="D121" s="18" t="str">
        <x:v>改时间、单位等条件，再快速切换</x:v>
      </x:c>
      <x:c r="E121" s="18" t="str">
        <x:v>数字和图表一起按同样条件变化，不被旧查询结果覆盖</x:v>
      </x:c>
      <x:c r="F121" s="15" t="str">
        <x:v>还没测</x:v>
      </x:c>
      <x:c r="G121" s="15" t="str"/>
      <x:c r="H121" s="15" t="str"/>
      <x:c r="I121" s="16" t="str"/>
      <x:c r="J121" s="15" t="str"/>
      <x:c r="K121" s="15" t="str"/>
    </x:row>
    <x:row r="122" ht="54" customHeight="1">
      <x:c r="A122" s="228" t="n">
        <x:v>117</x:v>
      </x:c>
      <x:c r="B122" s="229" t="str">
        <x:v>运行统计</x:v>
      </x:c>
      <x:c r="C122" s="230" t="str">
        <x:v>必须先测</x:v>
      </x:c>
      <x:c r="D122" s="17" t="str">
        <x:v>分别查看真实为零、缺少数据、读取失败的情况</x:v>
      </x:c>
      <x:c r="E122" s="17" t="str">
        <x:v>零就是零；不知道或读取失败要说清楚，不能全部补成零</x:v>
      </x:c>
      <x:c r="F122" s="15" t="str">
        <x:v>还没测</x:v>
      </x:c>
      <x:c r="G122" s="15" t="str"/>
      <x:c r="H122" s="15" t="str"/>
      <x:c r="I122" s="16" t="str"/>
      <x:c r="J122" s="15" t="str"/>
      <x:c r="K122" s="15" t="str"/>
    </x:row>
    <x:row r="123" ht="54" customHeight="1">
      <x:c r="A123" s="228" t="n">
        <x:v>118</x:v>
      </x:c>
      <x:c r="B123" s="229" t="str">
        <x:v>运行统计</x:v>
      </x:c>
      <x:c r="C123" s="230" t="str">
        <x:v>重要检查</x:v>
      </x:c>
      <x:c r="D123" s="18" t="str">
        <x:v>带筛选条件导出统计文件</x:v>
      </x:c>
      <x:c r="E123" s="18" t="str">
        <x:v>文件内容与页面同一范围，中文和时间正确，不能只导出一页却说是全部</x:v>
      </x:c>
      <x:c r="F123" s="15" t="str">
        <x:v>还没测</x:v>
      </x:c>
      <x:c r="G123" s="15" t="str"/>
      <x:c r="H123" s="15" t="str"/>
      <x:c r="I123" s="16" t="str"/>
      <x:c r="J123" s="15" t="str"/>
      <x:c r="K123" s="15" t="str"/>
    </x:row>
    <x:row r="124" ht="54" customHeight="1">
      <x:c r="A124" s="228" t="n">
        <x:v>119</x:v>
      </x:c>
      <x:c r="B124" s="229" t="str">
        <x:v>运行统计</x:v>
      </x:c>
      <x:c r="C124" s="230" t="str">
        <x:v>重要检查</x:v>
      </x:c>
      <x:c r="D124" s="17" t="str">
        <x:v>检查跨天和开始、结束时间附近的记录</x:v>
      </x:c>
      <x:c r="E124" s="17" t="str">
        <x:v>按已确定的时间边界统计，不多算、不漏算</x:v>
      </x:c>
      <x:c r="F124" s="15" t="str">
        <x:v>还没测</x:v>
      </x:c>
      <x:c r="G124" s="15" t="str"/>
      <x:c r="H124" s="15" t="str"/>
      <x:c r="I124" s="16" t="str"/>
      <x:c r="J124" s="15" t="str"/>
      <x:c r="K124" s="15" t="str"/>
    </x:row>
    <x:row r="125" ht="54" customHeight="1">
      <x:c r="A125" s="228" t="n">
        <x:v>120</x:v>
      </x:c>
      <x:c r="B125" s="229" t="str">
        <x:v>运行统计</x:v>
      </x:c>
      <x:c r="C125" s="230" t="str">
        <x:v>必须先测</x:v>
      </x:c>
      <x:c r="D125" s="18" t="str">
        <x:v>用只能看本单位的账号查询和导出</x:v>
      </x:c>
      <x:c r="E125" s="18" t="str">
        <x:v>图表和文件也不能包含其他单位资料</x:v>
      </x:c>
      <x:c r="F125" s="15" t="str">
        <x:v>还没测</x:v>
      </x:c>
      <x:c r="G125" s="15" t="str"/>
      <x:c r="H125" s="15" t="str"/>
      <x:c r="I125" s="16" t="str"/>
      <x:c r="J125" s="15" t="str"/>
      <x:c r="K125" s="15" t="str"/>
    </x:row>
    <x:row r="126" ht="54" customHeight="1">
      <x:c r="A126" s="228" t="n">
        <x:v>121</x:v>
      </x:c>
      <x:c r="B126" s="229" t="str">
        <x:v>运行统计</x:v>
      </x:c>
      <x:c r="C126" s="230" t="str">
        <x:v>重要检查</x:v>
      </x:c>
      <x:c r="D126" s="17" t="str">
        <x:v>查看很长的分类名称、空图表和全零图表</x:v>
      </x:c>
      <x:c r="E126" s="17" t="str">
        <x:v>看得全、分得清，不靠省略文字掩盖重要内容</x:v>
      </x:c>
      <x:c r="F126" s="15" t="str">
        <x:v>还没测</x:v>
      </x:c>
      <x:c r="G126" s="15" t="str"/>
      <x:c r="H126" s="15" t="str"/>
      <x:c r="I126" s="16" t="str"/>
      <x:c r="J126" s="15" t="str"/>
      <x:c r="K126" s="15" t="str"/>
    </x:row>
    <x:row r="127" ht="54" customHeight="1">
      <x:c r="A127" s="231" t="n">
        <x:v>122</x:v>
      </x:c>
      <x:c r="B127" s="232" t="str">
        <x:v>页面显示和大屏</x:v>
      </x:c>
      <x:c r="C127" s="233" t="str">
        <x:v>重要检查</x:v>
      </x:c>
      <x:c r="D127" s="131" t="str">
        <x:v>用较小窗口和长名称检查各页、表格、弹窗</x:v>
      </x:c>
      <x:c r="E127" s="131" t="str">
        <x:v>无文字重叠、关键内容裁切或省略号截断；整页不被迫左右拖动</x:v>
      </x:c>
      <x:c r="F127" s="132" t="str">
        <x:v>还没测</x:v>
      </x:c>
      <x:c r="G127" s="132" t="str"/>
      <x:c r="H127" s="132" t="str"/>
      <x:c r="I127" s="133" t="str"/>
      <x:c r="J127" s="132" t="str"/>
      <x:c r="K127" s="132" t="str"/>
    </x:row>
    <x:row r="128" ht="54" customHeight="1">
      <x:c r="A128" s="186" t="n">
        <x:v>123</x:v>
      </x:c>
      <x:c r="B128" s="234" t="str">
        <x:v>页面显示和大屏</x:v>
      </x:c>
      <x:c r="C128" s="188" t="str">
        <x:v>重要检查</x:v>
      </x:c>
      <x:c r="D128" s="17" t="str">
        <x:v>对照检查全部业务页和大屏的背景、卡片、文字、状态颜色</x:v>
      </x:c>
      <x:c r="E128" s="17" t="str">
        <x:v>当前深蓝主题一致，正文易读，同一状态颜色含义一致</x:v>
      </x:c>
      <x:c r="F128" s="15" t="str">
        <x:v>还没测</x:v>
      </x:c>
      <x:c r="G128" s="15" t="str"/>
      <x:c r="H128" s="15" t="str"/>
      <x:c r="I128" s="16" t="str"/>
      <x:c r="J128" s="15" t="str"/>
      <x:c r="K128" s="15" t="str"/>
    </x:row>
    <x:row r="129" ht="54" customHeight="1">
      <x:c r="A129" s="186" t="n">
        <x:v>124</x:v>
      </x:c>
      <x:c r="B129" s="234" t="str">
        <x:v>页面显示和大屏</x:v>
      </x:c>
      <x:c r="C129" s="188" t="str">
        <x:v>重要检查</x:v>
      </x:c>
      <x:c r="D129" s="18" t="str">
        <x:v>查看地图异常图标，再恢复正常；开启系统减少动态效果设置</x:v>
      </x:c>
      <x:c r="E129" s="18" t="str">
        <x:v>红光只出现在地图当前异常图标；恢复后停止；减少动态效果时保留静态提示</x:v>
      </x:c>
      <x:c r="F129" s="15" t="str">
        <x:v>还没测</x:v>
      </x:c>
      <x:c r="G129" s="15" t="str"/>
      <x:c r="H129" s="15" t="str"/>
      <x:c r="I129" s="16" t="str"/>
      <x:c r="J129" s="15" t="str"/>
      <x:c r="K129" s="15" t="str"/>
    </x:row>
    <x:row r="130" ht="54" customHeight="1">
      <x:c r="A130" s="186" t="n">
        <x:v>125</x:v>
      </x:c>
      <x:c r="B130" s="234" t="str">
        <x:v>页面显示和大屏</x:v>
      </x:c>
      <x:c r="C130" s="188" t="str">
        <x:v>重要检查</x:v>
      </x:c>
      <x:c r="D130" s="17" t="str">
        <x:v>分别滚动列表和详情，切页签、开关详情</x:v>
      </x:c>
      <x:c r="E130" s="17" t="str">
        <x:v>地图仍可用，重要按钮和关闭入口不被遮住</x:v>
      </x:c>
      <x:c r="F130" s="15" t="str">
        <x:v>还没测</x:v>
      </x:c>
      <x:c r="G130" s="15" t="str"/>
      <x:c r="H130" s="15" t="str"/>
      <x:c r="I130" s="16" t="str"/>
      <x:c r="J130" s="15" t="str"/>
      <x:c r="K130" s="15" t="str"/>
    </x:row>
    <x:row r="131" ht="54" customHeight="1">
      <x:c r="A131" s="186" t="n">
        <x:v>126</x:v>
      </x:c>
      <x:c r="B131" s="234" t="str">
        <x:v>页面显示和大屏</x:v>
      </x:c>
      <x:c r="C131" s="188" t="str">
        <x:v>重要检查</x:v>
      </x:c>
      <x:c r="D131" s="18" t="str">
        <x:v>测空列表、加载中、填写错误、无权限、读取失败</x:v>
      </x:c>
      <x:c r="E131" s="18" t="str">
        <x:v>每种提示清楚；保存中不会让人反复提交；失败不能弹成功</x:v>
      </x:c>
      <x:c r="F131" s="15" t="str">
        <x:v>还没测</x:v>
      </x:c>
      <x:c r="G131" s="15" t="str"/>
      <x:c r="H131" s="15" t="str"/>
      <x:c r="I131" s="16" t="str"/>
      <x:c r="J131" s="15" t="str"/>
      <x:c r="K131" s="15" t="str"/>
    </x:row>
    <x:row r="132" ht="54" customHeight="1">
      <x:c r="A132" s="186" t="n">
        <x:v>127</x:v>
      </x:c>
      <x:c r="B132" s="234" t="str">
        <x:v>页面显示和大屏</x:v>
      </x:c>
      <x:c r="C132" s="188" t="str">
        <x:v>重要检查</x:v>
      </x:c>
      <x:c r="D132" s="17" t="str">
        <x:v>有权和无权账号分别开大屏，进入全屏后再退出</x:v>
      </x:c>
      <x:c r="E132" s="17" t="str">
        <x:v>权限正确，退出正常，数字与业务事实一致</x:v>
      </x:c>
      <x:c r="F132" s="15" t="str">
        <x:v>还没测</x:v>
      </x:c>
      <x:c r="G132" s="15" t="str"/>
      <x:c r="H132" s="15" t="str"/>
      <x:c r="I132" s="16" t="str"/>
      <x:c r="J132" s="15" t="str"/>
      <x:c r="K132" s="15" t="str"/>
    </x:row>
    <x:row r="133" ht="54" customHeight="1">
      <x:c r="A133" s="186" t="n">
        <x:v>128</x:v>
      </x:c>
      <x:c r="B133" s="234" t="str">
        <x:v>页面显示和大屏</x:v>
      </x:c>
      <x:c r="C133" s="188" t="str">
        <x:v>重要检查</x:v>
      </x:c>
      <x:c r="D133" s="18" t="str">
        <x:v>只用键盘操作，并把浏览器放大到200%</x:v>
      </x:c>
      <x:c r="E133" s="18" t="str">
        <x:v>主要功能仍能找到和操作，焦点看得见，状态有文字说明</x:v>
      </x:c>
      <x:c r="F133" s="15" t="str">
        <x:v>还没测</x:v>
      </x:c>
      <x:c r="G133" s="15" t="str"/>
      <x:c r="H133" s="15" t="str"/>
      <x:c r="I133" s="16" t="str"/>
      <x:c r="J133" s="15" t="str"/>
      <x:c r="K133" s="15" t="str"/>
    </x:row>
    <x:row r="134" ht="54" customHeight="1">
      <x:c r="A134" s="186" t="n">
        <x:v>129</x:v>
      </x:c>
      <x:c r="B134" s="234" t="str">
        <x:v>页面显示和大屏</x:v>
      </x:c>
      <x:c r="C134" s="188" t="str">
        <x:v>一般检查</x:v>
      </x:c>
      <x:c r="D134" s="17" t="str">
        <x:v>普通页面和大屏分别连续开至少2小时，期间切换和恢复网络</x:v>
      </x:c>
      <x:c r="E134" s="17" t="str">
        <x:v>不白屏，不越来越卡，不一直显示早已失效的数据却称实时</x:v>
      </x:c>
      <x:c r="F134" s="15" t="str">
        <x:v>还没测</x:v>
      </x:c>
      <x:c r="G134" s="15" t="str"/>
      <x:c r="H134" s="15" t="str"/>
      <x:c r="I134" s="16" t="str"/>
      <x:c r="J134" s="15" t="str"/>
      <x:c r="K134" s="15" t="str"/>
    </x:row>
    <x:row r="135" ht="54" customHeight="1">
      <x:c r="A135" s="186" t="n">
        <x:v>130</x:v>
      </x:c>
      <x:c r="B135" s="234" t="str">
        <x:v>页面显示和大屏</x:v>
      </x:c>
      <x:c r="C135" s="188" t="str">
        <x:v>重要检查</x:v>
      </x:c>
      <x:c r="D135" s="18" t="str">
        <x:v>在本机Chrome和Edge各走一遍关键操作</x:v>
      </x:c>
      <x:c r="E135" s="18" t="str">
        <x:v>登录、表单、地图、视频都能正常用，记录浏览器版本；其他约定浏览器另测</x:v>
      </x:c>
      <x:c r="F135" s="15" t="str">
        <x:v>还没测</x:v>
      </x:c>
      <x:c r="G135" s="15" t="str"/>
      <x:c r="H135" s="15" t="str"/>
      <x:c r="I135" s="16" t="str"/>
      <x:c r="J135" s="15" t="str"/>
      <x:c r="K135" s="15" t="str"/>
    </x:row>
    <x:row r="136" ht="54" customHeight="1">
      <x:c r="A136" s="235" t="n">
        <x:v>131</x:v>
      </x:c>
      <x:c r="B136" s="236" t="str">
        <x:v>信号模拟器和前台一起测</x:v>
      </x:c>
      <x:c r="C136" s="237" t="str">
        <x:v>必须先测</x:v>
      </x:c>
      <x:c r="D136" s="138" t="str">
        <x:v>启动一批独立测试信号，依次找发送记录、平台目标、前台展示</x:v>
      </x:c>
      <x:c r="E136" s="138" t="str">
        <x:v>一步步对得上；模拟器显示“发送成功”还不等于平台已产生目标、研判或告警</x:v>
      </x:c>
      <x:c r="F136" s="139" t="str">
        <x:v>还没测</x:v>
      </x:c>
      <x:c r="G136" s="139" t="str"/>
      <x:c r="H136" s="139" t="str"/>
      <x:c r="I136" s="140" t="str"/>
      <x:c r="J136" s="139" t="str"/>
      <x:c r="K136" s="139" t="str"/>
    </x:row>
    <x:row r="137" ht="54" customHeight="1">
      <x:c r="A137" s="198" t="n">
        <x:v>132</x:v>
      </x:c>
      <x:c r="B137" s="238" t="str">
        <x:v>信号模拟器和前台一起测</x:v>
      </x:c>
      <x:c r="C137" s="200" t="str">
        <x:v>必须先测</x:v>
      </x:c>
      <x:c r="D137" s="18" t="str">
        <x:v>分别模拟正常飞行、偏航、无计划、进入限飞区、鸟群、设备故障</x:v>
      </x:c>
      <x:c r="E137" s="18" t="str">
        <x:v>各类结果由实际判断产生；鸟群不进入无人机合法性页；设备故障不冒充无人机违规</x:v>
      </x:c>
      <x:c r="F137" s="15" t="str">
        <x:v>还没测</x:v>
      </x:c>
      <x:c r="G137" s="15" t="str"/>
      <x:c r="H137" s="15" t="str"/>
      <x:c r="I137" s="16" t="str"/>
      <x:c r="J137" s="15" t="str"/>
      <x:c r="K137" s="15" t="str"/>
    </x:row>
    <x:row r="138" ht="54" customHeight="1">
      <x:c r="A138" s="198" t="n">
        <x:v>133</x:v>
      </x:c>
      <x:c r="B138" s="238" t="str">
        <x:v>信号模拟器和前台一起测</x:v>
      </x:c>
      <x:c r="C138" s="200" t="str">
        <x:v>重要检查</x:v>
      </x:c>
      <x:c r="D138" s="17" t="str">
        <x:v>在模拟器和前台同时看同一设备、无人机、航线和区域</x:v>
      </x:c>
      <x:c r="E138" s="17" t="str">
        <x:v>实际位置一致，不能用示意坐标代替；高度含义不明时不擅自换算</x:v>
      </x:c>
      <x:c r="F138" s="15" t="str">
        <x:v>还没测</x:v>
      </x:c>
      <x:c r="G138" s="15" t="str"/>
      <x:c r="H138" s="15" t="str"/>
      <x:c r="I138" s="16" t="str"/>
      <x:c r="J138" s="15" t="str"/>
      <x:c r="K138" s="15" t="str"/>
    </x:row>
    <x:row r="139" ht="54" customHeight="1">
      <x:c r="A139" s="198" t="n">
        <x:v>134</x:v>
      </x:c>
      <x:c r="B139" s="238" t="str">
        <x:v>信号模拟器和前台一起测</x:v>
      </x:c>
      <x:c r="C139" s="200" t="str">
        <x:v>必须先测</x:v>
      </x:c>
      <x:c r="D139" s="18" t="str">
        <x:v>分别选择短信后撤离、电话后撤离、继续飞行、短信后停止上报</x:v>
      </x:c>
      <x:c r="E139" s="18" t="str">
        <x:v>只响应本次目标的通知；撤离过程中继续发送真实模拟位置；停报不算飞离</x:v>
      </x:c>
      <x:c r="F139" s="15" t="str">
        <x:v>还没测</x:v>
      </x:c>
      <x:c r="G139" s="15" t="str"/>
      <x:c r="H139" s="15" t="str"/>
      <x:c r="I139" s="16" t="str"/>
      <x:c r="J139" s="15" t="str"/>
      <x:c r="K139" s="15" t="str"/>
    </x:row>
    <x:row r="140" ht="54" customHeight="1">
      <x:c r="A140" s="198" t="n">
        <x:v>135</x:v>
      </x:c>
      <x:c r="B140" s="238" t="str">
        <x:v>信号模拟器和前台一起测</x:v>
      </x:c>
      <x:c r="C140" s="200" t="str">
        <x:v>必须先测</x:v>
      </x:c>
      <x:c r="D140" s="17" t="str">
        <x:v>打开短信、电话、风险、处罚收件箱，刷新和翻页</x:v>
      </x:c>
      <x:c r="E140" s="17" t="str">
        <x:v>只查看既有记录；不能因此发送、拨号或签收；未送达或未知不能算已经收到</x:v>
      </x:c>
      <x:c r="F140" s="15" t="str">
        <x:v>还没测</x:v>
      </x:c>
      <x:c r="G140" s="15" t="str"/>
      <x:c r="H140" s="15" t="str"/>
      <x:c r="I140" s="16" t="str"/>
      <x:c r="J140" s="15" t="str"/>
      <x:c r="K140" s="15" t="str"/>
    </x:row>
    <x:row r="141" ht="54" customHeight="1">
      <x:c r="A141" s="198" t="n">
        <x:v>136</x:v>
      </x:c>
      <x:c r="B141" s="238" t="str">
        <x:v>信号模拟器和前台一起测</x:v>
      </x:c>
      <x:c r="C141" s="200" t="str">
        <x:v>重要检查</x:v>
      </x:c>
      <x:c r="D141" s="18" t="str">
        <x:v>输入一份计划或天气资料，再重复提交相同的一次消息</x:v>
      </x:c>
      <x:c r="E141" s="18" t="str">
        <x:v>前台资料正确，不因为重复提交而多出一份业务事实；不改旧历史</x:v>
      </x:c>
      <x:c r="F141" s="15" t="str">
        <x:v>还没测</x:v>
      </x:c>
      <x:c r="G141" s="15" t="str"/>
      <x:c r="H141" s="15" t="str"/>
      <x:c r="I141" s="16" t="str"/>
      <x:c r="J141" s="15" t="str"/>
      <x:c r="K141" s="15" t="str"/>
    </x:row>
    <x:row r="142" ht="54" customHeight="1">
      <x:c r="A142" s="198" t="n">
        <x:v>137</x:v>
      </x:c>
      <x:c r="B142" s="238" t="str">
        <x:v>信号模拟器和前台一起测</x:v>
      </x:c>
      <x:c r="C142" s="200" t="str">
        <x:v>必须先测</x:v>
      </x:c>
      <x:c r="D142" s="17" t="str">
        <x:v>运行中暂停、停止，或让登录失效、重启模拟器</x:v>
      </x:c>
      <x:c r="E142" s="17" t="str">
        <x:v>如实停止或显示失效；重启不自行续发；旧批次保留，前台不假装仍有新位置</x:v>
      </x:c>
      <x:c r="F142" s="15" t="str">
        <x:v>还没测</x:v>
      </x:c>
      <x:c r="G142" s="15" t="str"/>
      <x:c r="H142" s="15" t="str"/>
      <x:c r="I142" s="16" t="str"/>
      <x:c r="J142" s="15" t="str"/>
      <x:c r="K142" s="15" t="str"/>
    </x:row>
    <x:row r="143" ht="54" customHeight="1">
      <x:c r="A143" s="239" t="n">
        <x:v>138</x:v>
      </x:c>
      <x:c r="B143" s="240" t="str">
        <x:v>需要开发配合的异常测试</x:v>
      </x:c>
      <x:c r="C143" s="241" t="str">
        <x:v>必须先测</x:v>
      </x:c>
      <x:c r="D143" s="147" t="str">
        <x:v>分别让登录失效、权限不足、记录不存在、服务出错、请求超时</x:v>
      </x:c>
      <x:c r="E143" s="147" t="str">
        <x:v>提示对应真实原因，不全部显示“暂无数据”，不不停重试</x:v>
      </x:c>
      <x:c r="F143" s="148" t="str">
        <x:v>还没测</x:v>
      </x:c>
      <x:c r="G143" s="148" t="str"/>
      <x:c r="H143" s="148" t="str"/>
      <x:c r="I143" s="149" t="str"/>
      <x:c r="J143" s="148" t="str"/>
      <x:c r="K143" s="148" t="str"/>
    </x:row>
    <x:row r="144" ht="54" customHeight="1">
      <x:c r="A144" s="242" t="n">
        <x:v>139</x:v>
      </x:c>
      <x:c r="B144" s="243" t="str">
        <x:v>需要开发配合的异常测试</x:v>
      </x:c>
      <x:c r="C144" s="244" t="str">
        <x:v>必须先测</x:v>
      </x:c>
      <x:c r="D144" s="17" t="str">
        <x:v>操作已经到系统，但页面没收到回复，再恢复网络</x:v>
      </x:c>
      <x:c r="E144" s="17" t="str">
        <x:v>先查询原结果，不重复核实、通知、申请或下发</x:v>
      </x:c>
      <x:c r="F144" s="15" t="str">
        <x:v>还没测</x:v>
      </x:c>
      <x:c r="G144" s="15" t="str"/>
      <x:c r="H144" s="15" t="str"/>
      <x:c r="I144" s="16" t="str"/>
      <x:c r="J144" s="15" t="str"/>
      <x:c r="K144" s="15" t="str"/>
    </x:row>
    <x:row r="145" ht="54" customHeight="1">
      <x:c r="A145" s="242" t="n">
        <x:v>140</x:v>
      </x:c>
      <x:c r="B145" s="243" t="str">
        <x:v>需要开发配合的异常测试</x:v>
      </x:c>
      <x:c r="C145" s="244" t="str">
        <x:v>必须先测</x:v>
      </x:c>
      <x:c r="D145" s="18" t="str">
        <x:v>先查甲记录再查乙记录，让甲的结果更晚返回</x:v>
      </x:c>
      <x:c r="E145" s="18" t="str">
        <x:v>最后仍显示乙，不被甲覆盖；离开页面后旧结果不回来乱改</x:v>
      </x:c>
      <x:c r="F145" s="15" t="str">
        <x:v>还没测</x:v>
      </x:c>
      <x:c r="G145" s="15" t="str"/>
      <x:c r="H145" s="15" t="str"/>
      <x:c r="I145" s="16" t="str"/>
      <x:c r="J145" s="15" t="str"/>
      <x:c r="K145" s="15" t="str"/>
    </x:row>
    <x:row r="146" ht="54" customHeight="1">
      <x:c r="A146" s="242" t="n">
        <x:v>141</x:v>
      </x:c>
      <x:c r="B146" s="243" t="str">
        <x:v>需要开发配合的异常测试</x:v>
      </x:c>
      <x:c r="C146" s="244" t="str">
        <x:v>必须先测</x:v>
      </x:c>
      <x:c r="D146" s="17" t="str">
        <x:v>两个人同时核实、批准、撤销同一件事</x:v>
      </x:c>
      <x:c r="E146" s="17" t="str">
        <x:v>有冲突提示，重新读取当前状态，不无声覆盖别人</x:v>
      </x:c>
      <x:c r="F146" s="15" t="str">
        <x:v>还没测</x:v>
      </x:c>
      <x:c r="G146" s="15" t="str"/>
      <x:c r="H146" s="15" t="str"/>
      <x:c r="I146" s="16" t="str"/>
      <x:c r="J146" s="15" t="str"/>
      <x:c r="K146" s="15" t="str"/>
    </x:row>
    <x:row r="147" ht="54" customHeight="1">
      <x:c r="A147" s="242" t="n">
        <x:v>142</x:v>
      </x:c>
      <x:c r="B147" s="243" t="str">
        <x:v>需要开发配合的异常测试</x:v>
      </x:c>
      <x:c r="C147" s="244" t="str">
        <x:v>重要检查</x:v>
      </x:c>
      <x:c r="D147" s="18" t="str">
        <x:v>隐藏标签页后恢复，断网后恢复，观察自动刷新</x:v>
      </x:c>
      <x:c r="E147" s="18" t="str">
        <x:v>不积压大量请求，不重叠刷新；能重新显示当前数据</x:v>
      </x:c>
      <x:c r="F147" s="15" t="str">
        <x:v>还没测</x:v>
      </x:c>
      <x:c r="G147" s="15" t="str"/>
      <x:c r="H147" s="15" t="str"/>
      <x:c r="I147" s="16" t="str"/>
      <x:c r="J147" s="15" t="str"/>
      <x:c r="K147" s="15" t="str"/>
    </x:row>
    <x:row r="148" ht="54" customHeight="1">
      <x:c r="A148" s="242" t="n">
        <x:v>143</x:v>
      </x:c>
      <x:c r="B148" s="243" t="str">
        <x:v>需要开发配合的异常测试</x:v>
      </x:c>
      <x:c r="C148" s="244" t="str">
        <x:v>重要检查</x:v>
      </x:c>
      <x:c r="D148" s="17" t="str">
        <x:v>用有代表性的数据量检查首次打开、筛选、详情和地图的速度</x:v>
      </x:c>
      <x:c r="E148" s="17" t="str">
        <x:v>记录真实等待时间；先确定可接受标准，不能为了快而漏掉列表和待办</x:v>
      </x:c>
      <x:c r="F148" s="15" t="str">
        <x:v>还没测</x:v>
      </x:c>
      <x:c r="G148" s="15" t="str"/>
      <x:c r="H148" s="15" t="str"/>
      <x:c r="I148" s="16" t="str"/>
      <x:c r="J148" s="15" t="str"/>
      <x:c r="K148" s="15" t="str"/>
    </x:row>
    <x:row r="149" ht="54" customHeight="1">
      <x:c r="A149" s="242" t="n">
        <x:v>144</x:v>
      </x:c>
      <x:c r="B149" s="243" t="str">
        <x:v>需要开发配合的异常测试</x:v>
      </x:c>
      <x:c r="C149" s="244" t="str">
        <x:v>必须先测</x:v>
      </x:c>
      <x:c r="D149" s="18" t="str">
        <x:v>输入长文本、特殊符号和类似网页代码的测试文字</x:v>
      </x:c>
      <x:c r="E149" s="18" t="str">
        <x:v>当普通文字显示，不执行代码、不破坏页面；不合法输入清楚提示</x:v>
      </x:c>
      <x:c r="F149" s="15" t="str">
        <x:v>还没测</x:v>
      </x:c>
      <x:c r="G149" s="15" t="str"/>
      <x:c r="H149" s="15" t="str"/>
      <x:c r="I149" s="16" t="str"/>
      <x:c r="J149" s="15" t="str"/>
      <x:c r="K149" s="15" t="str"/>
    </x:row>
    <x:row r="150" ht="54" customHeight="1">
      <x:c r="A150" s="242" t="n">
        <x:v>145</x:v>
      </x:c>
      <x:c r="B150" s="243" t="str">
        <x:v>需要开发配合的异常测试</x:v>
      </x:c>
      <x:c r="C150" s="244" t="str">
        <x:v>必须先测</x:v>
      </x:c>
      <x:c r="D150" s="17" t="str">
        <x:v>准备不同单位、不同来源但同名的数据，再换账号查询</x:v>
      </x:c>
      <x:c r="E150" s="17" t="str">
        <x:v>不混数据，不越权；模拟、回放和真实来源分清</x:v>
      </x:c>
      <x:c r="F150" s="15" t="str">
        <x:v>还没测</x:v>
      </x:c>
      <x:c r="G150" s="15" t="str"/>
      <x:c r="H150" s="15" t="str"/>
      <x:c r="I150" s="16" t="str"/>
      <x:c r="J150" s="15" t="str"/>
      <x:c r="K150" s="15" t="str"/>
    </x:row>
    <x:row r="151" ht="54" customHeight="1">
      <x:c r="A151" s="242" t="n">
        <x:v>146</x:v>
      </x:c>
      <x:c r="B151" s="243" t="str">
        <x:v>需要开发配合的异常测试</x:v>
      </x:c>
      <x:c r="C151" s="244" t="str">
        <x:v>必须先测</x:v>
      </x:c>
      <x:c r="D151" s="18" t="str">
        <x:v>当前业务继续变化，回头查看已固定保存的历史材料</x:v>
      </x:c>
      <x:c r="E151" s="18" t="str">
        <x:v>过去事实保持原样，新情况另有记录，不能事后补出假的审批或回复</x:v>
      </x:c>
      <x:c r="F151" s="15" t="str">
        <x:v>还没测</x:v>
      </x:c>
      <x:c r="G151" s="15" t="str"/>
      <x:c r="H151" s="15" t="str"/>
      <x:c r="I151" s="16" t="str"/>
      <x:c r="J151" s="15" t="str"/>
      <x:c r="K151" s="15" t="str"/>
    </x:row>
    <x:row r="152" ht="54" customHeight="1">
      <x:c r="A152" s="245" t="n">
        <x:v>147</x:v>
      </x:c>
      <x:c r="B152" s="246" t="str">
        <x:v>规则设置改变后前台会怎样</x:v>
      </x:c>
      <x:c r="C152" s="247" t="str">
        <x:v>必须先测</x:v>
      </x:c>
      <x:c r="D152" s="156" t="str">
        <x:v>自动执行没有开启，只保存或启用一条规则配置</x:v>
      </x:c>
      <x:c r="E152" s="156" t="str">
        <x:v>不能把“规则存好了”当成自动动作已经开启；人工操作仍按原权限和条件办理</x:v>
      </x:c>
      <x:c r="F152" s="157" t="str">
        <x:v>还没测</x:v>
      </x:c>
      <x:c r="G152" s="157" t="str"/>
      <x:c r="H152" s="157" t="str"/>
      <x:c r="I152" s="158" t="str"/>
      <x:c r="J152" s="157" t="str"/>
      <x:c r="K152" s="157" t="str"/>
    </x:row>
    <x:row r="153" ht="54" customHeight="1">
      <x:c r="A153" s="248" t="n">
        <x:v>148</x:v>
      </x:c>
      <x:c r="B153" s="249" t="str">
        <x:v>规则设置改变后前台会怎样</x:v>
      </x:c>
      <x:c r="C153" s="250" t="str">
        <x:v>重要检查</x:v>
      </x:c>
      <x:c r="D153" s="18" t="str">
        <x:v>自动服务正在启动、运行异常，之后恢复</x:v>
      </x:c>
      <x:c r="E153" s="18" t="str">
        <x:v>不假装已经成功执行；恢复后不重复办同一件事</x:v>
      </x:c>
      <x:c r="F153" s="15" t="str">
        <x:v>还没测</x:v>
      </x:c>
      <x:c r="G153" s="15" t="str"/>
      <x:c r="H153" s="15" t="str"/>
      <x:c r="I153" s="16" t="str"/>
      <x:c r="J153" s="15" t="str"/>
      <x:c r="K153" s="15" t="str"/>
    </x:row>
    <x:row r="154" ht="54" customHeight="1">
      <x:c r="A154" s="248" t="n">
        <x:v>149</x:v>
      </x:c>
      <x:c r="B154" s="249" t="str">
        <x:v>规则设置改变后前台会怎样</x:v>
      </x:c>
      <x:c r="C154" s="250" t="str">
        <x:v>必须先测</x:v>
      </x:c>
      <x:c r="D154" s="17" t="str">
        <x:v>在本轮测试自动模式下，分别准备条件全满足、不满足、未知、持续时间不够</x:v>
      </x:c>
      <x:c r="E154" s="17" t="str">
        <x:v>只有符合已批准条件时才推进；不知道不能当作满足</x:v>
      </x:c>
      <x:c r="F154" s="15" t="str">
        <x:v>还没测</x:v>
      </x:c>
      <x:c r="G154" s="15" t="str"/>
      <x:c r="H154" s="15" t="str"/>
      <x:c r="I154" s="16" t="str"/>
      <x:c r="J154" s="15" t="str"/>
      <x:c r="K154" s="15" t="str"/>
    </x:row>
    <x:row r="155" ht="54" customHeight="1">
      <x:c r="A155" s="248" t="n">
        <x:v>150</x:v>
      </x:c>
      <x:c r="B155" s="249" t="str">
        <x:v>规则设置改变后前台会怎样</x:v>
      </x:c>
      <x:c r="C155" s="250" t="str">
        <x:v>必须先测</x:v>
      </x:c>
      <x:c r="D155" s="18" t="str">
        <x:v>自动反制条件表面满足，但账号、设备、位置、证据或急停条件不允许</x:v>
      </x:c>
      <x:c r="E155" s="18" t="str">
        <x:v>仍须阻止动作，不能用“规则通过了”代替反制资格</x:v>
      </x:c>
      <x:c r="F155" s="15" t="str">
        <x:v>还没测</x:v>
      </x:c>
      <x:c r="G155" s="15" t="str"/>
      <x:c r="H155" s="15" t="str"/>
      <x:c r="I155" s="16" t="str"/>
      <x:c r="J155" s="15" t="str"/>
      <x:c r="K155" s="15" t="str"/>
    </x:row>
    <x:row r="156" ht="54" customHeight="1">
      <x:c r="A156" s="248" t="n">
        <x:v>151</x:v>
      </x:c>
      <x:c r="B156" s="249" t="str">
        <x:v>规则设置改变后前台会怎样</x:v>
      </x:c>
      <x:c r="C156" s="250" t="str">
        <x:v>必须先测</x:v>
      </x:c>
      <x:c r="D156" s="17" t="str">
        <x:v>动作排队后，规则、授权或允许时段发生变化</x:v>
      </x:c>
      <x:c r="E156" s="17" t="str">
        <x:v>真正发送和继续执行之前再次检查，不能照旧结果继续办</x:v>
      </x:c>
      <x:c r="F156" s="15" t="str">
        <x:v>还没测</x:v>
      </x:c>
      <x:c r="G156" s="15" t="str"/>
      <x:c r="H156" s="15" t="str"/>
      <x:c r="I156" s="16" t="str"/>
      <x:c r="J156" s="15" t="str"/>
      <x:c r="K156" s="15" t="str"/>
    </x:row>
    <x:row r="157" ht="54" customHeight="1">
      <x:c r="A157" s="248" t="n">
        <x:v>152</x:v>
      </x:c>
      <x:c r="B157" s="249" t="str">
        <x:v>规则设置改变后前台会怎样</x:v>
      </x:c>
      <x:c r="C157" s="250" t="str">
        <x:v>重要检查</x:v>
      </x:c>
      <x:c r="D157" s="18" t="str">
        <x:v>某类规则没有启用，或已经暂停，再尝试有权限的人工操作</x:v>
      </x:c>
      <x:c r="E157" s="18" t="str">
        <x:v>自动部分按设置暂停；人工入口不被错误隐藏，也不能因此绕过权限</x:v>
      </x:c>
      <x:c r="F157" s="15" t="str">
        <x:v>还没测</x:v>
      </x:c>
      <x:c r="G157" s="15" t="str"/>
      <x:c r="H157" s="15" t="str"/>
      <x:c r="I157" s="16" t="str"/>
      <x:c r="J157" s="15" t="str"/>
      <x:c r="K157" s="15" t="str"/>
    </x:row>
  </x:sheetData>
  <x:conditionalFormatting sqref="F6:F157">
    <x:cfRule type="cellIs" dxfId="0" priority="1" operator="equal">
      <x:formula>"还没测"</x:formula>
    </x:cfRule>
    <x:cfRule type="cellIs" dxfId="1" priority="2" operator="equal">
      <x:formula>"通过"</x:formula>
    </x:cfRule>
    <x:cfRule type="cellIs" dxfId="2" priority="3" operator="equal">
      <x:formula>"有问题"</x:formula>
    </x:cfRule>
    <x:cfRule type="cellIs" dxfId="3" priority="4" operator="equal">
      <x:formula>"暂时测不了"</x:formula>
    </x:cfRule>
    <x:cfRule type="cellIs" dxfId="4" priority="5" operator="equal">
      <x:formula>"不适用"</x:formula>
    </x:cfRule>
  </x:conditionalFormatting>
  <x:conditionalFormatting sqref="C6:C157">
    <x:cfRule type="cellIs" dxfId="5" priority="6" operator="equal">
      <x:formula>"必须先测"</x:formula>
    </x:cfRule>
  </x:conditionalFormatting>
  <x:dataValidations count="1">
    <x:dataValidation type="list" sqref="F6:F157">
      <x:formula1>"还没测,通过,有问题,暂时测不了,不适用"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f09fe013c344015"/>
  </x:tableParts>
</x:worksheet>
</file>

<file path=xl/worksheets/sheet3.xml><?xml version="1.0" encoding="utf-8"?>
<x:worksheet xmlns:x="http://schemas.openxmlformats.org/spreadsheetml/2006/main">
  <x:sheetPr>
    <x:tabColor rgb="FF05966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00" hidden="0" customWidth="1"/>
    <x:col min="3" max="3" width="70" hidden="0" customWidth="1"/>
  </x:cols>
  <x:sheetData>
    <x:row r="1">
      <x:c r="A1" s="2"/>
      <x:c r="B1" s="2"/>
      <x:c r="C1" s="2"/>
    </x:row>
    <x:row r="2" ht="32" customHeight="1">
      <x:c r="A2" s="4" t="str">
        <x:v>测试准备与操作说明</x:v>
      </x:c>
      <x:c r="B2" s="5"/>
      <x:c r="C2" s="5"/>
    </x:row>
    <x:row r="3">
      <x:c r="A3" s="2"/>
      <x:c r="B3" s="2" t="str">
        <x:v>完整安排、六个操作示例、误判提醒和验收要求均在本页。</x:v>
      </x:c>
      <x:c r="C3" s="2"/>
    </x:row>
    <x:row r="4">
      <x:c r="A4" s="2"/>
      <x:c r="B4" s="2"/>
      <x:c r="C4" s="2"/>
    </x:row>
    <x:row r="5" ht="32" customHeight="1">
      <x:c r="A5" s="10" t="str">
        <x:v>事项</x:v>
      </x:c>
      <x:c r="B5" s="10" t="str">
        <x:v>怎么准备或怎么做</x:v>
      </x:c>
      <x:c r="C5" s="10" t="str">
        <x:v>补充说明</x:v>
      </x:c>
    </x:row>
    <x:row r="6" ht="46" customHeight="1">
      <x:c r="A6" s="18" t="str">
        <x:v>阅读说明</x:v>
      </x:c>
      <x:c r="B6" s="18" t="str">
        <x:v>这份文档给实际使用系统、负责测试和参与验收的人看。按下面的顺序操作，检查页面显示和实际处理结果是否一致。每测一项，记下“通过、有问题、暂时测不了、还没测”。</x:v>
      </x:c>
      <x:c r="C6" s="18" t="str"/>
    </x:row>
    <x:row r="7" ht="32" customHeight="1">
      <x:c r="A7" s="17" t="str">
        <x:v>阅读说明</x:v>
      </x:c>
      <x:c r="B7" s="17" t="str">
        <x:v>本文是测试安排，下面写的是系统应该怎样表现，不是已经测过的结果。</x:v>
      </x:c>
      <x:c r="C7" s="17" t="str"/>
    </x:row>
    <x:row r="8" ht="32" customHeight="1">
      <x:c r="A8" s="281" t="str">
        <x:v>一 这次主要测什么</x:v>
      </x:c>
      <x:c r="B8" s="281" t="str"/>
      <x:c r="C8" s="281" t="str"/>
    </x:row>
    <x:row r="9" ht="72" customHeight="1">
      <x:c r="A9" s="17" t="str">
        <x:v>一 这次主要测什么</x:v>
      </x:c>
      <x:c r="B9" s="17" t="str">
        <x:v>主要测试业务前台里的登录、融合感知、飞行计划、合法性研判、空域管理、告警事件、反制办理、移送与处罚、证据管理、运行统计和大屏。 本次补充后台设备运维，详见本页下方准备事项、设备运维清单和F31至F36。</x:v>
      </x:c>
      <x:c r="C9" s="17" t="str"/>
    </x:row>
    <x:row r="10" ht="46" customHeight="1">
      <x:c r="A10" s="18" t="str">
        <x:v>一 这次主要测什么</x:v>
      </x:c>
      <x:c r="B10" s="18" t="str">
        <x:v>要检查的不只是“按钮能不能点”。还要看：点完后事情有没有真正办成、处理的是不是这架无人机、换个账号能不能看到不该看的数据、出了问题会不会误显示成功。</x:v>
      </x:c>
      <x:c r="C10" s="18" t="str"/>
    </x:row>
    <x:row r="11" ht="32" customHeight="1">
      <x:c r="A11" s="17" t="str">
        <x:v>打开哪个系统</x:v>
      </x:c>
      <x:c r="B11" s="17" t="str">
        <x:v>地址</x:v>
      </x:c>
      <x:c r="C11" s="17" t="str">
        <x:v>测试时用它做什么</x:v>
      </x:c>
    </x:row>
    <x:row r="12" ht="32" customHeight="1">
      <x:c r="A12" s="18" t="str">
        <x:v>业务前台</x:v>
      </x:c>
      <x:c r="B12" s="18" t="str">
        <x:v>http://localhost:5173/#/login?redirect=/legality</x:v>
      </x:c>
      <x:c r="C12" s="18" t="str">
        <x:v>主要测试对象，按值班人员的日常操作来测</x:v>
      </x:c>
    </x:row>
    <x:row r="13" ht="32" customHeight="1">
      <x:c r="A13" s="17" t="str">
        <x:v>管理后台</x:v>
      </x:c>
      <x:c r="B13" s="17" t="str">
        <x:v>http://127.0.0.1:5175/login?redirect=/system/roles</x:v>
      </x:c>
      <x:c r="C13" s="17" t="str">
        <x:v>准备账号、设置权限，检查设备、通知和规则配置</x:v>
      </x:c>
    </x:row>
    <x:row r="14" ht="32" customHeight="1">
      <x:c r="A14" s="18" t="str">
        <x:v>信号模拟器</x:v>
      </x:c>
      <x:c r="B14" s="18" t="str">
        <x:v>http://127.0.0.1:8766/</x:v>
      </x:c>
      <x:c r="C14" s="18" t="str">
        <x:v>模拟无人机、设备和飞行过程，配合检查前台反应</x:v>
      </x:c>
    </x:row>
    <x:row r="15" ht="46" customHeight="1">
      <x:c r="A15" s="17" t="str">
        <x:v>一 这次主要测什么</x:v>
      </x:c>
      <x:c r="B15" s="17" t="str">
        <x:v>模拟测试使用测试设备和测试通知渠道。模拟短信成功，只能说明这次模拟过程正常，不能据此认定真实手机收到了短信；视频和设备动作也一样。</x:v>
      </x:c>
      <x:c r="C15" s="17" t="str"/>
    </x:row>
    <x:row r="16" ht="32" customHeight="1">
      <x:c r="A16" s="283" t="str">
        <x:v>二 开始之前准备好这些东西</x:v>
      </x:c>
      <x:c r="B16" s="283" t="str"/>
      <x:c r="C16" s="283" t="str"/>
    </x:row>
    <x:row r="17" ht="32" customHeight="1">
      <x:c r="A17" s="285" t="str">
        <x:v>1 准备能做不同事情的账号</x:v>
      </x:c>
      <x:c r="B17" s="285" t="str"/>
      <x:c r="C17" s="285" t="str"/>
    </x:row>
    <x:row r="18" ht="46" customHeight="1">
      <x:c r="A18" s="18" t="str">
        <x:v>1 准备能做不同事情的账号</x:v>
      </x:c>
      <x:c r="B18" s="18" t="str">
        <x:v>不需要把所有操作都放在一个管理员账号里。至少准备能覆盖下面几种情况的账号，哪些账号可以兼用，由管理员按实际权限安排。</x:v>
      </x:c>
      <x:c r="C18" s="18" t="str"/>
    </x:row>
    <x:row r="19" ht="32" customHeight="1">
      <x:c r="A19" s="17" t="str">
        <x:v>账号能做什么</x:v>
      </x:c>
      <x:c r="B19" s="17" t="str">
        <x:v>用来检查什么</x:v>
      </x:c>
      <x:c r="C19" s="17" t="str"/>
    </x:row>
    <x:row r="20" ht="32" customHeight="1">
      <x:c r="A20" s="18" t="str">
        <x:v>只能查看</x:v>
      </x:c>
      <x:c r="B20" s="18" t="str">
        <x:v>能看资料，但不能核实告警、审批或反制</x:v>
      </x:c>
      <x:c r="C20" s="18" t="str"/>
    </x:row>
    <x:row r="21" ht="32" customHeight="1">
      <x:c r="A21" s="17" t="str">
        <x:v>能核实告警、申请反制</x:v>
      </x:c>
      <x:c r="B21" s="17" t="str">
        <x:v>能提交申请，但不能跳过审批</x:v>
      </x:c>
      <x:c r="C21" s="17" t="str"/>
    </x:row>
    <x:row r="22" ht="32" customHeight="1">
      <x:c r="A22" s="18" t="str">
        <x:v>能审批</x:v>
      </x:c>
      <x:c r="B22" s="18" t="str">
        <x:v>使用另一账号审批，检查申请和审批是否分开</x:v>
      </x:c>
      <x:c r="C22" s="18" t="str"/>
    </x:row>
    <x:row r="23" ht="32" customHeight="1">
      <x:c r="A23" s="17" t="str">
        <x:v>能执行已批准的反制</x:v>
      </x:c>
      <x:c r="B23" s="17" t="str">
        <x:v>只能执行当前允许执行的任务</x:v>
      </x:c>
      <x:c r="C23" s="17" t="str"/>
    </x:row>
    <x:row r="24" ht="32" customHeight="1">
      <x:c r="A24" s="18" t="str">
        <x:v>被明确授予直接反制权限</x:v>
      </x:c>
      <x:c r="B24" s="18" t="str">
        <x:v>可以免去逐次审批，但仍要满足设备、范围、时间和证据要求</x:v>
      </x:c>
      <x:c r="C24" s="18" t="str"/>
    </x:row>
    <x:row r="25" ht="32" customHeight="1">
      <x:c r="A25" s="17" t="str">
        <x:v>只能看某个单位或区域</x:v>
      </x:c>
      <x:c r="B25" s="17" t="str">
        <x:v>不能看到、下载或处理其他单位、区域的资料</x:v>
      </x:c>
      <x:c r="C25" s="17" t="str"/>
    </x:row>
    <x:row r="26" ht="32" customHeight="1">
      <x:c r="A26" s="18" t="str">
        <x:v>没有某个页面权限</x:v>
      </x:c>
      <x:c r="B26" s="18" t="str">
        <x:v>即使知道页面地址，也不能直接进入</x:v>
      </x:c>
      <x:c r="C26" s="18" t="str"/>
    </x:row>
    <x:row r="27" ht="32" customHeight="1">
      <x:c r="A27" s="17" t="str">
        <x:v>已停用</x:v>
      </x:c>
      <x:c r="B27" s="17" t="str">
        <x:v>不能继续登录或操作</x:v>
      </x:c>
      <x:c r="C27" s="17" t="str"/>
    </x:row>
    <x:row r="28" ht="32" customHeight="1">
      <x:c r="A28" s="18" t="str">
        <x:v>没有被授予直接反制权限的管理员</x:v>
      </x:c>
      <x:c r="B28" s="18" t="str">
        <x:v>检查“管理员”身份是否被错误地当成直接反制许可</x:v>
      </x:c>
      <x:c r="C28" s="18" t="str"/>
    </x:row>
    <x:row r="29" ht="32" customHeight="1">
      <x:c r="A29" s="17" t="str">
        <x:v>1 准备能做不同事情的账号</x:v>
      </x:c>
      <x:c r="B29" s="17" t="str">
        <x:v>测试记录里写账号名称和权限，不写密码。</x:v>
      </x:c>
      <x:c r="C29" s="17" t="str"/>
    </x:row>
    <x:row r="30" ht="32" customHeight="1">
      <x:c r="A30" s="287" t="str">
        <x:v>2 准备几组能互相对应的数据</x:v>
      </x:c>
      <x:c r="B30" s="287" t="str"/>
      <x:c r="C30" s="287" t="str"/>
    </x:row>
    <x:row r="31" ht="46" customHeight="1">
      <x:c r="A31" s="17" t="str">
        <x:v>2 准备几组能互相对应的数据</x:v>
      </x:c>
      <x:c r="B31" s="17" t="str">
        <x:v>请开发或环境维护人员配合，通过现有录入、接入和模拟工具准备。不要为了让页面有数据，直接把“执行成功”“已签收”等结果填进数据库。</x:v>
      </x:c>
      <x:c r="C31" s="17" t="str"/>
    </x:row>
    <x:row r="32" ht="32" customHeight="1">
      <x:c r="A32" s="18" t="str">
        <x:v>准备什么</x:v>
      </x:c>
      <x:c r="B32" s="18" t="str">
        <x:v>具体例子</x:v>
      </x:c>
      <x:c r="C32" s="18" t="str"/>
    </x:row>
    <x:row r="33" ht="32" customHeight="1">
      <x:c r="A33" s="17" t="str">
        <x:v>正常飞行</x:v>
      </x:c>
      <x:c r="B33" s="17" t="str">
        <x:v>有有效飞行计划，沿计划航线飞行的无人机</x:v>
      </x:c>
      <x:c r="C33" s="17" t="str"/>
    </x:row>
    <x:row r="34" ht="32" customHeight="1">
      <x:c r="A34" s="18" t="str">
        <x:v>异常飞行</x:v>
      </x:c>
      <x:c r="B34" s="18" t="str">
        <x:v>偏离航线、没有计划、进入测试限飞区域的无人机，各准备一组</x:v>
      </x:c>
      <x:c r="C34" s="18" t="str"/>
    </x:row>
    <x:row r="35" ht="32" customHeight="1">
      <x:c r="A35" s="17" t="str">
        <x:v>不是无人机的目标</x:v>
      </x:c>
      <x:c r="B35" s="17" t="str">
        <x:v>鸟、气球、风筝，以及暂时不知道类别的目标</x:v>
      </x:c>
      <x:c r="C35" s="17" t="str"/>
    </x:row>
    <x:row r="36" ht="32" customHeight="1">
      <x:c r="A36" s="18" t="str">
        <x:v>信息不够的情况</x:v>
      </x:c>
      <x:c r="B36" s="18" t="str">
        <x:v>没有新位置、资料不全、系统暂时不能确定是否合法</x:v>
      </x:c>
      <x:c r="C36" s="18" t="str"/>
    </x:row>
    <x:row r="37" ht="32" customHeight="1">
      <x:c r="A37" s="17" t="str">
        <x:v>不同通知结果</x:v>
      </x:c>
      <x:c r="B37" s="17" t="str">
        <x:v>没有核验飞手、短信可用或不可用、电话可用或不可用、发送失败或结果未知</x:v>
      </x:c>
      <x:c r="C37" s="17" t="str"/>
    </x:row>
    <x:row r="38" ht="32" customHeight="1">
      <x:c r="A38" s="18" t="str">
        <x:v>不同飞行动作</x:v>
      </x:c>
      <x:c r="B38" s="18" t="str">
        <x:v>收到短信后离开、收到电话后离开、继续飞、停止上报位置</x:v>
      </x:c>
      <x:c r="C38" s="18" t="str"/>
    </x:row>
    <x:row r="39" ht="32" customHeight="1">
      <x:c r="A39" s="17" t="str">
        <x:v>不同办理进度</x:v>
      </x:c>
      <x:c r="B39" s="17" t="str">
        <x:v>待审批、已批准、已驳回、已过期、排队中、执行中、执行失败、已急停</x:v>
      </x:c>
      <x:c r="C39" s="17" t="str"/>
    </x:row>
    <x:row r="40" ht="32" customHeight="1">
      <x:c r="A40" s="18" t="str">
        <x:v>不同风险情况</x:v>
      </x:c>
      <x:c r="B40" s="18" t="str">
        <x:v>待核验、待通知、已经通知但风险仍在、已经排除、暂时不能确认</x:v>
      </x:c>
      <x:c r="C40" s="18" t="str"/>
    </x:row>
    <x:row r="41" ht="32" customHeight="1">
      <x:c r="A41" s="17" t="str">
        <x:v>不同天气资料</x:v>
      </x:c>
      <x:c r="B41" s="17" t="str">
        <x:v>完全覆盖飞行时间、只覆盖一部分、不覆盖、缺少计划时间</x:v>
      </x:c>
      <x:c r="C41" s="17" t="str"/>
    </x:row>
    <x:row r="42" ht="32" customHeight="1">
      <x:c r="A42" s="18" t="str">
        <x:v>不同证据</x:v>
      </x:c>
      <x:c r="B42" s="18" t="str">
        <x:v>图片、视频、文件、飞行轨迹；还要有文件丢失、损坏和无查看权限的情况</x:v>
      </x:c>
      <x:c r="C42" s="18" t="str"/>
    </x:row>
    <x:row r="43" ht="32" customHeight="1">
      <x:c r="A43" s="17" t="str">
        <x:v>容易混淆的数据</x:v>
      </x:c>
      <x:c r="B43" s="17" t="str">
        <x:v>名称一样但实际不同的无人机、计划、文件；至少三页的列表；很长的名称</x:v>
      </x:c>
      <x:c r="C43" s="17" t="str"/>
    </x:row>
    <x:row r="44" ht="46" customHeight="1">
      <x:c r="A44" s="18" t="str">
        <x:v>2 准备几组能互相对应的数据</x:v>
      </x:c>
      <x:c r="B44" s="18" t="str">
        <x:v>每次模拟都记下本次运行编号，以及对应的无人机、计划和告警编号。后续跨页面检查时，始终对着同一件事看，不能在几个页面各找一条看起来相似的数据。</x:v>
      </x:c>
      <x:c r="C44" s="18" t="str"/>
    </x:row>
    <x:row r="45" ht="32" customHeight="1">
      <x:c r="A45" s="289" t="str">
        <x:v>3 有几件事要先说清楚</x:v>
      </x:c>
      <x:c r="B45" s="289" t="str"/>
      <x:c r="C45" s="289" t="str"/>
    </x:row>
    <x:row r="46" ht="32" customHeight="1">
      <x:c r="A46" s="18" t="str">
        <x:v>3 有几件事要先说清楚</x:v>
      </x:c>
      <x:c r="B46" s="18" t="str">
        <x:v>这些问题来自前一轮编制时对说明文档和代码的核对。正式测试前，应由负责人员确认当前实际情况。</x:v>
      </x:c>
      <x:c r="C46" s="18" t="str"/>
    </x:row>
    <x:row r="47" ht="32" customHeight="1">
      <x:c r="A47" s="17" t="str">
        <x:v>要先确认的事</x:v>
      </x:c>
      <x:c r="B47" s="17" t="str">
        <x:v>为什么要确认</x:v>
      </x:c>
      <x:c r="C47" s="17" t="str"/>
    </x:row>
    <x:row r="48" ht="32" customHeight="1">
      <x:c r="A48" s="18" t="str">
        <x:v>短信送达后到底观察3秒还是10秒</x:v>
      </x:c>
      <x:c r="B48" s="18" t="str">
        <x:v>当前已确认说明为短信10秒，现代码仍为3秒。按10秒保留验收预期，记录差异；若调整为3秒，须保存新确认。</x:v>
      </x:c>
      <x:c r="C48" s="18" t="str"/>
    </x:row>
    <x:row r="49" ht="46" customHeight="1">
      <x:c r="A49" s="17" t="str">
        <x:v>后台自动和手动分别怎样设置</x:v>
      </x:c>
      <x:c r="B49" s="17" t="str">
        <x:v>自动和手动均测试。8种组合需引擎开启并按类别设置；自动执行的人为授权依据另行核对，代码存在不等于授权已确认。</x:v>
      </x:c>
      <x:c r="C49" s="17" t="str"/>
    </x:row>
    <x:row r="50" ht="32" customHeight="1">
      <x:c r="A50" s="18" t="str">
        <x:v>哪些自动功能已经开启</x:v>
      </x:c>
      <x:c r="B50" s="18" t="str">
        <x:v>页面能打开，不代表自动研判、短信、电话、移送都已经开启</x:v>
      </x:c>
      <x:c r="C50" s="18" t="str"/>
    </x:row>
    <x:row r="51" ht="32" customHeight="1">
      <x:c r="A51" s="17" t="str">
        <x:v>用哪些测试账号</x:v>
      </x:c>
      <x:c r="B51" s="17" t="str">
        <x:v>不直接假定旧演示账号、旧密码还能用</x:v>
      </x:c>
      <x:c r="C51" s="17" t="str"/>
    </x:row>
    <x:row r="52" ht="32" customHeight="1">
      <x:c r="A52" s="18" t="str">
        <x:v>计划、空域等测试资料从哪里录入</x:v>
      </x:c>
      <x:c r="B52" s="18" t="str">
        <x:v>旧模拟器的配套方式与较新的数据录入要求存在差异，需要先确定本轮允许的办法</x:v>
      </x:c>
      <x:c r="C52" s="18" t="str"/>
    </x:row>
    <x:row r="53" ht="32" customHeight="1">
      <x:c r="A53" s="17" t="str">
        <x:v>3 有几件事要先说清楚</x:v>
      </x:c>
      <x:c r="B53" s="17" t="str">
        <x:v>没有确认的相关项目，写“暂时测不了”和具体原因。能独立测试的其他项目继续做。</x:v>
      </x:c>
      <x:c r="C53" s="17" t="str"/>
    </x:row>
    <x:row r="54" ht="32" customHeight="1">
      <x:c r="A54" s="291" t="str">
        <x:v>三 建议按这个顺序测试</x:v>
      </x:c>
      <x:c r="B54" s="291" t="str"/>
      <x:c r="C54" s="291" t="str"/>
    </x:row>
    <x:row r="55" ht="32" customHeight="1">
      <x:c r="A55" s="17" t="str">
        <x:v>顺序</x:v>
      </x:c>
      <x:c r="B55" s="17" t="str">
        <x:v>做什么</x:v>
      </x:c>
      <x:c r="C55" s="17" t="str">
        <x:v>做到什么程度再往下走</x:v>
      </x:c>
    </x:row>
    <x:row r="56" ht="32" customHeight="1">
      <x:c r="A56" s="18" t="str">
        <x:v>第一步</x:v>
      </x:c>
      <x:c r="B56" s="18" t="str">
        <x:v>检查账号、配置和测试数据</x:v>
      </x:c>
      <x:c r="C56" s="18" t="str">
        <x:v>能登录，知道自己能做什么，本次数据能查到</x:v>
      </x:c>
    </x:row>
    <x:row r="57" ht="32" customHeight="1">
      <x:c r="A57" s="17" t="str">
        <x:v>第二步</x:v>
      </x:c>
      <x:c r="B57" s="17" t="str">
        <x:v>每个页面先走一遍</x:v>
      </x:c>
      <x:c r="C57" s="17" t="str">
        <x:v>能正常打开、查列表、看详情，关键位置不空白、不报错</x:v>
      </x:c>
    </x:row>
    <x:row r="58" ht="46" customHeight="1">
      <x:c r="A58" s="18" t="str">
        <x:v>第三步</x:v>
      </x:c>
      <x:c r="B58" s="18" t="str">
        <x:v>完整处理一件事</x:v>
      </x:c>
      <x:c r="C58" s="18" t="str">
        <x:v>从发现无人机，一直检查到通知、反制、移送和证据；未具备的必测环节记录暂时测不了，不据此宣布全流程通过</x:v>
      </x:c>
    </x:row>
    <x:row r="59" ht="32" customHeight="1">
      <x:c r="A59" s="17" t="str">
        <x:v>第四步</x:v>
      </x:c>
      <x:c r="B59" s="17" t="str">
        <x:v>换条件、换账号再测</x:v>
      </x:c>
      <x:c r="C59" s="17" t="str">
        <x:v>检查误报、没权限、信息不足、设备故障、断网、重复点击等情况</x:v>
      </x:c>
    </x:row>
    <x:row r="60" ht="32" customHeight="1">
      <x:c r="A60" s="18" t="str">
        <x:v>第五步</x:v>
      </x:c>
      <x:c r="B60" s="18" t="str">
        <x:v>修复后重新测</x:v>
      </x:c>
      <x:c r="C60" s="18" t="str">
        <x:v>原问题确实消失，前后相关操作没有被改坏</x:v>
      </x:c>
    </x:row>
    <x:row r="61" ht="46" customHeight="1">
      <x:c r="A61" s="17" t="str">
        <x:v>三 建议按这个顺序测试</x:v>
      </x:c>
      <x:c r="B61" s="17" t="str">
        <x:v>原5～7.5人工日只对应最初模块计划。现已加入8种组合、30条流程与48项补充测试，需要按实际批次数、配合人员和环境重新排期。</x:v>
      </x:c>
      <x:c r="C61" s="17" t="str"/>
    </x:row>
    <x:row r="62" ht="32" customHeight="1">
      <x:c r="A62" s="293" t="str">
        <x:v>四 先完整走通这六种情况</x:v>
      </x:c>
      <x:c r="B62" s="293" t="str"/>
      <x:c r="C62" s="293" t="str"/>
    </x:row>
    <x:row r="63" ht="32" customHeight="1">
      <x:c r="A63" s="295" t="str">
        <x:v>第一种 无人机正常飞行</x:v>
      </x:c>
      <x:c r="B63" s="295" t="str"/>
      <x:c r="C63" s="295" t="str"/>
    </x:row>
    <x:row r="64" ht="46" customHeight="1">
      <x:c r="A64" s="18" t="str">
        <x:v>第一种 无人机正常飞行</x:v>
      </x:c>
      <x:c r="B64" s="18" t="str">
        <x:v>先准备一份有效飞行计划，再让模拟无人机沿计划航线飞行。到“融合感知”里找到它，查看位置和轨迹；再打开对应飞行计划和合法性研判。</x:v>
      </x:c>
      <x:c r="C64" s="18" t="str"/>
    </x:row>
    <x:row r="65" ht="46" customHeight="1">
      <x:c r="A65" s="17" t="str">
        <x:v>第一种 无人机正常飞行</x:v>
      </x:c>
      <x:c r="B65" s="17" t="str">
        <x:v>正常表现：几个页面显示的是同一架无人机，计划匹配正确；有充分依据时显示合法；已飞过且符合计划的轨迹显示绿色，尚未飞过的计划航线显示灰色。不能无故产生违规告警或反制动作。</x:v>
      </x:c>
      <x:c r="C65" s="17" t="str"/>
    </x:row>
    <x:row r="66" ht="46" customHeight="1">
      <x:c r="A66" s="297" t="str">
        <x:v>第二种 无人机违规后按申请审批流程处理</x:v>
      </x:c>
      <x:c r="B66" s="297" t="str"/>
      <x:c r="C66" s="297" t="str"/>
    </x:row>
    <x:row r="67" ht="46" customHeight="1">
      <x:c r="A67" s="17" t="str">
        <x:v>第二种 无人机违规后按申请审批流程处理</x:v>
      </x:c>
      <x:c r="B67" s="17" t="str">
        <x:v>准备一架持续在告警区域内飞行的违规无人机，并为它准备已核验的飞手和可用的模拟短信、电话渠道。值班账号核实告警后，观察短信、等待观察、电话、再次观察的过程。</x:v>
      </x:c>
      <x:c r="C67" s="17" t="str"/>
    </x:row>
    <x:row r="68" ht="63" customHeight="1">
      <x:c r="A68" s="18" t="str">
        <x:v>第二种 无人机违规后按申请审批流程处理</x:v>
      </x:c>
      <x:c r="B68" s="18" t="str">
        <x:v>仍未离开时，使用普通申请账号发起反制，换另一个有权账号审批，再由有执行权限的账号操作。查看测试设备有没有实际收到命令、有没有返回结果。分别核对反制与干扰续链回执后，检查自动交接条件；人工交接另按核实事件条件测试。随后，再核对交接、送达、签收和证据。</x:v>
      </x:c>
      <x:c r="C68" s="18" t="str"/>
    </x:row>
    <x:row r="69" ht="46" customHeight="1">
      <x:c r="A69" s="17" t="str">
        <x:v>第二种 无人机违规后按申请审批流程处理</x:v>
      </x:c>
      <x:c r="B69" s="17" t="str">
        <x:v>正常表现：每一步处理同一个事件，审批前不能执行，页面提交成功不能冒充设备已经执行成功；移送、送达和签收分别有对应记录。</x:v>
      </x:c>
      <x:c r="C69" s="17" t="str"/>
    </x:row>
    <x:row r="70" ht="46" customHeight="1">
      <x:c r="A70" s="299" t="str">
        <x:v>第三种 有直接反制权限并在执行中急停</x:v>
      </x:c>
      <x:c r="B70" s="299" t="str"/>
      <x:c r="C70" s="299" t="str"/>
    </x:row>
    <x:row r="71" ht="46" customHeight="1">
      <x:c r="A71" s="17" t="str">
        <x:v>第三种 有直接反制权限并在执行中急停</x:v>
      </x:c>
      <x:c r="B71" s="17" t="str">
        <x:v>使用被明确授予直接反制权限的账号，对一条符合条件的告警发起反制。执行过程中点击急停，查看设备回复和停机核查结果。</x:v>
      </x:c>
      <x:c r="C71" s="17" t="str"/>
    </x:row>
    <x:row r="72" ht="46" customHeight="1">
      <x:c r="A72" s="18" t="str">
        <x:v>第三种 有直接反制权限并在执行中急停</x:v>
      </x:c>
      <x:c r="B72" s="18" t="str">
        <x:v>正常表现：可以免去逐次审批，但仍检查对象、设备、范围、时间和当前证据；记录真实操作人。点击急停后，只有确认了设备的实际结果，才能认定已经停机。重新打开页面不能自动恢复执行。</x:v>
      </x:c>
      <x:c r="C72" s="18" t="str"/>
    </x:row>
    <x:row r="73" ht="32" customHeight="1">
      <x:c r="A73" s="301" t="str">
        <x:v>第四种 告警是误报或者信息不够</x:v>
      </x:c>
      <x:c r="B73" s="301" t="str"/>
      <x:c r="C73" s="301" t="str"/>
    </x:row>
    <x:row r="74" ht="32" customHeight="1">
      <x:c r="A74" s="18" t="str">
        <x:v>第四种 告警是误报或者信息不够</x:v>
      </x:c>
      <x:c r="B74" s="18" t="str">
        <x:v>一条告警选择“误报”；另一条保留为资料不足或位置已过期。分别查看通知和反制情况。</x:v>
      </x:c>
      <x:c r="C74" s="18" t="str"/>
    </x:row>
    <x:row r="75" ht="46" customHeight="1">
      <x:c r="A75" s="17" t="str">
        <x:v>第四种 告警是误报或者信息不够</x:v>
      </x:c>
      <x:c r="B75" s="17" t="str">
        <x:v>正常表现：误报不会继续发短信、打电话或反制；资料不足时明确说明缺什么，不把“不知道”当成“合法”“已经飞走”或者“可以反制”。原始记录和处理历史保留。</x:v>
      </x:c>
      <x:c r="C75" s="17" t="str"/>
    </x:row>
    <x:row r="76" ht="32" customHeight="1">
      <x:c r="A76" s="303" t="str">
        <x:v>第五种 风险已经通知但还没有解除</x:v>
      </x:c>
      <x:c r="B76" s="303" t="str"/>
      <x:c r="C76" s="303" t="str"/>
    </x:row>
    <x:row r="77" ht="46" customHeight="1">
      <x:c r="A77" s="17" t="str">
        <x:v>第五种 风险已经通知但还没有解除</x:v>
      </x:c>
      <x:c r="B77" s="17" t="str">
        <x:v>选一条计划或空域风险，核验后通知上级。对方收到或签收之后，保持风险仍存在；随后再提供能够证明风险解除的有效依据。</x:v>
      </x:c>
      <x:c r="C77" s="17" t="str"/>
    </x:row>
    <x:row r="78" ht="32" customHeight="1">
      <x:c r="A78" s="18" t="str">
        <x:v>第五种 风险已经通知但还没有解除</x:v>
      </x:c>
      <x:c r="B78" s="18" t="str">
        <x:v>正常表现：收到通知时，风险仍然显示存在；有解除依据后才按规定退出当前风险列表。之前的通知记录仍能查到。</x:v>
      </x:c>
      <x:c r="C78" s="18" t="str"/>
    </x:row>
    <x:row r="79" ht="32" customHeight="1">
      <x:c r="A79" s="305" t="str">
        <x:v>第六种 操作后突然断网</x:v>
      </x:c>
      <x:c r="B79" s="305" t="str"/>
      <x:c r="C79" s="305" t="str"/>
    </x:row>
    <x:row r="80" ht="46" customHeight="1">
      <x:c r="A80" s="18" t="str">
        <x:v>第六种 操作后突然断网</x:v>
      </x:c>
      <x:c r="B80" s="18" t="str">
        <x:v>请开发人员在测试环境配合，模拟“系统可能已经收到操作，但页面没收到回复”。分别检查核实、通知、反制申请等操作，再恢复网络查看结果。</x:v>
      </x:c>
      <x:c r="C80" s="18" t="str"/>
    </x:row>
    <x:row r="81" ht="46" customHeight="1">
      <x:c r="A81" s="17" t="str">
        <x:v>第六种 操作后突然断网</x:v>
      </x:c>
      <x:c r="B81" s="17" t="str">
        <x:v>正常表现：页面说明结果还不能确定，先查原操作是否已经办成。不能因为没看到回复就重复发短信、重复申请或重复下发设备命令。</x:v>
      </x:c>
      <x:c r="C81" s="17" t="str"/>
    </x:row>
    <x:row r="82" ht="32" customHeight="1">
      <x:c r="A82" s="307" t="str">
        <x:v>六 这几种情况最容易误判</x:v>
      </x:c>
      <x:c r="B82" s="307" t="str"/>
      <x:c r="C82" s="307" t="str"/>
    </x:row>
    <x:row r="83" ht="32" customHeight="1">
      <x:c r="A83" s="17" t="str">
        <x:v>页面上看到的情况</x:v>
      </x:c>
      <x:c r="B83" s="17" t="str">
        <x:v>正确理解</x:v>
      </x:c>
      <x:c r="C83" s="17" t="str"/>
    </x:row>
    <x:row r="84" ht="32" customHeight="1">
      <x:c r="A84" s="18" t="str">
        <x:v>点了发送，出现提交成功</x:v>
      </x:c>
      <x:c r="B84" s="18" t="str">
        <x:v>说明系统接到了这次操作，还要继续看实际发送和送达结果</x:v>
      </x:c>
      <x:c r="C84" s="18" t="str"/>
    </x:row>
    <x:row r="85" ht="32" customHeight="1">
      <x:c r="A85" s="17" t="str">
        <x:v>短信已送达、电话已播放</x:v>
      </x:c>
      <x:c r="B85" s="17" t="str">
        <x:v>说明通知到了，还要看无人机的新位置，才能判断有没有离开</x:v>
      </x:c>
      <x:c r="C85" s="17" t="str"/>
    </x:row>
    <x:row r="86" ht="32" customHeight="1">
      <x:c r="A86" s="18" t="str">
        <x:v>无人机不再上报位置</x:v>
      </x:c>
      <x:c r="B86" s="18" t="str">
        <x:v>可能失联或数据中断，不能直接认定飞走</x:v>
      </x:c>
      <x:c r="C86" s="18" t="str"/>
    </x:row>
    <x:row r="87" ht="32" customHeight="1">
      <x:c r="A87" s="17" t="str">
        <x:v>显示待反制</x:v>
      </x:c>
      <x:c r="B87" s="17" t="str">
        <x:v>仍要检查权限、有效位置、违规依据和设备条件</x:v>
      </x:c>
      <x:c r="C87" s="17" t="str"/>
    </x:row>
    <x:row r="88" ht="32" customHeight="1">
      <x:c r="A88" s="18" t="str">
        <x:v>反制审批通过或直接授权成功</x:v>
      </x:c>
      <x:c r="B88" s="18" t="str">
        <x:v>获得了相应授权，不代表设备已经执行</x:v>
      </x:c>
      <x:c r="C88" s="18" t="str"/>
    </x:row>
    <x:row r="89" ht="32" customHeight="1">
      <x:c r="A89" s="17" t="str">
        <x:v>急停请求已提交</x:v>
      </x:c>
      <x:c r="B89" s="17" t="str">
        <x:v>还要看设备回复和实际停机核查</x:v>
      </x:c>
      <x:c r="C89" s="17" t="str"/>
    </x:row>
    <x:row r="90" ht="32" customHeight="1">
      <x:c r="A90" s="18" t="str">
        <x:v>上级已收到、处罚部门已签收</x:v>
      </x:c>
      <x:c r="B90" s="18" t="str">
        <x:v>说明交接到了相应阶段，不代表风险解除或处罚办结</x:v>
      </x:c>
      <x:c r="C90" s="18" t="str"/>
    </x:row>
    <x:row r="91" ht="32" customHeight="1">
      <x:c r="A91" s="17" t="str">
        <x:v>文件完整性检查通过</x:v>
      </x:c>
      <x:c r="B91" s="17" t="str">
        <x:v>文件内容没有出现相应的完整性问题，不代表内容所描述的事实一定真实</x:v>
      </x:c>
      <x:c r="C91" s="17" t="str"/>
    </x:row>
    <x:row r="92" ht="32" customHeight="1">
      <x:c r="A92" s="18" t="str">
        <x:v>页面显示0</x:v>
      </x:c>
      <x:c r="B92" s="18" t="str">
        <x:v>只有确实为零时才正确；没有读到数据应写未知或失败</x:v>
      </x:c>
      <x:c r="C92" s="18" t="str"/>
    </x:row>
    <x:row r="93" ht="32" customHeight="1">
      <x:c r="A93" s="309" t="str">
        <x:v>七 发现问题怎么记录</x:v>
      </x:c>
      <x:c r="B93" s="309" t="str"/>
      <x:c r="C93" s="309" t="str"/>
    </x:row>
    <x:row r="94" ht="32" customHeight="1">
      <x:c r="A94" s="18" t="str">
        <x:v>七 发现问题怎么记录</x:v>
      </x:c>
      <x:c r="B94" s="18" t="str">
        <x:v>每个实际测试情况单独记一条。比如短信可用、短信不可用是两种情况，应分别记录。</x:v>
      </x:c>
      <x:c r="C94" s="18" t="str"/>
    </x:row>
    <x:row r="95" ht="32" customHeight="1">
      <x:c r="A95" s="17" t="str">
        <x:v>记录什么</x:v>
      </x:c>
      <x:c r="B95" s="17" t="str">
        <x:v>怎么写</x:v>
      </x:c>
      <x:c r="C95" s="17" t="str"/>
    </x:row>
    <x:row r="96" ht="32" customHeight="1">
      <x:c r="A96" s="18" t="str">
        <x:v>测试日期和测试人</x:v>
      </x:c>
      <x:c r="B96" s="18" t="str">
        <x:v>谁在什么时候测的</x:v>
      </x:c>
      <x:c r="C96" s="18" t="str"/>
    </x:row>
    <x:row r="97" ht="32" customHeight="1">
      <x:c r="A97" s="17" t="str">
        <x:v>测的是哪一项</x:v>
      </x:c>
      <x:c r="B97" s="17" t="str">
        <x:v>例如“短信送达后无人机停止上报位置”</x:v>
      </x:c>
      <x:c r="C97" s="17" t="str"/>
    </x:row>
    <x:row r="98" ht="32" customHeight="1">
      <x:c r="A98" s="18" t="str">
        <x:v>用了什么账号和数据</x:v>
      </x:c>
      <x:c r="B98" s="18" t="str">
        <x:v>账号权限、这次模拟编号、无人机或告警编号；不要写密码</x:v>
      </x:c>
      <x:c r="C98" s="18" t="str"/>
    </x:row>
    <x:row r="99" ht="32" customHeight="1">
      <x:c r="A99" s="17" t="str">
        <x:v>怎么操作的</x:v>
      </x:c>
      <x:c r="B99" s="17" t="str">
        <x:v>按1、2、3写出别人能重复的步骤</x:v>
      </x:c>
      <x:c r="C99" s="17" t="str"/>
    </x:row>
    <x:row r="100" ht="32" customHeight="1">
      <x:c r="A100" s="18" t="str">
        <x:v>应该看到什么</x:v>
      </x:c>
      <x:c r="B100" s="18" t="str">
        <x:v>按本文件对应要求写</x:v>
      </x:c>
      <x:c r="C100" s="18" t="str"/>
    </x:row>
    <x:row r="101" ht="32" customHeight="1">
      <x:c r="A101" s="17" t="str">
        <x:v>实际看到了什么</x:v>
      </x:c>
      <x:c r="B101" s="17" t="str">
        <x:v>如实写页面状态和实际结果，不只写“不正常”</x:v>
      </x:c>
      <x:c r="C101" s="17" t="str"/>
    </x:row>
    <x:row r="102" ht="32" customHeight="1">
      <x:c r="A102" s="18" t="str">
        <x:v>结果</x:v>
      </x:c>
      <x:c r="B102" s="18" t="str">
        <x:v>通过、有问题、暂时测不了、还没测；确定不在范围内的另写理由</x:v>
      </x:c>
      <x:c r="C102" s="18" t="str"/>
    </x:row>
    <x:row r="103" ht="32" customHeight="1">
      <x:c r="A103" s="17" t="str">
        <x:v>证据</x:v>
      </x:c>
      <x:c r="B103" s="17" t="str">
        <x:v>截图、短视频、操作时间；必要时由开发补充处理和设备记录</x:v>
      </x:c>
      <x:c r="C103" s="17" t="str"/>
    </x:row>
    <x:row r="104" ht="32" customHeight="1">
      <x:c r="A104" s="18" t="str">
        <x:v>修好后再测</x:v>
      </x:c>
      <x:c r="B104" s="18" t="str">
        <x:v>哪个版本修的，再测结果如何，有没有影响其他步骤</x:v>
      </x:c>
      <x:c r="C104" s="18" t="str"/>
    </x:row>
    <x:row r="105" ht="63" customHeight="1">
      <x:c r="A105" s="17" t="str">
        <x:v>七 发现问题怎么记录</x:v>
      </x:c>
      <x:c r="B105" s="17" t="str">
        <x:v>例如：“10:20短信已送达，随后停止无人机位置上报。10:21页面显示‘已飞离’，但没有新的位置依据。应显示无法确认离开，不能直接判定飞离。附告警编号、通知时间和截图。”这比只写“告警流程有问题”更容易定位。</x:v>
      </x:c>
      <x:c r="C105" s="17" t="str"/>
    </x:row>
    <x:row r="106" ht="46" customHeight="1">
      <x:c r="A106" s="18" t="str">
        <x:v>七 发现问题怎么记录</x:v>
      </x:c>
      <x:c r="B106" s="18" t="str">
        <x:v>记录“暂时测不了”时，写清楚差什么：没有合适账号、设备没接入、模拟通知没开、时长还没确认等。这些都不能当成通过。</x:v>
      </x:c>
      <x:c r="C106" s="18" t="str"/>
    </x:row>
    <x:row r="107" ht="32" customHeight="1">
      <x:c r="A107" s="311" t="str">
        <x:v>八 测到什么程度可以说通过</x:v>
      </x:c>
      <x:c r="B107" s="311" t="str"/>
      <x:c r="C107" s="311" t="str"/>
    </x:row>
    <x:row r="108" ht="32" customHeight="1">
      <x:c r="A108" s="18" t="str">
        <x:v>八 测到什么程度可以说通过</x:v>
      </x:c>
      <x:c r="B108" s="18" t="str">
        <x:v>必须先满足以下要求：</x:v>
      </x:c>
      <x:c r="C108" s="18" t="str"/>
    </x:row>
    <x:row r="109" ht="32" customHeight="1">
      <x:c r="A109" s="17" t="str">
        <x:v>八 测到什么程度可以说通过</x:v>
      </x:c>
      <x:c r="B109" s="17" t="str">
        <x:v>1. 登录、主要页面和日常处理流程能正常使用。</x:v>
      </x:c>
      <x:c r="C109" s="17" t="str"/>
    </x:row>
    <x:row r="110" ht="46" customHeight="1">
      <x:c r="A110" s="18" t="str">
        <x:v>八 测到什么程度可以说通过</x:v>
      </x:c>
      <x:c r="B110" s="18" t="str">
        <x:v>2. 普通申请审批、直接反制、执行、急停等本轮需要交付的关键流程，都有完整结果，不能有还没测或测不了的关键环节。</x:v>
      </x:c>
      <x:c r="C110" s="18" t="str"/>
    </x:row>
    <x:row r="111" ht="32" customHeight="1">
      <x:c r="A111" s="17" t="str">
        <x:v>八 测到什么程度可以说通过</x:v>
      </x:c>
      <x:c r="B111" s="17" t="str">
        <x:v>3. 无越权查看、下载或操作；无错误反制、重复下发、急停假成功；无跨事件串数据。</x:v>
      </x:c>
      <x:c r="C111" s="17" t="str"/>
    </x:row>
    <x:row r="112" ht="32" customHeight="1">
      <x:c r="A112" s="18" t="str">
        <x:v>八 测到什么程度可以说通过</x:v>
      </x:c>
      <x:c r="B112" s="18" t="str">
        <x:v>4. 通知、位置、授权、执行、移送、处罚分别显示真实状态，没有把未知显示成成功。</x:v>
      </x:c>
      <x:c r="C112" s="18" t="str"/>
    </x:row>
    <x:row r="113" ht="32" customHeight="1">
      <x:c r="A113" s="17" t="str">
        <x:v>八 测到什么程度可以说通过</x:v>
      </x:c>
      <x:c r="B113" s="17" t="str">
        <x:v>5. 当前数据和历史材料正确，列表、地图、详情、统计和导出能对得上。</x:v>
      </x:c>
      <x:c r="C113" s="17" t="str"/>
    </x:row>
    <x:row r="114" ht="32" customHeight="1">
      <x:c r="A114" s="18" t="str">
        <x:v>八 测到什么程度可以说通过</x:v>
      </x:c>
      <x:c r="B114" s="18" t="str">
        <x:v>6. 常用屏幕和浏览器里能看清、能操作；修复过的问题重新测过。</x:v>
      </x:c>
      <x:c r="C114" s="18" t="str"/>
    </x:row>
    <x:row r="115" ht="46" customHeight="1">
      <x:c r="A115" s="17" t="str">
        <x:v>八 测到什么程度可以说通过</x:v>
      </x:c>
      <x:c r="B115" s="17" t="str">
        <x:v>7. 剩余问题逐条列出。影响主流程、权限、反制或历史事实的问题必须先处理；轻微问题由业务负责人明确接受后再安排修复。</x:v>
      </x:c>
      <x:c r="C115" s="17" t="str"/>
    </x:row>
    <x:row r="116" ht="46" customHeight="1">
      <x:c r="A116" s="18" t="str">
        <x:v>八 测到什么程度可以说通过</x:v>
      </x:c>
      <x:c r="B116" s="18" t="str">
        <x:v>测试报告要分别写“通过多少、有问题多少、暂时测不了多少、还没测多少”。不要只写一句“基本正常”。真实设备或真实通知如果在交付范围内，要补真实验证，不能用模拟测试替代。</x:v>
      </x:c>
      <x:c r="C116" s="18" t="str"/>
    </x:row>
    <x:row r="117" ht="46" customHeight="1">
      <x:c r="A117" s="17" t="str">
        <x:v>八 测到什么程度可以说通过</x:v>
      </x:c>
      <x:c r="B117" s="17" t="str">
        <x:v>结束时停止本轮模拟、核对测试设备已停止、恢复临时调整的网络和测试配置。保存测试记录，不为清理页面而删除原有业务历史或已固定的材料。</x:v>
      </x:c>
      <x:c r="C117" s="17" t="str"/>
    </x:row>
    <x:row r="119" ht="34" customHeight="1">
      <x:c r="A119" s="632" t="str">
        <x:v>后台设备运维测试准备</x:v>
      </x:c>
      <x:c r="B119" s="632" t="str"/>
      <x:c r="C119" s="632" t="str"/>
    </x:row>
    <x:row r="120" ht="80" customHeight="1">
      <x:c r="A120" s="633" t="str">
        <x:v>新增后台范围</x:v>
      </x:c>
      <x:c r="B120" s="633" t="str">
        <x:v>设备管理、设备实时监测、设备接入调测；关联的接入通道管理、维护待办与站内消息。</x:v>
      </x:c>
      <x:c r="C120" s="633" t="str">
        <x:v>本轮不扩展到地图、报表或所有系统管理模块。</x:v>
      </x:c>
    </x:row>
    <x:row r="121" ht="80" customHeight="1">
      <x:c r="A121" s="613" t="str">
        <x:v>后台入口</x:v>
      </x:c>
      <x:c r="B121" s="613" t="str">
        <x:v>http://127.0.0.1:5175/operations/devices
http://127.0.0.1:5175/operations/monitor
http://127.0.0.1:5175/operations/commission</x:v>
      </x:c>
      <x:c r="C121" s="613" t="str">
        <x:v>登录后进入；没权限不要求强行打开。</x:v>
      </x:c>
    </x:row>
    <x:row r="122" ht="80" customHeight="1">
      <x:c r="A122" s="633" t="str">
        <x:v>仍需前台和模拟器</x:v>
      </x:c>
      <x:c r="B122" s="633" t="str">
        <x:v>前台 http://localhost:5173/#/login?redirect=/legality
模拟器 http://127.0.0.1:8766/</x:v>
      </x:c>
      <x:c r="C122" s="633" t="str">
        <x:v>F33须由前台原事项报修，不能在后台随便找一条历史待办冒充。</x:v>
      </x:c>
    </x:row>
    <x:row r="123" ht="80" customHeight="1">
      <x:c r="A123" s="613" t="str">
        <x:v>账号准备</x:v>
      </x:c>
      <x:c r="B123" s="613" t="str">
        <x:v>准备设备只读、设备操作、监测操作、调测操作、连接只读/操作、范围受限账号，以及两名可并发处理人员。</x:v>
      </x:c>
      <x:c r="C123" s="613" t="str">
        <x:v>monitoring.read与monitoring.op负责维护动作；进入页面还需当前菜单与读取权限。</x:v>
      </x:c>
    </x:row>
    <x:row r="124" ht="80" customHeight="1">
      <x:c r="A124" s="633" t="str">
        <x:v>测试设备准备</x:v>
      </x:c>
      <x:c r="B124" s="633" t="str">
        <x:v>准备TCP雷达、MQTT主动上报、光电、四通道测试设备与天气传感器档案；每类注明协议、来源及模拟标记。</x:v>
      </x:c>
      <x:c r="C124" s="633" t="str">
        <x:v>没有某类能力就暂时测不了；不拿另一协议的通过结果代替。</x:v>
      </x:c>
    </x:row>
    <x:row r="125" ht="80" customHeight="1">
      <x:c r="A125" s="613" t="str">
        <x:v>通道准备</x:v>
      </x:c>
      <x:c r="B125" s="613" t="str">
        <x:v>准备唯一、多个、无可用接入通道三种范围；准备通知未发送、未知、失败和送达的模拟回执。</x:v>
      </x:c>
      <x:c r="C125" s="613" t="str">
        <x:v>devices.op不自动获得interfaces.op。连接成功不等于设备在线。</x:v>
      </x:c>
    </x:row>
    <x:row r="126" ht="80" customHeight="1">
      <x:c r="A126" s="633" t="str">
        <x:v>删除专用数据</x:v>
      </x:c>
      <x:c r="B126" s="633" t="str">
        <x:v>另建可弃测试设备，预先留下可追溯历史。先验证忙碌拒绝，再验证停用空闲后的逻辑删除。</x:v>
      </x:c>
      <x:c r="C126" s="633" t="str">
        <x:v>仅用于计划执行时的专用测试数据；本次编制没有删除设备。</x:v>
      </x:c>
    </x:row>
    <x:row r="127" ht="80" customHeight="1">
      <x:c r="A127" s="613" t="str">
        <x:v>来源与配置记录</x:v>
      </x:c>
      <x:c r="B127" s="613" t="str">
        <x:v>每轮保存前后端版本、实际配置、账号角色、设备ID、协议、来源模式、模拟批次与时间。</x:v>
      </x:c>
      <x:c r="C127" s="613" t="str">
        <x:v>代码默认值不是运行值；记录实际设备超时设置。</x:v>
      </x:c>
    </x:row>
    <x:row r="128" ht="80" customHeight="1">
      <x:c r="A128" s="633" t="str">
        <x:v>维护流程顺序</x:v>
      </x:c>
      <x:c r="B128" s="633" t="str">
        <x:v>待处理 → 处理中 → 待恢复核验 → 完成。核验FAIL/UNKNOWN可恢复处理，再提交新一轮核验。</x:v>
      </x:c>
      <x:c r="C128" s="633" t="str">
        <x:v>核验PASS本身不自动完成；完成动作还会重新检查当前事实。</x:v>
      </x:c>
    </x:row>
    <x:row r="129" ht="80" customHeight="1">
      <x:c r="A129" s="613" t="str">
        <x:v>恢复必须有依据</x:v>
      </x:c>
      <x:c r="B129" s="613" t="str">
        <x:v>设备启用；状态和心跳来自报修后且非未来、300秒内；在线GOOD且明确无告警；没有未恢复异常或执行中工作。</x:v>
      </x:c>
      <x:c r="C129" s="613" t="str">
        <x:v>模拟与真实来源必须一致；不直接改数据库填成功。</x:v>
      </x:c>
    </x:row>
    <x:row r="130" ht="80" customHeight="1">
      <x:c r="A130" s="633" t="str">
        <x:v>两个300秒别混淆</x:v>
      </x:c>
      <x:c r="B130" s="633" t="str">
        <x:v>一是状态与心跳的新鲜度；二是既有恢复PASS距离完成不超过300秒。分别测试。</x:v>
      </x:c>
      <x:c r="C130" s="633" t="str">
        <x:v>完成时仍会重新检查，不凭旧PASS办结。</x:v>
      </x:c>
    </x:row>
    <x:row r="131" ht="80" customHeight="1">
      <x:c r="A131" s="613" t="str">
        <x:v>异常事件与维护任务分开</x:v>
      </x:c>
      <x:c r="B131" s="613" t="str">
        <x:v>先通过既有异常恢复核验确认未恢复事件，再做维护任务恢复核验和完成。</x:v>
      </x:c>
      <x:c r="C131" s="613" t="str">
        <x:v>维护工作流本身不关闭异常，也不调用设备重启或自动开始调测。</x:v>
      </x:c>
    </x:row>
    <x:row r="132" ht="80" customHeight="1">
      <x:c r="A132" s="633" t="str">
        <x:v>协议边界</x:v>
      </x:c>
      <x:c r="B132" s="633" t="str">
        <x:v>主动上报协议按task_supported检查诊断能力；不支持重启就不能假装重启。四通道调测只读查询，不代表射频验收。</x:v>
      </x:c>
      <x:c r="C132" s="633" t="str">
        <x:v>光电默认心跳3秒、MQTT工参默认30秒；以实际配置核对，不混用。</x:v>
      </x:c>
    </x:row>
    <x:row r="133" ht="80" customHeight="1">
      <x:c r="A133" s="613" t="str">
        <x:v>完整流程对应</x:v>
      </x:c>
      <x:c r="B133" s="613" t="str">
        <x:v>F31接入到前台；F32掉线恢复；F33前台报修到完成；F34核验失败重做；F35并发断网；F36退役历史保留。</x:v>
      </x:c>
      <x:c r="C133" s="613" t="str">
        <x:v>每条10步，同一设备/任务/批次贯穿，截图和日志可互相对应。</x:v>
      </x:c>
    </x:row>
    <x:row r="134" ht="80" customHeight="1">
      <x:c r="A134" s="633" t="str">
        <x:v>完成标准</x:v>
      </x:c>
      <x:c r="B134" s="633" t="str">
        <x:v>64项运维清单加6条新增流程纳入总览；所有必测项有证据、关键缺陷关闭，才可提交联合验收。</x:v>
      </x:c>
      <x:c r="C134" s="633" t="str">
        <x:v>通知送达、标已读、填写进展、调测通过都不单独代表设备恢复。</x:v>
      </x:c>
    </x:row>
    <x:row r="135" ht="80" customHeight="1">
      <x:c r="A135" s="613" t="str">
        <x:v>当前逻辑依据</x:v>
      </x:c>
      <x:c r="B135" s="613" t="str">
        <x:v>后台docs/设备运维接口契约.md；docs/device-maintenance-workflow.md；设备管理、实时监测、接入调测页面及DeviceMaintenanceWorkflowService。</x:v>
      </x:c>
      <x:c r="C135" s="613" t="str">
        <x:v>核对时间2026-09-27；真实运行配置和硬件联调结果本次未验证。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EA580C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4" hidden="0" customWidth="1"/>
    <x:col min="4" max="4" width="56" hidden="0" customWidth="1"/>
    <x:col min="5" max="5" width="54" hidden="0" customWidth="1"/>
    <x:col min="6" max="6" width="52" hidden="0" customWidth="1"/>
    <x:col min="7" max="7" width="17" hidden="0" customWidth="1"/>
    <x:col min="8" max="8" width="14" hidden="0" customWidth="1"/>
    <x:col min="9" max="9" width="24" hidden="0" customWidth="1"/>
    <x:col min="10" max="10" width="5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2" customHeight="1">
      <x:c r="A2" s="4" t="str">
        <x:v>测试问题记录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3" ht="35" customHeight="1">
      <x:c r="A3" s="2"/>
      <x:c r="B3" s="2"/>
      <x:c r="C3" s="2"/>
      <x:c r="D3" s="6" t="str">
        <x:v>本轮只记录，不修改。BUG为已复现问题；OBS为待核实观察；BLOCK为执行条件不足，不混算产品缺陷。</x:v>
      </x:c>
      <x:c r="E3" s="6"/>
      <x:c r="F3" s="6"/>
      <x:c r="G3" s="2"/>
      <x:c r="H3" s="2"/>
      <x:c r="I3" s="2"/>
      <x:c r="J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2" customHeight="1">
      <x:c r="A5" s="10" t="str">
        <x:v>问题编号</x:v>
      </x:c>
      <x:c r="B5" s="10" t="str">
        <x:v>检查项编号</x:v>
      </x:c>
      <x:c r="C5" s="10" t="str">
        <x:v>问题简述</x:v>
      </x:c>
      <x:c r="D5" s="10" t="str">
        <x:v>怎么操作会出现</x:v>
      </x:c>
      <x:c r="E5" s="10" t="str">
        <x:v>本来应该怎样</x:v>
      </x:c>
      <x:c r="F5" s="10" t="str">
        <x:v>实际出现什么</x:v>
      </x:c>
      <x:c r="G5" s="10" t="str">
        <x:v>严重程度</x:v>
      </x:c>
      <x:c r="H5" s="10" t="str">
        <x:v>负责人</x:v>
      </x:c>
      <x:c r="I5" s="10" t="str">
        <x:v>处理进度</x:v>
      </x:c>
      <x:c r="J5" s="10" t="str">
        <x:v>修复版本和复测情况</x:v>
      </x:c>
    </x:row>
    <x:row r="6" ht="138" customHeight="1">
      <x:c r="A6" s="15" t="str">
        <x:v>BUG-001</x:v>
      </x:c>
      <x:c r="B6" s="15" t="str">
        <x:v>后台登录页（新增观察项）</x:v>
      </x:c>
      <x:c r="C6" s="15" t="str">
        <x:v>浏览器标签标题出现 undefined</x:v>
      </x:c>
      <x:c r="D6" s="15" t="str">
        <x:v>打开后台登录地址，刷新，再直接访问设备管理、实时监测、接入调测地址。</x:v>
      </x:c>
      <x:c r="E6" s="15" t="str">
        <x:v>标签页应显示登录及正确平台名称。</x:v>
      </x:c>
      <x:c r="F6" s="15" t="str">
        <x:v>页面标题始终为“登录 - undefined”。界面正文可正常显示。</x:v>
      </x:c>
      <x:c r="G6" s="15" t="str">
        <x:v>轻微体验</x:v>
      </x:c>
      <x:c r="H6" s="15" t="str">
        <x:v>待分配</x:v>
      </x:c>
      <x:c r="I6" s="15" t="str">
        <x:v>待处理</x:v>
      </x:c>
      <x:c r="J6" s="15" t="str">
        <x:v>尚未修复；2026-09-27已复现。证据：admin-title.txt、admin-login.png；见本轮执行记录。</x:v>
      </x:c>
    </x:row>
    <x:row r="7" ht="138" customHeight="1">
      <x:c r="A7" s="15" t="str">
        <x:v>OBS-001</x:v>
      </x:c>
      <x:c r="B7" s="15" t="str">
        <x:v>SIM-01（部分观察）</x:v>
      </x:c>
      <x:c r="C7" s="15" t="str">
        <x:v>模拟器地图缺少3个纹理的控制台告警</x:v>
      </x:c>
      <x:c r="D7" s="15" t="str">
        <x:v>打开8766信号地图，等待地图加载，读取浏览器控制台。</x:v>
      </x:c>
      <x:c r="E7" s="15" t="str">
        <x:v>地图所用纹理应能加载，无缺图告警。</x:v>
      </x:c>
      <x:c r="F7" s="15" t="str">
        <x:v>出现theme-tex-farm、theme-tex-forest、theme-tex-urban could not be loaded。地图加载提示随后消失；尚未判定业务影响。</x:v>
      </x:c>
      <x:c r="G7" s="15" t="str">
        <x:v>一般问题</x:v>
      </x:c>
      <x:c r="H7" s="15" t="str">
        <x:v>待分配</x:v>
      </x:c>
      <x:c r="I7" s="15" t="str">
        <x:v>暂缓并说明</x:v>
      </x:c>
      <x:c r="J7" s="15" t="str">
        <x:v>仅记观察，未定为业务缺陷。证据sim-console.json。需在完整地图视口复核纹理实际影响。</x:v>
      </x:c>
    </x:row>
    <x:row r="8" ht="138" customHeight="1">
      <x:c r="A8" s="15" t="str">
        <x:v>BLOCK-001</x:v>
      </x:c>
      <x:c r="B8" s="15" t="str">
        <x:v>AUTH-01、AUTH-02部分、OPS-01部分、F01/F31起步</x:v>
      </x:c>
      <x:c r="C8" s="15" t="str">
        <x:v>缺少有效测试登录及角色账号</x:v>
      </x:c>
      <x:c r="D8" s="15" t="str">
        <x:v>按用户提供的三个地址打开系统，检查当前登录状态。</x:v>
      </x:c>
      <x:c r="E8" s="15" t="str">
        <x:v>使用指定测试账号进入前台、后台及模拟器，再准备隔离批次。</x:v>
      </x:c>
      <x:c r="F8" s="15" t="str">
        <x:v>三个入口均未登录；截至本轮记录未取得有效账号。空值及虚构账号拒绝已局部检查。</x:v>
      </x:c>
      <x:c r="G8" s="15" t="str">
        <x:v>影响主要操作</x:v>
      </x:c>
      <x:c r="H8" s="15" t="str">
        <x:v>测试准备负责人</x:v>
      </x:c>
      <x:c r="I8" s="15" t="str">
        <x:v>待处理</x:v>
      </x:c>
      <x:c r="J8" s="15" t="str">
        <x:v>这是测试阻塞，不是系统缺陷。未修改权限、配置、数据或运行服务；其余业务用例仍未测。</x:v>
      </x:c>
    </x:row>
    <x:row r="9" ht="65" customHeight="1">
      <x:c r="A9" s="15"/>
      <x:c r="B9" s="15"/>
      <x:c r="C9" s="15"/>
      <x:c r="D9" s="15"/>
      <x:c r="E9" s="15"/>
      <x:c r="F9" s="15"/>
      <x:c r="G9" s="15"/>
      <x:c r="H9" s="15"/>
      <x:c r="I9" s="15"/>
      <x:c r="J9" s="15"/>
    </x:row>
    <x:row r="10" ht="65" customHeight="1">
      <x:c r="A10" s="15"/>
      <x:c r="B10" s="15"/>
      <x:c r="C10" s="15"/>
      <x:c r="D10" s="15"/>
      <x:c r="E10" s="15"/>
      <x:c r="F10" s="15"/>
      <x:c r="G10" s="15"/>
      <x:c r="H10" s="15"/>
      <x:c r="I10" s="15"/>
      <x:c r="J10" s="15"/>
    </x:row>
    <x:row r="11" ht="65" customHeight="1">
      <x:c r="A11" s="15"/>
      <x:c r="B11" s="15"/>
      <x:c r="C11" s="15"/>
      <x:c r="D11" s="15"/>
      <x:c r="E11" s="15"/>
      <x:c r="F11" s="15"/>
      <x:c r="G11" s="15"/>
      <x:c r="H11" s="15"/>
      <x:c r="I11" s="15"/>
      <x:c r="J11" s="15"/>
    </x:row>
    <x:row r="12" ht="65" customHeight="1">
      <x:c r="A12" s="15"/>
      <x:c r="B12" s="15"/>
      <x:c r="C12" s="15"/>
      <x:c r="D12" s="15"/>
      <x:c r="E12" s="15"/>
      <x:c r="F12" s="15"/>
      <x:c r="G12" s="15"/>
      <x:c r="H12" s="15"/>
      <x:c r="I12" s="15"/>
      <x:c r="J12" s="15"/>
    </x:row>
    <x:row r="13" ht="65" customHeight="1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</x:row>
    <x:row r="14" ht="65" customHeight="1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</x:row>
    <x:row r="15" ht="65" customHeight="1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</x:row>
    <x:row r="16" ht="65" customHeight="1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</x:row>
    <x:row r="17" ht="65" customHeight="1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</x:row>
    <x:row r="18" ht="65" customHeight="1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</x:row>
    <x:row r="19" ht="65" customHeight="1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</x:row>
    <x:row r="20" ht="65" customHeight="1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</x:row>
    <x:row r="21" ht="65" customHeight="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</x:row>
    <x:row r="22" ht="65" customHeight="1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</x:row>
    <x:row r="23" ht="65" customHeight="1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</x:row>
    <x:row r="24" ht="65" customHeight="1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</x:row>
    <x:row r="25" ht="65" customHeight="1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</x:row>
    <x:row r="26" ht="65" customHeight="1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</x:row>
    <x:row r="27" ht="65" customHeight="1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</x:row>
    <x:row r="28" ht="65" customHeight="1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</x:row>
    <x:row r="29" ht="65" customHeight="1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</x:row>
    <x:row r="30" ht="65" customHeight="1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</x:row>
    <x:row r="31" ht="65" customHeight="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</x:row>
    <x:row r="32" ht="65" customHeight="1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</x:row>
    <x:row r="33" ht="65" customHeight="1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</x:row>
    <x:row r="34" ht="65" customHeight="1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</x:row>
    <x:row r="35" ht="65" customHeight="1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</x:row>
  </x:sheetData>
  <x:conditionalFormatting sqref="G6:G35">
    <x:cfRule type="cellIs" dxfId="8" priority="1" operator="equal">
      <x:formula>"必须先修"</x:formula>
    </x:cfRule>
  </x:conditionalFormatting>
  <x:conditionalFormatting sqref="I6:I35">
    <x:cfRule type="cellIs" dxfId="9" priority="2" operator="equal">
      <x:formula>"复测通过"</x:formula>
    </x:cfRule>
  </x:conditionalFormatting>
  <x:dataValidations count="2">
    <x:dataValidation type="list" sqref="G6:G35">
      <x:formula1>"必须先修,影响主要操作,一般问题,轻微体验"</x:formula1>
    </x:dataValidation>
    <x:dataValidation type="list" sqref="I6:I35">
      <x:formula1>"待处理,处理中,待复测,复测通过,暂缓并说明"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595069375d44356"/>
  </x:tableParts>
</x:worksheet>
</file>

<file path=xl/worksheets/sheet5.xml><?xml version="1.0" encoding="utf-8"?>
<x:worksheet xmlns:x="http://schemas.openxmlformats.org/spreadsheetml/2006/main">
  <x:sheetPr>
    <x:tabColor rgb="FF7C3AED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3" hidden="0" customWidth="1"/>
    <x:col min="2" max="2" width="14" hidden="0" customWidth="1"/>
    <x:col min="3" max="3" width="14" hidden="0" customWidth="1"/>
    <x:col min="4" max="4" width="20" hidden="0" customWidth="1"/>
    <x:col min="5" max="5" width="57" hidden="0" customWidth="1"/>
    <x:col min="6" max="6" width="58" hidden="0" customWidth="1"/>
    <x:col min="7" max="7" width="50" hidden="0" customWidth="1"/>
  </x:cols>
  <x:sheetData>
    <x:row r="1">
      <x:c r="A1" s="2"/>
    </x:row>
    <x:row r="2" ht="32" customHeight="1">
      <x:c r="A2" s="314" t="str">
        <x:v>自动与手动的8种组合</x:v>
      </x:c>
      <x:c r="B2" s="315"/>
      <x:c r="C2" s="315"/>
      <x:c r="D2" s="315"/>
      <x:c r="E2" s="315"/>
      <x:c r="F2" s="315"/>
      <x:c r="G2" s="315"/>
    </x:row>
    <x:row r="3" ht="34" customHeight="1">
      <x:c r="A3" s="316" t="str">
        <x:v>8种组合均先保证规则引擎开启且健康，再按类别启停规则。停止整个引擎另测，不能当成切手动。</x:v>
      </x:c>
      <x:c r="B3" s="316"/>
      <x:c r="C3" s="316"/>
      <x:c r="D3" s="316"/>
      <x:c r="E3" s="316"/>
      <x:c r="F3" s="316"/>
      <x:c r="G3" s="316"/>
    </x:row>
    <x:row r="5" ht="32" customHeight="1">
      <x:c r="A5" s="321" t="str">
        <x:v>组合</x:v>
      </x:c>
      <x:c r="B5" s="321" t="str">
        <x:v>核实告警</x:v>
      </x:c>
      <x:c r="C5" s="321" t="str">
        <x:v>发起反制</x:v>
      </x:c>
      <x:c r="D5" s="321" t="str">
        <x:v>通知处罚部门</x:v>
      </x:c>
      <x:c r="E5" s="321" t="str">
        <x:v>后台怎样设置</x:v>
      </x:c>
      <x:c r="F5" s="321" t="str">
        <x:v>前台应该怎样运行</x:v>
      </x:c>
      <x:c r="G5" s="321" t="str">
        <x:v>每轮要保存的记录</x:v>
      </x:c>
    </x:row>
    <x:row r="6" ht="142" customHeight="1">
      <x:c r="A6" s="467" t="str">
        <x:v>M1</x:v>
      </x:c>
      <x:c r="B6" s="467" t="str">
        <x:v>手动</x:v>
      </x:c>
      <x:c r="C6" s="467" t="str">
        <x:v>手动</x:v>
      </x:c>
      <x:c r="D6" s="467" t="str">
        <x:v>手动</x:v>
      </x:c>
      <x:c r="E6" s="468" t="str">
        <x:v>引擎开启并健康。
核实类：无启用规则，保留人工处理。
反制类：无启用规则，保留人工处理。
通知处罚类：无启用规则，保留人工处理。</x:v>
      </x:c>
      <x:c r="F6" s="468" t="str">
        <x:v>人员核实；短信与电话按约定观察。人员按申请审批发起反制。分别核对反制、干扰续链及两次回执。干扰完成后查看冻结交接，由有权人员手动发送处罚通知。送达、签收和办理结果分开。</x:v>
      </x:c>
      <x:c r="G6" s="468" t="str">
        <x:v>配置截图、规则版本、生效范围和时间、运行健康、本轮账号与设备、模拟批次、目标及告警编号。</x:v>
      </x:c>
    </x:row>
    <x:row r="7" ht="142" customHeight="1">
      <x:c r="A7" s="469" t="str">
        <x:v>M2</x:v>
      </x:c>
      <x:c r="B7" s="469" t="str">
        <x:v>手动</x:v>
      </x:c>
      <x:c r="C7" s="469" t="str">
        <x:v>手动</x:v>
      </x:c>
      <x:c r="D7" s="469" t="str">
        <x:v>自动</x:v>
      </x:c>
      <x:c r="E7" s="470" t="str">
        <x:v>引擎开启并健康。
核实类：无启用规则，保留人工处理。
反制类：无启用规则，保留人工处理。
通知处罚类：启用规则，全部条件满足。</x:v>
      </x:c>
      <x:c r="F7" s="470" t="str">
        <x:v>人员核实；短信与电话按约定观察。人员按申请审批发起反制。分别核对反制、干扰续链及两次回执。干扰完成后查看冻结交接，规则满足后自动发送处罚通知。送达、签收和办理结果分开。</x:v>
      </x:c>
      <x:c r="G7" s="470" t="str">
        <x:v>配置截图、规则版本、生效范围和时间、运行健康、本轮账号与设备、模拟批次、目标及告警编号。</x:v>
      </x:c>
    </x:row>
    <x:row r="8" ht="142" customHeight="1">
      <x:c r="A8" s="471" t="str">
        <x:v>M3</x:v>
      </x:c>
      <x:c r="B8" s="471" t="str">
        <x:v>手动</x:v>
      </x:c>
      <x:c r="C8" s="471" t="str">
        <x:v>自动</x:v>
      </x:c>
      <x:c r="D8" s="471" t="str">
        <x:v>手动</x:v>
      </x:c>
      <x:c r="E8" s="472" t="str">
        <x:v>引擎开启并健康。
核实类：无启用规则，保留人工处理。
反制类：启用规则，全部条件满足。
通知处罚类：无启用规则，保留人工处理。
须记录允许系统自动执行的有效授权依据。</x:v>
      </x:c>
      <x:c r="F8" s="472" t="str">
        <x:v>人员核实；短信与电话按约定观察。授权口径确认后系统发起反制。分别核对反制、干扰续链及两次回执。干扰完成后查看冻结交接，由有权人员手动发送处罚通知。送达、签收和办理结果分开。</x:v>
      </x:c>
      <x:c r="G8" s="472" t="str">
        <x:v>配置截图、规则版本、生效范围和时间、运行健康、本轮账号与设备、模拟批次、目标及告警编号。</x:v>
      </x:c>
    </x:row>
    <x:row r="9" ht="142" customHeight="1">
      <x:c r="A9" s="473" t="str">
        <x:v>M4</x:v>
      </x:c>
      <x:c r="B9" s="473" t="str">
        <x:v>手动</x:v>
      </x:c>
      <x:c r="C9" s="473" t="str">
        <x:v>自动</x:v>
      </x:c>
      <x:c r="D9" s="473" t="str">
        <x:v>自动</x:v>
      </x:c>
      <x:c r="E9" s="474" t="str">
        <x:v>引擎开启并健康。
核实类：无启用规则，保留人工处理。
反制类：启用规则，全部条件满足。
通知处罚类：启用规则，全部条件满足。
须记录允许系统自动执行的有效授权依据。</x:v>
      </x:c>
      <x:c r="F9" s="474" t="str">
        <x:v>人员核实；短信与电话按约定观察。授权口径确认后系统发起反制。分别核对反制、干扰续链及两次回执。干扰完成后查看冻结交接，规则满足后自动发送处罚通知。送达、签收和办理结果分开。</x:v>
      </x:c>
      <x:c r="G9" s="474" t="str">
        <x:v>配置截图、规则版本、生效范围和时间、运行健康、本轮账号与设备、模拟批次、目标及告警编号。</x:v>
      </x:c>
    </x:row>
    <x:row r="10" ht="142" customHeight="1">
      <x:c r="A10" s="475" t="str">
        <x:v>M5</x:v>
      </x:c>
      <x:c r="B10" s="475" t="str">
        <x:v>自动</x:v>
      </x:c>
      <x:c r="C10" s="475" t="str">
        <x:v>手动</x:v>
      </x:c>
      <x:c r="D10" s="475" t="str">
        <x:v>手动</x:v>
      </x:c>
      <x:c r="E10" s="476" t="str">
        <x:v>引擎开启并健康。
核实类：启用规则，全部条件满足。
反制类：无启用规则，保留人工处理。
通知处罚类：无启用规则，保留人工处理。</x:v>
      </x:c>
      <x:c r="F10" s="476" t="str">
        <x:v>系统核实；短信与电话按约定观察。人员按申请审批发起反制。分别核对反制、干扰续链及两次回执。干扰完成后查看冻结交接，由有权人员手动发送处罚通知。送达、签收和办理结果分开。</x:v>
      </x:c>
      <x:c r="G10" s="476" t="str">
        <x:v>配置截图、规则版本、生效范围和时间、运行健康、本轮账号与设备、模拟批次、目标及告警编号。</x:v>
      </x:c>
    </x:row>
    <x:row r="11" ht="142" customHeight="1">
      <x:c r="A11" s="477" t="str">
        <x:v>M6</x:v>
      </x:c>
      <x:c r="B11" s="477" t="str">
        <x:v>自动</x:v>
      </x:c>
      <x:c r="C11" s="477" t="str">
        <x:v>手动</x:v>
      </x:c>
      <x:c r="D11" s="477" t="str">
        <x:v>自动</x:v>
      </x:c>
      <x:c r="E11" s="478" t="str">
        <x:v>引擎开启并健康。
核实类：启用规则，全部条件满足。
反制类：无启用规则，保留人工处理。
通知处罚类：启用规则，全部条件满足。</x:v>
      </x:c>
      <x:c r="F11" s="478" t="str">
        <x:v>系统核实；短信与电话按约定观察。人员按申请审批发起反制。分别核对反制、干扰续链及两次回执。干扰完成后查看冻结交接，规则满足后自动发送处罚通知。送达、签收和办理结果分开。</x:v>
      </x:c>
      <x:c r="G11" s="478" t="str">
        <x:v>配置截图、规则版本、生效范围和时间、运行健康、本轮账号与设备、模拟批次、目标及告警编号。</x:v>
      </x:c>
    </x:row>
    <x:row r="12" ht="142" customHeight="1">
      <x:c r="A12" s="479" t="str">
        <x:v>M7</x:v>
      </x:c>
      <x:c r="B12" s="479" t="str">
        <x:v>自动</x:v>
      </x:c>
      <x:c r="C12" s="479" t="str">
        <x:v>自动</x:v>
      </x:c>
      <x:c r="D12" s="479" t="str">
        <x:v>手动</x:v>
      </x:c>
      <x:c r="E12" s="480" t="str">
        <x:v>引擎开启并健康。
核实类：启用规则，全部条件满足。
反制类：启用规则，全部条件满足。
通知处罚类：无启用规则，保留人工处理。
须记录允许系统自动执行的有效授权依据。</x:v>
      </x:c>
      <x:c r="F12" s="480" t="str">
        <x:v>系统核实；短信与电话按约定观察。授权口径确认后系统发起反制。分别核对反制、干扰续链及两次回执。干扰完成后查看冻结交接，由有权人员手动发送处罚通知。送达、签收和办理结果分开。</x:v>
      </x:c>
      <x:c r="G12" s="480" t="str">
        <x:v>配置截图、规则版本、生效范围和时间、运行健康、本轮账号与设备、模拟批次、目标及告警编号。</x:v>
      </x:c>
    </x:row>
    <x:row r="13" ht="142" customHeight="1">
      <x:c r="A13" s="481" t="str">
        <x:v>M8</x:v>
      </x:c>
      <x:c r="B13" s="481" t="str">
        <x:v>自动</x:v>
      </x:c>
      <x:c r="C13" s="481" t="str">
        <x:v>自动</x:v>
      </x:c>
      <x:c r="D13" s="481" t="str">
        <x:v>自动</x:v>
      </x:c>
      <x:c r="E13" s="482" t="str">
        <x:v>引擎开启并健康。
核实类：启用规则，全部条件满足。
反制类：启用规则，全部条件满足。
通知处罚类：启用规则，全部条件满足。
须记录允许系统自动执行的有效授权依据。</x:v>
      </x:c>
      <x:c r="F13" s="482" t="str">
        <x:v>系统核实；短信与电话按约定观察。授权口径确认后系统发起反制。分别核对反制、干扰续链及两次回执。干扰完成后查看冻结交接，规则满足后自动发送处罚通知。送达、签收和办理结果分开。</x:v>
      </x:c>
      <x:c r="G13" s="482" t="str">
        <x:v>配置截图、规则版本、生效范围和时间、运行健康、本轮账号与设备、模拟批次、目标及告警编号。</x:v>
      </x:c>
    </x:row>
    <x:row r="16" ht="32" customHeight="1">
      <x:c r="A16" s="321" t="str">
        <x:v>执行提醒</x:v>
      </x:c>
      <x:c r="B16" s="321" t="str"/>
      <x:c r="C16" s="321" t="str"/>
      <x:c r="D16" s="321" t="str"/>
      <x:c r="E16" s="321" t="str"/>
      <x:c r="F16" s="321" t="str"/>
      <x:c r="G16" s="321" t="str"/>
    </x:row>
    <x:row r="17" ht="64" customHeight="1">
      <x:c r="A17" s="354" t="str">
        <x:v>怎么理解自动</x:v>
      </x:c>
      <x:c r="B17" s="354"/>
      <x:c r="C17" s="354" t="str">
        <x:v>本轮要真正启用的，是对应类别的自动执行；不仅是“保存了一条规则”。服务运行正常、规则范围和时段有效、条件满足，才能验证自动动作。</x:v>
      </x:c>
      <x:c r="D17" s="354"/>
      <x:c r="E17" s="354"/>
      <x:c r="F17" s="354"/>
      <x:c r="G17" s="354"/>
    </x:row>
    <x:row r="18" ht="64" customHeight="1">
      <x:c r="A18" s="355" t="str">
        <x:v>怎么理解手动</x:v>
      </x:c>
      <x:c r="B18" s="355"/>
      <x:c r="C18" s="355" t="str">
        <x:v>手动组合是在引擎开启时停用对应类别的自动规则。关闭整个引擎不保证处罚通知停止自动发送。仍要核对人工权限。</x:v>
      </x:c>
      <x:c r="D18" s="355"/>
      <x:c r="E18" s="355"/>
      <x:c r="F18" s="355"/>
      <x:c r="G18" s="355"/>
    </x:row>
    <x:row r="19" ht="64" customHeight="1">
      <x:c r="A19" s="354" t="str">
        <x:v>当前后台入口</x:v>
      </x:c>
      <x:c r="B19" s="354"/>
      <x:c r="C19" s="354" t="str">
        <x:v>系统管理 → 规则管理：核实规则、反制规则、通知处罚规则。当前页面通过规则启停及生效设置决定是否自动处理；不假设存在一个控制所有流程的总开关。</x:v>
      </x:c>
      <x:c r="D19" s="354"/>
      <x:c r="E19" s="354"/>
      <x:c r="F19" s="354"/>
      <x:c r="G19" s="354"/>
    </x:row>
    <x:row r="20" ht="64" customHeight="1">
      <x:c r="A20" s="355" t="str">
        <x:v>条件不满足时</x:v>
      </x:c>
      <x:c r="B20" s="355"/>
      <x:c r="C20" s="355" t="str">
        <x:v>自动规则没有通过，不应误执行。人工入口按原有权限与业务条件决定是否可用，不能因某条规则未通过就一律隐藏，也不能借人工绕过安全条件。</x:v>
      </x:c>
      <x:c r="D20" s="355"/>
      <x:c r="E20" s="355"/>
      <x:c r="F20" s="355"/>
      <x:c r="G20" s="355"/>
    </x:row>
    <x:row r="21" ht="64" customHeight="1">
      <x:c r="A21" s="354" t="str">
        <x:v>直接反制另测</x:v>
      </x:c>
      <x:c r="B21" s="354"/>
      <x:c r="C21" s="354" t="str">
        <x:v>人员直接反制要求显式权限；系统规则发起采用特殊系统身份。会议要求的人为授权依据须另行核对，不能只凭DIRECT字段认定授权已合格。</x:v>
      </x:c>
      <x:c r="D21" s="354"/>
      <x:c r="E21" s="354"/>
      <x:c r="F21" s="354"/>
      <x:c r="G21" s="354"/>
    </x:row>
    <x:row r="22" ht="64" customHeight="1">
      <x:c r="A22" s="355" t="str">
        <x:v>三个开关互不替代</x:v>
      </x:c>
      <x:c r="B22" s="355"/>
      <x:c r="C22" s="355" t="str">
        <x:v>关掉自动核实，不等于关掉核实后的飞手短信电话；关掉自动反制，不等于禁止人工反制；通知处罚不等于作出处罚决定。</x:v>
      </x:c>
      <x:c r="D22" s="355"/>
      <x:c r="E22" s="355"/>
      <x:c r="F22" s="355"/>
      <x:c r="G22" s="355"/>
    </x:row>
    <x:row r="23" ht="64" customHeight="1">
      <x:c r="A23" s="354" t="str">
        <x:v>本轮先记录时长</x:v>
      </x:c>
      <x:c r="B23" s="354"/>
      <x:c r="C23" s="354" t="str">
        <x:v>当前业务约定短信送达后观察10秒，电话播放完成后再10秒；现代码短信3秒，与约定冲突。未有新确认前保留10秒验收基准，详见R16–R19。</x:v>
      </x:c>
      <x:c r="D23" s="354"/>
      <x:c r="E23" s="354"/>
      <x:c r="F23" s="354"/>
      <x:c r="G23" s="354"/>
    </x:row>
    <x:row r="24" ht="64" customHeight="1">
      <x:c r="A24" s="355" t="str">
        <x:v>切换什么时候生效</x:v>
      </x:c>
      <x:c r="B24" s="355"/>
      <x:c r="C24" s="355" t="str">
        <x:v>切换时记录保存、生效、授权创建、命令排队及实际发送时刻。排队后切手动是否阻断不能假定已实现，按R44核查；切换不是急停。</x:v>
      </x:c>
      <x:c r="D24" s="355"/>
      <x:c r="E24" s="355"/>
      <x:c r="F24" s="355"/>
      <x:c r="G24" s="355"/>
    </x:row>
    <x:row r="25" ht="64" customHeight="1">
      <x:c r="A25" s="354" t="str">
        <x:v>数据与通道</x:v>
      </x:c>
      <x:c r="B25" s="354"/>
      <x:c r="C25" s="354" t="str">
        <x:v>每种组合使用新批次和独立事件。只用获准的测试资料入口、模拟通知和测试设备；不要在结果表中直接写入成功。</x:v>
      </x:c>
      <x:c r="D25" s="354"/>
      <x:c r="E25" s="354"/>
      <x:c r="F25" s="354"/>
      <x:c r="G25" s="354"/>
    </x:row>
    <x:row r="26" ht="64" customHeight="1">
      <x:c r="A26" s="355" t="str">
        <x:v>验收要求</x:v>
      </x:c>
      <x:c r="B26" s="355"/>
      <x:c r="C26" s="355" t="str">
        <x:v>8种组合仍需测；正向自动反制必须有明确授权口径。缺少授权依据、渠道或账号填暂时测不了；不能删除该组合，也不能直接标通过。</x:v>
      </x:c>
      <x:c r="D26" s="355"/>
      <x:c r="E26" s="355"/>
      <x:c r="F26" s="355"/>
      <x:c r="G26" s="355"/>
    </x:row>
  </x:sheetData>
  <x:mergeCells>
    <x:mergeCell ref="A3:G3"/>
    <x:mergeCell ref="A17:B17"/>
    <x:mergeCell ref="C17:G17"/>
    <x:mergeCell ref="A18:B18"/>
    <x:mergeCell ref="C18:G18"/>
    <x:mergeCell ref="A19:B19"/>
    <x:mergeCell ref="C19:G19"/>
    <x:mergeCell ref="A20:B20"/>
    <x:mergeCell ref="C20:G20"/>
    <x:mergeCell ref="A21:B21"/>
    <x:mergeCell ref="C21:G21"/>
    <x:mergeCell ref="A22:B22"/>
    <x:mergeCell ref="C22:G22"/>
    <x:mergeCell ref="A23:B23"/>
    <x:mergeCell ref="C23:G23"/>
    <x:mergeCell ref="A24:B24"/>
    <x:mergeCell ref="C24:G24"/>
    <x:mergeCell ref="A25:B25"/>
    <x:mergeCell ref="C25:G25"/>
    <x:mergeCell ref="A26:B26"/>
    <x:mergeCell ref="C26:G2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DB2777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0" hidden="0" customWidth="1"/>
    <x:col min="2" max="2" width="33" hidden="0" customWidth="1"/>
    <x:col min="3" max="3" width="20" hidden="0" customWidth="1"/>
    <x:col min="4" max="4" width="56" hidden="0" customWidth="1"/>
    <x:col min="5" max="5" width="60" hidden="0" customWidth="1"/>
    <x:col min="6" max="6" width="35" hidden="0" customWidth="1"/>
    <x:col min="7" max="7" width="16" hidden="0" customWidth="1"/>
    <x:col min="8" max="8" width="13" hidden="0" customWidth="1"/>
    <x:col min="9" max="9" width="24" hidden="0" customWidth="1"/>
    <x:col min="10" max="10" width="35" hidden="0" customWidth="1"/>
  </x:cols>
  <x:sheetData>
    <x:row r="1">
      <x:c r="A1" s="2"/>
    </x:row>
    <x:row r="2" ht="32" customHeight="1">
      <x:c r="A2" s="314" t="str">
        <x:v>整体流程验收</x:v>
      </x:c>
      <x:c r="B2" s="315"/>
      <x:c r="C2" s="315"/>
      <x:c r="D2" s="315"/>
      <x:c r="E2" s="315"/>
      <x:c r="F2" s="315"/>
      <x:c r="G2" s="315"/>
      <x:c r="H2" s="315"/>
      <x:c r="I2" s="315"/>
      <x:c r="J2" s="315"/>
    </x:row>
    <x:row r="3" ht="34" customHeight="1">
      <x:c r="A3" s="316" t="str">
        <x:v>共36条完整流程。F01至F30为前台与业务联动，F31至F36为设备接入、掉线恢复、报修处理、核验失败、并发重试和退役。</x:v>
      </x:c>
      <x:c r="B3" s="316"/>
      <x:c r="C3" s="316"/>
      <x:c r="D3" s="316"/>
      <x:c r="E3" s="316"/>
      <x:c r="F3" s="316"/>
      <x:c r="G3" s="316"/>
      <x:c r="H3" s="316"/>
      <x:c r="I3" s="316"/>
      <x:c r="J3" s="316"/>
    </x:row>
    <x:row r="4" ht="34" customHeight="1">
      <x:c r="A4" s="316" t="str">
        <x:v>“流程结果”自动读取流程步骤记录。任何一步失败、受阻或没有测完，都不能显示整条流程通过。</x:v>
      </x:c>
      <x:c r="B4" s="316"/>
      <x:c r="C4" s="316"/>
      <x:c r="D4" s="316"/>
      <x:c r="E4" s="316"/>
      <x:c r="F4" s="316"/>
      <x:c r="G4" s="316"/>
      <x:c r="H4" s="316"/>
      <x:c r="I4" s="316"/>
      <x:c r="J4" s="316"/>
    </x:row>
    <x:row r="5" ht="32" customHeight="1">
      <x:c r="A5" s="321" t="str">
        <x:v>流程编号</x:v>
      </x:c>
      <x:c r="B5" s="321" t="str">
        <x:v>本轮场景</x:v>
      </x:c>
      <x:c r="C5" s="321" t="str">
        <x:v>配置组合</x:v>
      </x:c>
      <x:c r="D5" s="321" t="str">
        <x:v>本轮重点怎么做</x:v>
      </x:c>
      <x:c r="E5" s="321" t="str">
        <x:v>走到哪里才算跑通</x:v>
      </x:c>
      <x:c r="F5" s="321" t="str">
        <x:v>数据批次及事件编号</x:v>
      </x:c>
      <x:c r="G5" s="321" t="str">
        <x:v>流程结果</x:v>
      </x:c>
      <x:c r="H5" s="321" t="str">
        <x:v>负责人</x:v>
      </x:c>
      <x:c r="I5" s="321" t="str">
        <x:v>执行日期或轮次</x:v>
      </x:c>
      <x:c r="J5" s="321" t="str">
        <x:v>问题及证据索引</x:v>
      </x:c>
    </x:row>
    <x:row r="6" ht="122" customHeight="1">
      <x:c r="A6" s="467" t="str">
        <x:v>F01</x:v>
      </x:c>
      <x:c r="B6" s="467" t="str">
        <x:v>手动 / 手动 / 手动</x:v>
      </x:c>
      <x:c r="C6" s="467" t="str">
        <x:v>M1</x:v>
      </x:c>
      <x:c r="D6" s="468" t="str">
        <x:v>按对应组合跑同一事件：输入、研判、核实、飞手通知、反制、干扰续链、处罚通知、证据和统计。自动授权口径确认后才验正向执行。</x:v>
      </x:c>
      <x:c r="E6" s="468" t="str">
        <x:v>分别取得反制与干扰两次回执，父子授权可追溯；通知、送达、签收和办理结果正确。无依据的自动授权不能算通过。</x:v>
      </x:c>
      <x:c r="F6" s="483" t="str"/>
      <x:c r="G6" s="483" t="str">
        <x:f>IF(COUNTIF('流程步骤记录'!G6:G15,"有问题")&gt;0,"有问题",IF(COUNTIF('流程步骤记录'!G6:G15,"暂时测不了")&gt;0,"暂时测不了",IF(COUNTBLANK('流程步骤记录'!G6:G15)&gt;0,"未填结果",IF(COUNTIF('流程步骤记录'!G6:G15,"通过")=10,IF(COUNTBLANK('流程步骤记录'!H6:L15)&gt;0,"待补证据","通过"),IF(COUNTIF('流程步骤记录'!G6:G15,"还没测")=10,"还没测","进行中")))))</x:f>
        <x:v>暂时测不了</x:v>
      </x:c>
      <x:c r="H6" s="483" t="str">
        <x:v>Codex</x:v>
      </x:c>
      <x:c r="I6" s="536" t="n">
        <x:v>46292.413194444445</x:v>
      </x:c>
      <x:c r="J6" s="483" t="str">
        <x:v>BLOCK-001；未产生业务批次/事件</x:v>
      </x:c>
    </x:row>
    <x:row r="7" ht="122" customHeight="1">
      <x:c r="A7" s="469" t="str">
        <x:v>F02</x:v>
      </x:c>
      <x:c r="B7" s="469" t="str">
        <x:v>手动 / 手动 / 自动</x:v>
      </x:c>
      <x:c r="C7" s="469" t="str">
        <x:v>M2</x:v>
      </x:c>
      <x:c r="D7" s="470" t="str">
        <x:v>按对应组合跑同一事件：输入、研判、核实、飞手通知、反制、干扰续链、处罚通知、证据和统计。自动授权口径确认后才验正向执行。</x:v>
      </x:c>
      <x:c r="E7" s="470" t="str">
        <x:v>分别取得反制与干扰两次回执，父子授权可追溯；通知、送达、签收和办理结果正确。无依据的自动授权不能算通过。</x:v>
      </x:c>
      <x:c r="F7" s="483" t="str"/>
      <x:c r="G7" s="483" t="str">
        <x:f>IF(COUNTIF('流程步骤记录'!G16:G25,"有问题")&gt;0,"有问题",IF(COUNTIF('流程步骤记录'!G16:G25,"暂时测不了")&gt;0,"暂时测不了",IF(COUNTBLANK('流程步骤记录'!G16:G25)&gt;0,"未填结果",IF(COUNTIF('流程步骤记录'!G16:G25,"通过")=10,IF(COUNTBLANK('流程步骤记录'!H16:L25)&gt;0,"待补证据","通过"),IF(COUNTIF('流程步骤记录'!G16:G25,"还没测")=10,"还没测","进行中")))))</x:f>
        <x:v>还没测</x:v>
      </x:c>
      <x:c r="H7" s="483" t="str"/>
      <x:c r="I7" s="483" t="str"/>
      <x:c r="J7" s="483" t="str"/>
    </x:row>
    <x:row r="8" ht="122" customHeight="1">
      <x:c r="A8" s="471" t="str">
        <x:v>F03</x:v>
      </x:c>
      <x:c r="B8" s="471" t="str">
        <x:v>手动 / 自动 / 手动</x:v>
      </x:c>
      <x:c r="C8" s="471" t="str">
        <x:v>M3</x:v>
      </x:c>
      <x:c r="D8" s="472" t="str">
        <x:v>按对应组合跑同一事件：输入、研判、核实、飞手通知、反制、干扰续链、处罚通知、证据和统计。自动授权口径确认后才验正向执行。</x:v>
      </x:c>
      <x:c r="E8" s="472" t="str">
        <x:v>分别取得反制与干扰两次回执，父子授权可追溯；通知、送达、签收和办理结果正确。无依据的自动授权不能算通过。</x:v>
      </x:c>
      <x:c r="F8" s="483" t="str"/>
      <x:c r="G8" s="483" t="str">
        <x:f>IF(COUNTIF('流程步骤记录'!G26:G35,"有问题")&gt;0,"有问题",IF(COUNTIF('流程步骤记录'!G26:G35,"暂时测不了")&gt;0,"暂时测不了",IF(COUNTBLANK('流程步骤记录'!G26:G35)&gt;0,"未填结果",IF(COUNTIF('流程步骤记录'!G26:G35,"通过")=10,IF(COUNTBLANK('流程步骤记录'!H26:L35)&gt;0,"待补证据","通过"),IF(COUNTIF('流程步骤记录'!G26:G35,"还没测")=10,"还没测","进行中")))))</x:f>
        <x:v>还没测</x:v>
      </x:c>
      <x:c r="H8" s="483" t="str"/>
      <x:c r="I8" s="483" t="str"/>
      <x:c r="J8" s="483" t="str"/>
    </x:row>
    <x:row r="9" ht="122" customHeight="1">
      <x:c r="A9" s="473" t="str">
        <x:v>F04</x:v>
      </x:c>
      <x:c r="B9" s="473" t="str">
        <x:v>手动 / 自动 / 自动</x:v>
      </x:c>
      <x:c r="C9" s="473" t="str">
        <x:v>M4</x:v>
      </x:c>
      <x:c r="D9" s="474" t="str">
        <x:v>按对应组合跑同一事件：输入、研判、核实、飞手通知、反制、干扰续链、处罚通知、证据和统计。自动授权口径确认后才验正向执行。</x:v>
      </x:c>
      <x:c r="E9" s="474" t="str">
        <x:v>分别取得反制与干扰两次回执，父子授权可追溯；通知、送达、签收和办理结果正确。无依据的自动授权不能算通过。</x:v>
      </x:c>
      <x:c r="F9" s="483" t="str"/>
      <x:c r="G9" s="483" t="str">
        <x:f>IF(COUNTIF('流程步骤记录'!G36:G45,"有问题")&gt;0,"有问题",IF(COUNTIF('流程步骤记录'!G36:G45,"暂时测不了")&gt;0,"暂时测不了",IF(COUNTBLANK('流程步骤记录'!G36:G45)&gt;0,"未填结果",IF(COUNTIF('流程步骤记录'!G36:G45,"通过")=10,IF(COUNTBLANK('流程步骤记录'!H36:L45)&gt;0,"待补证据","通过"),IF(COUNTIF('流程步骤记录'!G36:G45,"还没测")=10,"还没测","进行中")))))</x:f>
        <x:v>还没测</x:v>
      </x:c>
      <x:c r="H9" s="483" t="str"/>
      <x:c r="I9" s="483" t="str"/>
      <x:c r="J9" s="483" t="str"/>
    </x:row>
    <x:row r="10" ht="122" customHeight="1">
      <x:c r="A10" s="475" t="str">
        <x:v>F05</x:v>
      </x:c>
      <x:c r="B10" s="475" t="str">
        <x:v>自动 / 手动 / 手动</x:v>
      </x:c>
      <x:c r="C10" s="475" t="str">
        <x:v>M5</x:v>
      </x:c>
      <x:c r="D10" s="476" t="str">
        <x:v>按对应组合跑同一事件：输入、研判、核实、飞手通知、反制、干扰续链、处罚通知、证据和统计。自动授权口径确认后才验正向执行。</x:v>
      </x:c>
      <x:c r="E10" s="476" t="str">
        <x:v>分别取得反制与干扰两次回执，父子授权可追溯；通知、送达、签收和办理结果正确。无依据的自动授权不能算通过。</x:v>
      </x:c>
      <x:c r="F10" s="483" t="str"/>
      <x:c r="G10" s="483" t="str">
        <x:f>IF(COUNTIF('流程步骤记录'!G46:G55,"有问题")&gt;0,"有问题",IF(COUNTIF('流程步骤记录'!G46:G55,"暂时测不了")&gt;0,"暂时测不了",IF(COUNTBLANK('流程步骤记录'!G46:G55)&gt;0,"未填结果",IF(COUNTIF('流程步骤记录'!G46:G55,"通过")=10,IF(COUNTBLANK('流程步骤记录'!H46:L55)&gt;0,"待补证据","通过"),IF(COUNTIF('流程步骤记录'!G46:G55,"还没测")=10,"还没测","进行中")))))</x:f>
        <x:v>还没测</x:v>
      </x:c>
      <x:c r="H10" s="483" t="str"/>
      <x:c r="I10" s="483" t="str"/>
      <x:c r="J10" s="483" t="str"/>
    </x:row>
    <x:row r="11" ht="122" customHeight="1">
      <x:c r="A11" s="477" t="str">
        <x:v>F06</x:v>
      </x:c>
      <x:c r="B11" s="477" t="str">
        <x:v>自动 / 手动 / 自动</x:v>
      </x:c>
      <x:c r="C11" s="477" t="str">
        <x:v>M6</x:v>
      </x:c>
      <x:c r="D11" s="478" t="str">
        <x:v>按对应组合跑同一事件：输入、研判、核实、飞手通知、反制、干扰续链、处罚通知、证据和统计。自动授权口径确认后才验正向执行。</x:v>
      </x:c>
      <x:c r="E11" s="478" t="str">
        <x:v>分别取得反制与干扰两次回执，父子授权可追溯；通知、送达、签收和办理结果正确。无依据的自动授权不能算通过。</x:v>
      </x:c>
      <x:c r="F11" s="483" t="str"/>
      <x:c r="G11" s="483" t="str">
        <x:f>IF(COUNTIF('流程步骤记录'!G56:G65,"有问题")&gt;0,"有问题",IF(COUNTIF('流程步骤记录'!G56:G65,"暂时测不了")&gt;0,"暂时测不了",IF(COUNTBLANK('流程步骤记录'!G56:G65)&gt;0,"未填结果",IF(COUNTIF('流程步骤记录'!G56:G65,"通过")=10,IF(COUNTBLANK('流程步骤记录'!H56:L65)&gt;0,"待补证据","通过"),IF(COUNTIF('流程步骤记录'!G56:G65,"还没测")=10,"还没测","进行中")))))</x:f>
        <x:v>还没测</x:v>
      </x:c>
      <x:c r="H11" s="483" t="str"/>
      <x:c r="I11" s="483" t="str"/>
      <x:c r="J11" s="483" t="str"/>
    </x:row>
    <x:row r="12" ht="122" customHeight="1">
      <x:c r="A12" s="479" t="str">
        <x:v>F07</x:v>
      </x:c>
      <x:c r="B12" s="479" t="str">
        <x:v>自动 / 自动 / 手动</x:v>
      </x:c>
      <x:c r="C12" s="479" t="str">
        <x:v>M7</x:v>
      </x:c>
      <x:c r="D12" s="480" t="str">
        <x:v>按对应组合跑同一事件：输入、研判、核实、飞手通知、反制、干扰续链、处罚通知、证据和统计。自动授权口径确认后才验正向执行。</x:v>
      </x:c>
      <x:c r="E12" s="480" t="str">
        <x:v>分别取得反制与干扰两次回执，父子授权可追溯；通知、送达、签收和办理结果正确。无依据的自动授权不能算通过。</x:v>
      </x:c>
      <x:c r="F12" s="483" t="str"/>
      <x:c r="G12" s="483" t="str">
        <x:f>IF(COUNTIF('流程步骤记录'!G66:G75,"有问题")&gt;0,"有问题",IF(COUNTIF('流程步骤记录'!G66:G75,"暂时测不了")&gt;0,"暂时测不了",IF(COUNTBLANK('流程步骤记录'!G66:G75)&gt;0,"未填结果",IF(COUNTIF('流程步骤记录'!G66:G75,"通过")=10,IF(COUNTBLANK('流程步骤记录'!H66:L75)&gt;0,"待补证据","通过"),IF(COUNTIF('流程步骤记录'!G66:G75,"还没测")=10,"还没测","进行中")))))</x:f>
        <x:v>还没测</x:v>
      </x:c>
      <x:c r="H12" s="483" t="str"/>
      <x:c r="I12" s="483" t="str"/>
      <x:c r="J12" s="483" t="str"/>
    </x:row>
    <x:row r="13" ht="122" customHeight="1">
      <x:c r="A13" s="481" t="str">
        <x:v>F08</x:v>
      </x:c>
      <x:c r="B13" s="481" t="str">
        <x:v>自动 / 自动 / 自动</x:v>
      </x:c>
      <x:c r="C13" s="481" t="str">
        <x:v>M8</x:v>
      </x:c>
      <x:c r="D13" s="482" t="str">
        <x:v>按对应组合跑同一事件：输入、研判、核实、飞手通知、反制、干扰续链、处罚通知、证据和统计。自动授权口径确认后才验正向执行。</x:v>
      </x:c>
      <x:c r="E13" s="482" t="str">
        <x:v>分别取得反制与干扰两次回执，父子授权可追溯；通知、送达、签收和办理结果正确。无依据的自动授权不能算通过。</x:v>
      </x:c>
      <x:c r="F13" s="483" t="str"/>
      <x:c r="G13" s="483" t="str">
        <x:f>IF(COUNTIF('流程步骤记录'!G76:G85,"有问题")&gt;0,"有问题",IF(COUNTIF('流程步骤记录'!G76:G85,"暂时测不了")&gt;0,"暂时测不了",IF(COUNTBLANK('流程步骤记录'!G76:G85)&gt;0,"未填结果",IF(COUNTIF('流程步骤记录'!G76:G85,"通过")=10,IF(COUNTBLANK('流程步骤记录'!H76:L85)&gt;0,"待补证据","通过"),IF(COUNTIF('流程步骤记录'!G76:G85,"还没测")=10,"还没测","进行中")))))</x:f>
        <x:v>还没测</x:v>
      </x:c>
      <x:c r="H13" s="483" t="str"/>
      <x:c r="I13" s="483" t="str"/>
      <x:c r="J13" s="483" t="str"/>
    </x:row>
    <x:row r="14" ht="122" customHeight="1">
      <x:c r="A14" s="467" t="str">
        <x:v>F09</x:v>
      </x:c>
      <x:c r="B14" s="467" t="str">
        <x:v>正常飞行不误触发</x:v>
      </x:c>
      <x:c r="C14" s="467" t="str">
        <x:v>M8</x:v>
      </x:c>
      <x:c r="D14" s="468" t="str">
        <x:v>提供有效计划并持续沿计划飞行。</x:v>
      </x:c>
      <x:c r="E14" s="468" t="str">
        <x:v>合法依据明确，不产生无故通知、反制或处罚交接。</x:v>
      </x:c>
      <x:c r="F14" s="483" t="str"/>
      <x:c r="G14" s="483" t="str">
        <x:f>IF(COUNTIF('流程步骤记录'!G86:G95,"有问题")&gt;0,"有问题",IF(COUNTIF('流程步骤记录'!G86:G95,"暂时测不了")&gt;0,"暂时测不了",IF(COUNTBLANK('流程步骤记录'!G86:G95)&gt;0,"未填结果",IF(COUNTIF('流程步骤记录'!G86:G95,"通过")=10,IF(COUNTBLANK('流程步骤记录'!H86:L95)&gt;0,"待补证据","通过"),IF(COUNTIF('流程步骤记录'!G86:G95,"还没测")=10,"还没测","进行中")))))</x:f>
        <x:v>还没测</x:v>
      </x:c>
      <x:c r="H14" s="483" t="str"/>
      <x:c r="I14" s="483" t="str"/>
      <x:c r="J14" s="483" t="str"/>
    </x:row>
    <x:row r="15" ht="122" customHeight="1">
      <x:c r="A15" s="469" t="str">
        <x:v>F10</x:v>
      </x:c>
      <x:c r="B15" s="469" t="str">
        <x:v>手动核实为误报</x:v>
      </x:c>
      <x:c r="C15" s="469" t="str">
        <x:v>M4</x:v>
      </x:c>
      <x:c r="D15" s="470" t="str">
        <x:v>待核实事件由人员判误报。</x:v>
      </x:c>
      <x:c r="E15" s="470" t="str">
        <x:v>后续虽配置自动，仍不能发短信、反制或通知处罚；误报历史保留。</x:v>
      </x:c>
      <x:c r="F15" s="483" t="str"/>
      <x:c r="G15" s="483" t="str">
        <x:f>IF(COUNTIF('流程步骤记录'!G96:G105,"有问题")&gt;0,"有问题",IF(COUNTIF('流程步骤记录'!G96:G105,"暂时测不了")&gt;0,"暂时测不了",IF(COUNTBLANK('流程步骤记录'!G96:G105)&gt;0,"未填结果",IF(COUNTIF('流程步骤记录'!G96:G105,"通过")=10,IF(COUNTBLANK('流程步骤记录'!H96:L105)&gt;0,"待补证据","通过"),IF(COUNTIF('流程步骤记录'!G96:G105,"还没测")=10,"还没测","进行中")))))</x:f>
        <x:v>还没测</x:v>
      </x:c>
      <x:c r="H15" s="483" t="str"/>
      <x:c r="I15" s="483" t="str"/>
      <x:c r="J15" s="483" t="str"/>
    </x:row>
    <x:row r="16" ht="122" customHeight="1">
      <x:c r="A16" s="471" t="str">
        <x:v>F11</x:v>
      </x:c>
      <x:c r="B16" s="471" t="str">
        <x:v>短信后飞离</x:v>
      </x:c>
      <x:c r="C16" s="471" t="str">
        <x:v>M8</x:v>
      </x:c>
      <x:c r="D16" s="472" t="str">
        <x:v>短信送达后，目标持续上报飞离区域的有效位置。</x:v>
      </x:c>
      <x:c r="E16" s="472" t="str">
        <x:v>通知升级及反制停止；保留告警确认和短信记录，不把移送规则当作处罚依据。</x:v>
      </x:c>
      <x:c r="F16" s="483" t="str"/>
      <x:c r="G16" s="483" t="str">
        <x:f>IF(COUNTIF('流程步骤记录'!G106:G115,"有问题")&gt;0,"有问题",IF(COUNTIF('流程步骤记录'!G106:G115,"暂时测不了")&gt;0,"暂时测不了",IF(COUNTBLANK('流程步骤记录'!G106:G115)&gt;0,"未填结果",IF(COUNTIF('流程步骤记录'!G106:G115,"通过")=10,IF(COUNTBLANK('流程步骤记录'!H106:L115)&gt;0,"待补证据","通过"),IF(COUNTIF('流程步骤记录'!G106:G115,"还没测")=10,"还没测","进行中")))))</x:f>
        <x:v>还没测</x:v>
      </x:c>
      <x:c r="H16" s="483" t="str"/>
      <x:c r="I16" s="483" t="str"/>
      <x:c r="J16" s="483" t="str"/>
    </x:row>
    <x:row r="17" ht="122" customHeight="1">
      <x:c r="A17" s="473" t="str">
        <x:v>F12</x:v>
      </x:c>
      <x:c r="B17" s="473" t="str">
        <x:v>电话后飞离</x:v>
      </x:c>
      <x:c r="C17" s="473" t="str">
        <x:v>M8</x:v>
      </x:c>
      <x:c r="D17" s="474" t="str">
        <x:v>短信后仍在域，电话播放完成后飞离并继续上报。</x:v>
      </x:c>
      <x:c r="E17" s="474" t="str">
        <x:v>第二段观察确认飞离，不继续反制；电话事实保留。</x:v>
      </x:c>
      <x:c r="F17" s="483" t="str"/>
      <x:c r="G17" s="483" t="str">
        <x:f>IF(COUNTIF('流程步骤记录'!G116:G125,"有问题")&gt;0,"有问题",IF(COUNTIF('流程步骤记录'!G116:G125,"暂时测不了")&gt;0,"暂时测不了",IF(COUNTBLANK('流程步骤记录'!G116:G125)&gt;0,"未填结果",IF(COUNTIF('流程步骤记录'!G116:G125,"通过")=10,IF(COUNTBLANK('流程步骤记录'!H116:L125)&gt;0,"待补证据","通过"),IF(COUNTIF('流程步骤记录'!G116:G125,"还没测")=10,"还没测","进行中")))))</x:f>
        <x:v>还没测</x:v>
      </x:c>
      <x:c r="H17" s="483" t="str"/>
      <x:c r="I17" s="483" t="str"/>
      <x:c r="J17" s="483" t="str"/>
    </x:row>
    <x:row r="18" ht="122" customHeight="1">
      <x:c r="A18" s="475" t="str">
        <x:v>F13</x:v>
      </x:c>
      <x:c r="B18" s="475" t="str">
        <x:v>通知后停止上报</x:v>
      </x:c>
      <x:c r="C18" s="475" t="str">
        <x:v>M8</x:v>
      </x:c>
      <x:c r="D18" s="476" t="str">
        <x:v>短信送达后停掉主辅目标位置，设备心跳保留。</x:v>
      </x:c>
      <x:c r="E18" s="476" t="str">
        <x:v>显示无法确认离开；不误打电话或误反制，不能拿旧位置继续执行。</x:v>
      </x:c>
      <x:c r="F18" s="483" t="str"/>
      <x:c r="G18" s="483" t="str">
        <x:f>IF(COUNTIF('流程步骤记录'!G126:G135,"有问题")&gt;0,"有问题",IF(COUNTIF('流程步骤记录'!G126:G135,"暂时测不了")&gt;0,"暂时测不了",IF(COUNTBLANK('流程步骤记录'!G126:G135)&gt;0,"未填结果",IF(COUNTIF('流程步骤记录'!G126:G135,"通过")=10,IF(COUNTBLANK('流程步骤记录'!H126:L135)&gt;0,"待补证据","通过"),IF(COUNTIF('流程步骤记录'!G126:G135,"还没测")=10,"还没测","进行中")))))</x:f>
        <x:v>还没测</x:v>
      </x:c>
      <x:c r="H18" s="483" t="str"/>
      <x:c r="I18" s="483" t="str"/>
      <x:c r="J18" s="483" t="str"/>
    </x:row>
    <x:row r="19" ht="122" customHeight="1">
      <x:c r="A19" s="477" t="str">
        <x:v>F14</x:v>
      </x:c>
      <x:c r="B19" s="477" t="str">
        <x:v>没有核验飞手或渠道不可用</x:v>
      </x:c>
      <x:c r="C19" s="477" t="str">
        <x:v>M8</x:v>
      </x:c>
      <x:c r="D19" s="478" t="str">
        <x:v>F14必须分别完成R40、R41、R42，三个子批次均留证。</x:v>
      </x:c>
      <x:c r="E19" s="478" t="str">
        <x:v>无飞手/无短信不假造通知；电话不可用仍先短信观察。符合其他条件时才进入后续反制。</x:v>
      </x:c>
      <x:c r="F19" s="483" t="str"/>
      <x:c r="G19" s="483" t="str">
        <x:f>IF(COUNTIF('流程步骤记录'!G136:G145,"有问题")&gt;0,"有问题",IF(COUNTIF('流程步骤记录'!G136:G145,"暂时测不了")&gt;0,"暂时测不了",IF(COUNTBLANK('流程步骤记录'!G136:G145)&gt;0,"未填结果",IF(COUNTIF('流程步骤记录'!G136:G145,"通过")=10,IF(COUNTIFS('补充测试清单'!A6:A53,"R40",'补充测试清单'!M6:M53,"记录齐全")+COUNTIFS('补充测试清单'!A6:A53,"R41",'补充测试清单'!M6:M53,"记录齐全")+COUNTIFS('补充测试清单'!A6:A53,"R42",'补充测试清单'!M6:M53,"记录齐全")&lt;3,"子场景未完成",IF(COUNTBLANK('流程步骤记录'!H136:L145)&gt;0,"待补证据","通过")),IF(COUNTIF('流程步骤记录'!G136:G145,"还没测")=10,"还没测","进行中")))))</x:f>
        <x:v>还没测</x:v>
      </x:c>
      <x:c r="H19" s="483" t="str"/>
      <x:c r="I19" s="483" t="str"/>
      <x:c r="J19" s="483" t="str"/>
    </x:row>
    <x:row r="20" ht="122" customHeight="1">
      <x:c r="A20" s="479" t="str">
        <x:v>F15</x:v>
      </x:c>
      <x:c r="B20" s="479" t="str">
        <x:v>自动改手动</x:v>
      </x:c>
      <x:c r="C20" s="479" t="str">
        <x:v>M8→M1</x:v>
      </x:c>
      <x:c r="D20" s="480" t="str">
        <x:v>F15分别完成R43、R44、R45，不能只测一个时机。</x:v>
      </x:c>
      <x:c r="E20" s="480" t="str">
        <x:v>保存生效后未发送动作停止自动推进，有权人员可接手；已发动作继续核对实际结果。</x:v>
      </x:c>
      <x:c r="F20" s="483" t="str"/>
      <x:c r="G20" s="483" t="str">
        <x:f>IF(COUNTIF('流程步骤记录'!G146:G155,"有问题")&gt;0,"有问题",IF(COUNTIF('流程步骤记录'!G146:G155,"暂时测不了")&gt;0,"暂时测不了",IF(COUNTBLANK('流程步骤记录'!G146:G155)&gt;0,"未填结果",IF(COUNTIF('流程步骤记录'!G146:G155,"通过")=10,IF(COUNTIFS('补充测试清单'!A6:A53,"R43",'补充测试清单'!M6:M53,"记录齐全")+COUNTIFS('补充测试清单'!A6:A53,"R44",'补充测试清单'!M6:M53,"记录齐全")+COUNTIFS('补充测试清单'!A6:A53,"R45",'补充测试清单'!M6:M53,"记录齐全")&lt;3,"子场景未完成",IF(COUNTBLANK('流程步骤记录'!H146:L155)&gt;0,"待补证据","通过")),IF(COUNTIF('流程步骤记录'!G146:G155,"还没测")=10,"还没测","进行中")))))</x:f>
        <x:v>还没测</x:v>
      </x:c>
      <x:c r="H20" s="483" t="str"/>
      <x:c r="I20" s="483" t="str"/>
      <x:c r="J20" s="483" t="str"/>
    </x:row>
    <x:row r="21" ht="122" customHeight="1">
      <x:c r="A21" s="481" t="str">
        <x:v>F16</x:v>
      </x:c>
      <x:c r="B21" s="481" t="str">
        <x:v>手动改自动</x:v>
      </x:c>
      <x:c r="C21" s="481" t="str">
        <x:v>M1→M8</x:v>
      </x:c>
      <x:c r="D21" s="482" t="str">
        <x:v>F16须分别记录核实、反制、通知三个切换子批次；全部完成后才汇总。</x:v>
      </x:c>
      <x:c r="E21" s="482" t="str">
        <x:v>生效后重新检查当前依据和条件，只执行尚未完成的动作；不会重办已完成步骤。</x:v>
      </x:c>
      <x:c r="F21" s="483" t="str"/>
      <x:c r="G21" s="483" t="str">
        <x:f>IF(COUNTIF('流程步骤记录'!G156:G165,"有问题")&gt;0,"有问题",IF(COUNTIF('流程步骤记录'!G156:G165,"暂时测不了")&gt;0,"暂时测不了",IF(COUNTBLANK('流程步骤记录'!G156:G165)&gt;0,"未填结果",IF(COUNTIF('流程步骤记录'!G156:G165,"通过")=10,IF(COUNTBLANK('流程步骤记录'!H156:L165)&gt;0,"待补证据","通过"),IF(COUNTIF('流程步骤记录'!G156:G165,"还没测")=10,"还没测","进行中")))))</x:f>
        <x:v>还没测</x:v>
      </x:c>
      <x:c r="H21" s="483" t="str"/>
      <x:c r="I21" s="483" t="str"/>
      <x:c r="J21" s="483" t="str"/>
    </x:row>
    <x:row r="22" ht="122" customHeight="1">
      <x:c r="A22" s="467" t="str">
        <x:v>F17</x:v>
      </x:c>
      <x:c r="B22" s="467" t="str">
        <x:v>自动与人员同时操作</x:v>
      </x:c>
      <x:c r="C22" s="467" t="str">
        <x:v>M8</x:v>
      </x:c>
      <x:c r="D22" s="468" t="str">
        <x:v>F17须分别记录核实、反制、通知三个并发子批次及动作数量。</x:v>
      </x:c>
      <x:c r="E22" s="468" t="str">
        <x:v>同一事件同一步只产生一次有效动作；冲突有提示，不重复发设备命令或通知。</x:v>
      </x:c>
      <x:c r="F22" s="483" t="str"/>
      <x:c r="G22" s="483" t="str">
        <x:f>IF(COUNTIF('流程步骤记录'!G166:G175,"有问题")&gt;0,"有问题",IF(COUNTIF('流程步骤记录'!G166:G175,"暂时测不了")&gt;0,"暂时测不了",IF(COUNTBLANK('流程步骤记录'!G166:G175)&gt;0,"未填结果",IF(COUNTIF('流程步骤记录'!G166:G175,"通过")=10,IF(COUNTBLANK('流程步骤记录'!H166:L175)&gt;0,"待补证据","通过"),IF(COUNTIF('流程步骤记录'!G166:G175,"还没测")=10,"还没测","进行中")))))</x:f>
        <x:v>还没测</x:v>
      </x:c>
      <x:c r="H22" s="483" t="str"/>
      <x:c r="I22" s="483" t="str"/>
      <x:c r="J22" s="483" t="str"/>
    </x:row>
    <x:row r="23" ht="122" customHeight="1">
      <x:c r="A23" s="469" t="str">
        <x:v>F18</x:v>
      </x:c>
      <x:c r="B23" s="469" t="str">
        <x:v>规则不满足后再满足</x:v>
      </x:c>
      <x:c r="C23" s="469" t="str">
        <x:v>M8</x:v>
      </x:c>
      <x:c r="D23" s="470" t="str">
        <x:v>F18须分别记录时间、范围、阈值、持续观测、数据不足五类条件及边界。</x:v>
      </x:c>
      <x:c r="E23" s="470" t="str">
        <x:v>先停在对应步骤并说明原因，不能自动通过；有效条件满足后只继续一次。</x:v>
      </x:c>
      <x:c r="F23" s="483" t="str"/>
      <x:c r="G23" s="483" t="str">
        <x:f>IF(COUNTIF('流程步骤记录'!G176:G185,"有问题")&gt;0,"有问题",IF(COUNTIF('流程步骤记录'!G176:G185,"暂时测不了")&gt;0,"暂时测不了",IF(COUNTBLANK('流程步骤记录'!G176:G185)&gt;0,"未填结果",IF(COUNTIF('流程步骤记录'!G176:G185,"通过")=10,IF(COUNTBLANK('流程步骤记录'!H176:L185)&gt;0,"待补证据","通过"),IF(COUNTIF('流程步骤记录'!G176:G185,"还没测")=10,"还没测","进行中")))))</x:f>
        <x:v>还没测</x:v>
      </x:c>
      <x:c r="H23" s="483" t="str"/>
      <x:c r="I23" s="483" t="str"/>
      <x:c r="J23" s="483" t="str"/>
    </x:row>
    <x:row r="24" ht="122" customHeight="1">
      <x:c r="A24" s="471" t="str">
        <x:v>F19</x:v>
      </x:c>
      <x:c r="B24" s="471" t="str">
        <x:v>服务暂停或断网后恢复</x:v>
      </x:c>
      <x:c r="C24" s="471" t="str">
        <x:v>M8</x:v>
      </x:c>
      <x:c r="D24" s="472" t="str">
        <x:v>分别模拟执行服务未启用/异常、页面断网、后台处理重启，然后恢复。</x:v>
      </x:c>
      <x:c r="E24" s="472" t="str">
        <x:v>未启用或异常如实显示；恢复后对账，不重复核实、通知、下发或移送。</x:v>
      </x:c>
      <x:c r="F24" s="483" t="str"/>
      <x:c r="G24" s="483" t="str">
        <x:f>IF(COUNTIF('流程步骤记录'!G186:G195,"有问题")&gt;0,"有问题",IF(COUNTIF('流程步骤记录'!G186:G195,"暂时测不了")&gt;0,"暂时测不了",IF(COUNTBLANK('流程步骤记录'!G186:G195)&gt;0,"未填结果",IF(COUNTIF('流程步骤记录'!G186:G195,"通过")=10,IF(COUNTBLANK('流程步骤记录'!H186:L195)&gt;0,"待补证据","通过"),IF(COUNTIF('流程步骤记录'!G186:G195,"还没测")=10,"还没测","进行中")))))</x:f>
        <x:v>还没测</x:v>
      </x:c>
      <x:c r="H24" s="483" t="str"/>
      <x:c r="I24" s="483" t="str"/>
      <x:c r="J24" s="483" t="str"/>
    </x:row>
    <x:row r="25" ht="122" customHeight="1">
      <x:c r="A25" s="473" t="str">
        <x:v>F20</x:v>
      </x:c>
      <x:c r="B25" s="473" t="str">
        <x:v>设备失败并急停核查</x:v>
      </x:c>
      <x:c r="C25" s="473" t="str">
        <x:v>M8</x:v>
      </x:c>
      <x:c r="D25" s="474" t="str">
        <x:v>分别模拟设备忙、命令失败、结果未知；另运行一批执行中急停。</x:v>
      </x:c>
      <x:c r="E25" s="474" t="str">
        <x:v>失败不能当成功，不虚构后续移送；急停需要回复与实际停机核查，切换模式不替代急停。</x:v>
      </x:c>
      <x:c r="F25" s="483" t="str"/>
      <x:c r="G25" s="483" t="str">
        <x:f>IF(COUNTIF('流程步骤记录'!G196:G205,"有问题")&gt;0,"有问题",IF(COUNTIF('流程步骤记录'!G196:G205,"暂时测不了")&gt;0,"暂时测不了",IF(COUNTBLANK('流程步骤记录'!G196:G205)&gt;0,"未填结果",IF(COUNTIF('流程步骤记录'!G196:G205,"通过")=10,IF(COUNTBLANK('流程步骤记录'!H196:L205)&gt;0,"待补证据","通过"),IF(COUNTIF('流程步骤记录'!G196:G205,"还没测")=10,"还没测","进行中")))))</x:f>
        <x:v>还没测</x:v>
      </x:c>
      <x:c r="H25" s="483" t="str"/>
      <x:c r="I25" s="483" t="str"/>
      <x:c r="J25" s="483" t="str"/>
    </x:row>
    <x:row r="26" ht="122" customHeight="1">
      <x:c r="A26" s="475" t="str">
        <x:v>F21</x:v>
      </x:c>
      <x:c r="B26" s="475" t="str">
        <x:v>排队后资格变化</x:v>
      </x:c>
      <x:c r="C26" s="475" t="str">
        <x:v>M8</x:v>
      </x:c>
      <x:c r="D26" s="476" t="str">
        <x:v>在排队及续链前，让授权/规则时段到期、观测过期，或取消可执行资格。</x:v>
      </x:c>
      <x:c r="E26" s="476" t="str">
        <x:v>真正发送前重新检查，不超范围或原授权窗口，不拿以前规则通过的结果继续下发。</x:v>
      </x:c>
      <x:c r="F26" s="483" t="str"/>
      <x:c r="G26" s="483" t="str">
        <x:f>IF(COUNTIF('流程步骤记录'!G206:G215,"有问题")&gt;0,"有问题",IF(COUNTIF('流程步骤记录'!G206:G215,"暂时测不了")&gt;0,"暂时测不了",IF(COUNTBLANK('流程步骤记录'!G206:G215)&gt;0,"未填结果",IF(COUNTIF('流程步骤记录'!G206:G215,"通过")=10,IF(COUNTBLANK('流程步骤记录'!H206:L215)&gt;0,"待补证据","通过"),IF(COUNTIF('流程步骤记录'!G206:G215,"还没测")=10,"还没测","进行中")))))</x:f>
        <x:v>还没测</x:v>
      </x:c>
      <x:c r="H26" s="483" t="str"/>
      <x:c r="I26" s="483" t="str"/>
      <x:c r="J26" s="483" t="str"/>
    </x:row>
    <x:row r="27" ht="122" customHeight="1">
      <x:c r="A27" s="477" t="str">
        <x:v>F22</x:v>
      </x:c>
      <x:c r="B27" s="477" t="str">
        <x:v>权限不足人员尝试接手</x:v>
      </x:c>
      <x:c r="C27" s="477" t="str">
        <x:v>M8</x:v>
      </x:c>
      <x:c r="D27" s="478" t="str">
        <x:v>系统自动条件暂未满足时，用只读和范围受限账号分别操作；再换有权账号。</x:v>
      </x:c>
      <x:c r="E27" s="478" t="str">
        <x:v>无权人员不能接手，自动模式不授予个人权限；换有权账号也须满足当前业务条件。</x:v>
      </x:c>
      <x:c r="F27" s="483" t="str"/>
      <x:c r="G27" s="483" t="str">
        <x:f>IF(COUNTIF('流程步骤记录'!G216:G225,"有问题")&gt;0,"有问题",IF(COUNTIF('流程步骤记录'!G216:G225,"暂时测不了")&gt;0,"暂时测不了",IF(COUNTBLANK('流程步骤记录'!G216:G225)&gt;0,"未填结果",IF(COUNTIF('流程步骤记录'!G216:G225,"通过")=10,IF(COUNTBLANK('流程步骤记录'!H216:L225)&gt;0,"待补证据","通过"),IF(COUNTIF('流程步骤记录'!G216:G225,"还没测")=10,"还没测","进行中")))))</x:f>
        <x:v>还没测</x:v>
      </x:c>
      <x:c r="H27" s="483" t="str"/>
      <x:c r="I27" s="483" t="str"/>
      <x:c r="J27" s="483" t="str"/>
    </x:row>
    <x:row r="28" ht="122" customHeight="1">
      <x:c r="A28" s="479" t="str">
        <x:v>F23</x:v>
      </x:c>
      <x:c r="B28" s="479" t="str">
        <x:v>人员直接反制完整链路</x:v>
      </x:c>
      <x:c r="C28" s="479" t="str">
        <x:v>M1</x:v>
      </x:c>
      <x:c r="D28" s="480" t="str">
        <x:v>换显式直接授权账号人工发起；另用未授直接权限的管理员尝试。</x:v>
      </x:c>
      <x:c r="E28" s="480" t="str">
        <x:v>有权者免逐次审批但保留真实操作人；无权者被阻止；设备结果、交接和证据仍完整。</x:v>
      </x:c>
      <x:c r="F28" s="483" t="str"/>
      <x:c r="G28" s="483" t="str">
        <x:f>IF(COUNTIF('流程步骤记录'!G226:G235,"有问题")&gt;0,"有问题",IF(COUNTIF('流程步骤记录'!G226:G235,"暂时测不了")&gt;0,"暂时测不了",IF(COUNTBLANK('流程步骤记录'!G226:G235)&gt;0,"未填结果",IF(COUNTIF('流程步骤记录'!G226:G235,"通过")=10,IF(COUNTBLANK('流程步骤记录'!H226:L235)&gt;0,"待补证据","通过"),IF(COUNTIF('流程步骤记录'!G226:G235,"还没测")=10,"还没测","进行中")))))</x:f>
        <x:v>还没测</x:v>
      </x:c>
      <x:c r="H28" s="483" t="str"/>
      <x:c r="I28" s="483" t="str"/>
      <x:c r="J28" s="483" t="str"/>
    </x:row>
    <x:row r="29" ht="122" customHeight="1">
      <x:c r="A29" s="481" t="str">
        <x:v>F24</x:v>
      </x:c>
      <x:c r="B29" s="481" t="str">
        <x:v>处罚通知失败及迟到回执</x:v>
      </x:c>
      <x:c r="C29" s="481" t="str">
        <x:v>M8</x:v>
      </x:c>
      <x:c r="D29" s="482" t="str">
        <x:v>设备执行完成后模拟移送发送失败、送达未知、签收超时，再补迟到/重复回复。</x:v>
      </x:c>
      <x:c r="E29" s="482" t="str">
        <x:v>失败与未知明确；先对账再决定补发；只更新同一交接，不重复移送、不把签收当处罚办结。</x:v>
      </x:c>
      <x:c r="F29" s="483" t="str"/>
      <x:c r="G29" s="483" t="str">
        <x:f>IF(COUNTIF('流程步骤记录'!G236:G245,"有问题")&gt;0,"有问题",IF(COUNTIF('流程步骤记录'!G236:G245,"暂时测不了")&gt;0,"暂时测不了",IF(COUNTBLANK('流程步骤记录'!G236:G245)&gt;0,"未填结果",IF(COUNTIF('流程步骤记录'!G236:G245,"通过")=10,IF(COUNTBLANK('流程步骤记录'!H236:L245)&gt;0,"待补证据","通过"),IF(COUNTIF('流程步骤记录'!G236:G245,"还没测")=10,"还没测","进行中")))))</x:f>
        <x:v>还没测</x:v>
      </x:c>
      <x:c r="H29" s="483" t="str"/>
      <x:c r="I29" s="483" t="str"/>
      <x:c r="J29" s="483" t="str"/>
    </x:row>
    <x:row r="30" ht="122" customHeight="1">
      <x:c r="A30" s="467" t="str">
        <x:v>F25</x:v>
      </x:c>
      <x:c r="B30" s="467" t="str">
        <x:v>计划天气风险与通知上级</x:v>
      </x:c>
      <x:c r="C30" s="467" t="str">
        <x:v>独立风险流程</x:v>
      </x:c>
      <x:c r="D30" s="468" t="str">
        <x:v>录入计划和覆盖其时段的天气，产生有效风险后核验并通知上级；先保持风险，再提供解除依据。</x:v>
      </x:c>
      <x:c r="E30" s="468" t="str">
        <x:v>天气、计划当前风险、核验、通知送达与签收、解除、历史及统计完整对应；签收不能提前解除风险。</x:v>
      </x:c>
      <x:c r="F30" s="483" t="str"/>
      <x:c r="G30" s="483" t="str">
        <x:f>IF(COUNTIF('流程步骤记录'!G246:G255,"有问题")&gt;0,"有问题",IF(COUNTIF('流程步骤记录'!G246:G255,"暂时测不了")&gt;0,"暂时测不了",IF(COUNTBLANK('流程步骤记录'!G246:G255)&gt;0,"未填结果",IF(COUNTIF('流程步骤记录'!G246:G255,"通过")=10,IF(COUNTBLANK('流程步骤记录'!H246:L255)&gt;0,"待补证据","通过"),IF(COUNTIF('流程步骤记录'!G246:G255,"还没测")=10,"还没测","进行中")))))</x:f>
        <x:v>还没测</x:v>
      </x:c>
      <x:c r="H30" s="483" t="str"/>
      <x:c r="I30" s="483" t="str"/>
      <x:c r="J30" s="483" t="str"/>
    </x:row>
    <x:row r="31" ht="122" customHeight="1">
      <x:c r="A31" s="469" t="str">
        <x:v>F26</x:v>
      </x:c>
      <x:c r="B31" s="469" t="str">
        <x:v>计划未见目标与设备恢复</x:v>
      </x:c>
      <x:c r="C31" s="469" t="str">
        <x:v>设备异常联动</x:v>
      </x:c>
      <x:c r="D31" s="470" t="str">
        <x:v>计划到时未发现目标，测试设备异常检查及通知后台；后台处理后分别验证恢复成功和未恢复。</x:v>
      </x:c>
      <x:c r="E31" s="470" t="str">
        <x:v>前台计划检查、异常通知、后台处理事项和实际设备恢复能对应；已通知或已处理不能冒充恢复。</x:v>
      </x:c>
      <x:c r="F31" s="483" t="str"/>
      <x:c r="G31" s="483" t="str">
        <x:f>IF(COUNTIF('流程步骤记录'!G256:G265,"有问题")&gt;0,"有问题",IF(COUNTIF('流程步骤记录'!G256:G265,"暂时测不了")&gt;0,"暂时测不了",IF(COUNTBLANK('流程步骤记录'!G256:G265)&gt;0,"未填结果",IF(COUNTIF('流程步骤记录'!G256:G265,"通过")=10,IF(COUNTBLANK('流程步骤记录'!H256:L265)&gt;0,"待补证据","通过"),IF(COUNTIF('流程步骤记录'!G256:G265,"还没测")=10,"还没测","进行中")))))</x:f>
        <x:v>还没测</x:v>
      </x:c>
      <x:c r="H31" s="483" t="str"/>
      <x:c r="I31" s="483" t="str"/>
      <x:c r="J31" s="483" t="str"/>
    </x:row>
    <x:row r="32" ht="122" customHeight="1">
      <x:c r="A32" s="581" t="str">
        <x:v>F27</x:v>
      </x:c>
      <x:c r="B32" s="581" t="str">
        <x:v>鸟群风险独立闭环</x:v>
      </x:c>
      <x:c r="C32" s="581" t="str">
        <x:v>风险主线</x:v>
      </x:c>
      <x:c r="D32" s="581" t="str">
        <x:v>用同一鸟群从发现走到通知、反馈和风险解除；不进入无人机合法性或反制链。</x:v>
      </x:c>
      <x:c r="E32" s="581" t="str">
        <x:v>风险与通知事实可追溯；有解除依据才解除；旧记录保留。</x:v>
      </x:c>
      <x:c r="F32" s="521" t="str"/>
      <x:c r="G32" s="521" t="str">
        <x:f>IF(COUNTIF('流程步骤记录'!G266:G275,"有问题")&gt;0,"有问题",IF(COUNTIF('流程步骤记录'!G266:G275,"暂时测不了")&gt;0,"暂时测不了",IF(COUNTBLANK('流程步骤记录'!G266:G275)&gt;0,"未填结果",IF(COUNTIF('流程步骤记录'!G266:G275,"通过")=10,IF(COUNTBLANK('流程步骤记录'!H266:L275)&gt;0,"待补证据","通过"),IF(COUNTIF('流程步骤记录'!G266:G275,"还没测")=10,"还没测","进行中")))))</x:f>
        <x:v>还没测</x:v>
      </x:c>
      <x:c r="H32" s="521" t="str"/>
      <x:c r="I32" s="528" t="str"/>
      <x:c r="J32" s="521" t="str"/>
    </x:row>
    <x:row r="33" ht="122" customHeight="1">
      <x:c r="A33" s="524" t="str">
        <x:v>F28</x:v>
      </x:c>
      <x:c r="B33" s="524" t="str">
        <x:v>三路融合及降级恢复</x:v>
      </x:c>
      <x:c r="C33" s="524" t="str">
        <x:v>三路输入</x:v>
      </x:c>
      <x:c r="D33" s="524" t="str">
        <x:v>融合箱、5G-A、TDOA观察同一目标，制造掉线和补传后回看全链路。</x:v>
      </x:c>
      <x:c r="E33" s="524" t="str">
        <x:v>统一ID及原始对应完整，降级可见，恢复不触发历史假动作。</x:v>
      </x:c>
      <x:c r="F33" s="521" t="str"/>
      <x:c r="G33" s="521" t="str">
        <x:f>IF(COUNTIF('流程步骤记录'!G276:G285,"有问题")&gt;0,"有问题",IF(COUNTIF('流程步骤记录'!G276:G285,"暂时测不了")&gt;0,"暂时测不了",IF(COUNTBLANK('流程步骤记录'!G276:G285)&gt;0,"未填结果",IF(COUNTIF('流程步骤记录'!G276:G285,"通过")=10,IF(COUNTBLANK('流程步骤记录'!H276:L285)&gt;0,"待补证据","通过"),IF(COUNTIF('流程步骤记录'!G276:G285,"还没测")=10,"还没测","进行中")))))</x:f>
        <x:v>还没测</x:v>
      </x:c>
      <x:c r="H33" s="521" t="str"/>
      <x:c r="I33" s="528" t="str"/>
      <x:c r="J33" s="521" t="str"/>
    </x:row>
    <x:row r="34" ht="122" customHeight="1">
      <x:c r="A34" s="581" t="str">
        <x:v>F29</x:v>
      </x:c>
      <x:c r="B34" s="581" t="str">
        <x:v>雷达光电与授权处置</x:v>
      </x:c>
      <x:c r="C34" s="581" t="str">
        <x:v>M1</x:v>
      </x:c>
      <x:c r="D34" s="581" t="str">
        <x:v>雷达发现、任务式光电跟踪、人工授权、两段设备动作、证据关联。</x:v>
      </x:c>
      <x:c r="E34" s="581" t="str">
        <x:v>跟踪与授权各有依据，两段回执可追溯，画面和证据不串目标。</x:v>
      </x:c>
      <x:c r="F34" s="521" t="str"/>
      <x:c r="G34" s="521" t="str">
        <x:f>IF(COUNTIF('流程步骤记录'!G286:G295,"有问题")&gt;0,"有问题",IF(COUNTIF('流程步骤记录'!G286:G295,"暂时测不了")&gt;0,"暂时测不了",IF(COUNTBLANK('流程步骤记录'!G286:G295)&gt;0,"未填结果",IF(COUNTIF('流程步骤记录'!G286:G295,"通过")=10,IF(COUNTBLANK('流程步骤记录'!H286:L295)&gt;0,"待补证据","通过"),IF(COUNTIF('流程步骤记录'!G286:G295,"还没测")=10,"还没测","进行中")))))</x:f>
        <x:v>还没测</x:v>
      </x:c>
      <x:c r="H34" s="521" t="str"/>
      <x:c r="I34" s="528" t="str"/>
      <x:c r="J34" s="521" t="str"/>
    </x:row>
    <x:row r="35" ht="122" customHeight="1">
      <x:c r="A35" s="524" t="str">
        <x:v>F30</x:v>
      </x:c>
      <x:c r="B35" s="524" t="str">
        <x:v>未反制事件的人工交接</x:v>
      </x:c>
      <x:c r="C35" s="524" t="str">
        <x:v>手动交接</x:v>
      </x:c>
      <x:c r="D35" s="524" t="str">
        <x:v>已核实事件没有反制记录，也不满足自动干扰完成分支；验证人工交接的实际入口和结果。</x:v>
      </x:c>
      <x:c r="E35" s="524" t="str">
        <x:v>按当前权限和业务条件办理；前台缺入口要记录，不能用接口联验替代前台通过。</x:v>
      </x:c>
      <x:c r="F35" s="521" t="str"/>
      <x:c r="G35" s="521" t="str">
        <x:f>IF(COUNTIF('流程步骤记录'!G296:G305,"有问题")&gt;0,"有问题",IF(COUNTIF('流程步骤记录'!G296:G305,"暂时测不了")&gt;0,"暂时测不了",IF(COUNTBLANK('流程步骤记录'!G296:G305)&gt;0,"未填结果",IF(COUNTIF('流程步骤记录'!G296:G305,"通过")=10,IF(COUNTBLANK('流程步骤记录'!H296:L305)&gt;0,"待补证据","通过"),IF(COUNTIF('流程步骤记录'!G296:G305,"还没测")=10,"还没测","进行中")))))</x:f>
        <x:v>还没测</x:v>
      </x:c>
      <x:c r="H35" s="521" t="str"/>
      <x:c r="I35" s="528" t="str"/>
      <x:c r="J35" s="521" t="str"/>
    </x:row>
    <x:row r="36" ht="118" customHeight="1">
      <x:c r="A36" s="613" t="str">
        <x:v>F31</x:v>
      </x:c>
      <x:c r="B36" s="613" t="str">
        <x:v>设备接入到前台感知</x:v>
      </x:c>
      <x:c r="C36" s="613" t="str">
        <x:v>测试TCP设备</x:v>
      </x:c>
      <x:c r="D36" s="613" t="str">
        <x:v>登记测试雷达，完成调测并发送目标，核对前后台同源。</x:v>
      </x:c>
      <x:c r="E36" s="613" t="str">
        <x:v>台账、协议任务、原始样本、目标及状态可对应；调测不冒充现场验收。</x:v>
      </x:c>
      <x:c r="F36" s="626" t="str"/>
      <x:c r="G36" s="626" t="str">
        <x:f>IF(COUNTIF('流程步骤记录'!G306:G315,"有问题")&gt;0,"有问题",IF(COUNTIF('流程步骤记录'!G306:G315,"暂时测不了")&gt;0,"暂时测不了",IF(COUNTBLANK('流程步骤记录'!G306:G315)&gt;0,"未填结果",IF(COUNTIF('流程步骤记录'!G306:G315,"通过")=10,IF(COUNTBLANK('流程步骤记录'!H306:L315)&gt;0,"待补证据","通过"),IF(COUNTIF('流程步骤记录'!G306:G315,"还没测")=10,"还没测","进行中")))))</x:f>
        <x:v>暂时测不了</x:v>
      </x:c>
      <x:c r="H36" s="626" t="str">
        <x:v>Codex</x:v>
      </x:c>
      <x:c r="I36" s="16" t="n">
        <x:v>46292.413194444445</x:v>
      </x:c>
      <x:c r="J36" s="626" t="str">
        <x:v>BLOCK-001；未产生业务批次/事件</x:v>
      </x:c>
    </x:row>
    <x:row r="37" ht="118" customHeight="1">
      <x:c r="A37" s="615" t="str">
        <x:v>F32</x:v>
      </x:c>
      <x:c r="B37" s="615" t="str">
        <x:v>MQTT掉线与连接恢复</x:v>
      </x:c>
      <x:c r="C37" s="615" t="str">
        <x:v>MQTT主动上报</x:v>
      </x:c>
      <x:c r="D37" s="615" t="str">
        <x:v>有效工参上报、超时离线、事件去重、新心跳及恢复核验。</x:v>
      </x:c>
      <x:c r="E37" s="615" t="str">
        <x:v>连接恢复与整体健康、维护完成分开证明。</x:v>
      </x:c>
      <x:c r="F37" s="626" t="str"/>
      <x:c r="G37" s="626" t="str">
        <x:f>IF(COUNTIF('流程步骤记录'!G316:G325,"有问题")&gt;0,"有问题",IF(COUNTIF('流程步骤记录'!G316:G325,"暂时测不了")&gt;0,"暂时测不了",IF(COUNTBLANK('流程步骤记录'!G316:G325)&gt;0,"未填结果",IF(COUNTIF('流程步骤记录'!G316:G325,"通过")=10,IF(COUNTBLANK('流程步骤记录'!H316:L325)&gt;0,"待补证据","通过"),IF(COUNTIF('流程步骤记录'!G316:G325,"还没测")=10,"还没测","进行中")))))</x:f>
        <x:v>还没测</x:v>
      </x:c>
      <x:c r="H37" s="626" t="str"/>
      <x:c r="I37" s="627" t="str"/>
      <x:c r="J37" s="626" t="str"/>
    </x:row>
    <x:row r="38" ht="118" customHeight="1">
      <x:c r="A38" s="617" t="str">
        <x:v>F33</x:v>
      </x:c>
      <x:c r="B38" s="617" t="str">
        <x:v>前台报修到后台完成</x:v>
      </x:c>
      <x:c r="C38" s="617" t="str">
        <x:v>维护正向闭环</x:v>
      </x:c>
      <x:c r="D38" s="617" t="str">
        <x:v>前台发现设备异常，后台处理、核验、完成，再回前台确认。</x:v>
      </x:c>
      <x:c r="E38" s="617" t="str">
        <x:v>同一设备同一事项走通；恢复核验有事实，不以通知或填说明办结。</x:v>
      </x:c>
      <x:c r="F38" s="626" t="str"/>
      <x:c r="G38" s="626" t="str">
        <x:f>IF(COUNTIF('流程步骤记录'!G326:G335,"有问题")&gt;0,"有问题",IF(COUNTIF('流程步骤记录'!G326:G335,"暂时测不了")&gt;0,"暂时测不了",IF(COUNTBLANK('流程步骤记录'!G326:G335)&gt;0,"未填结果",IF(COUNTIF('流程步骤记录'!G326:G335,"通过")=10,IF(COUNTBLANK('流程步骤记录'!H326:L335)&gt;0,"待补证据","通过"),IF(COUNTIF('流程步骤记录'!G326:G335,"还没测")=10,"还没测","进行中")))))</x:f>
        <x:v>还没测</x:v>
      </x:c>
      <x:c r="H38" s="626" t="str"/>
      <x:c r="I38" s="627" t="str"/>
      <x:c r="J38" s="626" t="str"/>
    </x:row>
    <x:row r="39" ht="118" customHeight="1">
      <x:c r="A39" s="619" t="str">
        <x:v>F34</x:v>
      </x:c>
      <x:c r="B39" s="619" t="str">
        <x:v>核验失败后重新处理</x:v>
      </x:c>
      <x:c r="C39" s="619" t="str">
        <x:v>维护异常闭环</x:v>
      </x:c>
      <x:c r="D39" s="619" t="str">
        <x:v>制造未知、旧状态或再次异常，走失败、恢复处理、再次核验。</x:v>
      </x:c>
      <x:c r="E39" s="619" t="str">
        <x:v>不凭一次旧PASS办结；旧核验历史保留，恢复后新一轮完成。</x:v>
      </x:c>
      <x:c r="F39" s="626" t="str"/>
      <x:c r="G39" s="626" t="str">
        <x:f>IF(COUNTIF('流程步骤记录'!G336:G345,"有问题")&gt;0,"有问题",IF(COUNTIF('流程步骤记录'!G336:G345,"暂时测不了")&gt;0,"暂时测不了",IF(COUNTBLANK('流程步骤记录'!G336:G345)&gt;0,"未填结果",IF(COUNTIF('流程步骤记录'!G336:G345,"通过")=10,IF(COUNTBLANK('流程步骤记录'!H336:L345)&gt;0,"待补证据","通过"),IF(COUNTIF('流程步骤记录'!G336:G345,"还没测")=10,"还没测","进行中")))))</x:f>
        <x:v>还没测</x:v>
      </x:c>
      <x:c r="H39" s="626" t="str"/>
      <x:c r="I39" s="627" t="str"/>
      <x:c r="J39" s="626" t="str"/>
    </x:row>
    <x:row r="40" ht="118" customHeight="1">
      <x:c r="A40" s="621" t="str">
        <x:v>F35</x:v>
      </x:c>
      <x:c r="B40" s="621" t="str">
        <x:v>并发处理与断网重试</x:v>
      </x:c>
      <x:c r="C40" s="621" t="str">
        <x:v>权限与幂等</x:v>
      </x:c>
      <x:c r="D40" s="621" t="str">
        <x:v>两个运维人员抢同一任务，提交响应丢失后回查，再撤权验证。</x:v>
      </x:c>
      <x:c r="E40" s="621" t="str">
        <x:v>状态只推进一次，旧版本不覆盖，重放仍检查当前权限。</x:v>
      </x:c>
      <x:c r="F40" s="626" t="str"/>
      <x:c r="G40" s="626" t="str">
        <x:f>IF(COUNTIF('流程步骤记录'!G346:G355,"有问题")&gt;0,"有问题",IF(COUNTIF('流程步骤记录'!G346:G355,"暂时测不了")&gt;0,"暂时测不了",IF(COUNTBLANK('流程步骤记录'!G346:G355)&gt;0,"未填结果",IF(COUNTIF('流程步骤记录'!G346:G355,"通过")=10,IF(COUNTBLANK('流程步骤记录'!H346:L355)&gt;0,"待补证据","通过"),IF(COUNTIF('流程步骤记录'!G346:G355,"还没测")=10,"还没测","进行中")))))</x:f>
        <x:v>还没测</x:v>
      </x:c>
      <x:c r="H40" s="626" t="str"/>
      <x:c r="I40" s="627" t="str"/>
      <x:c r="J40" s="626" t="str"/>
    </x:row>
    <x:row r="41" ht="118" customHeight="1">
      <x:c r="A41" s="623" t="str">
        <x:v>F36</x:v>
      </x:c>
      <x:c r="B41" s="623" t="str">
        <x:v>设备退役与历史保留</x:v>
      </x:c>
      <x:c r="C41" s="623" t="str">
        <x:v>专用可弃设备</x:v>
      </x:c>
      <x:c r="D41" s="623" t="str">
        <x:v>从忙碌删除拒绝，到停用空闲后逻辑删除，再查前后台与历史。</x:v>
      </x:c>
      <x:c r="E41" s="623" t="str">
        <x:v>当前列表清理、旧业务证据保留，设备身份不可重新占用。</x:v>
      </x:c>
      <x:c r="F41" s="626" t="str"/>
      <x:c r="G41" s="626" t="str">
        <x:f>IF(COUNTIF('流程步骤记录'!G356:G365,"有问题")&gt;0,"有问题",IF(COUNTIF('流程步骤记录'!G356:G365,"暂时测不了")&gt;0,"暂时测不了",IF(COUNTBLANK('流程步骤记录'!G356:G365)&gt;0,"未填结果",IF(COUNTIF('流程步骤记录'!G356:G365,"通过")=10,IF(COUNTBLANK('流程步骤记录'!H356:L365)&gt;0,"待补证据","通过"),IF(COUNTIF('流程步骤记录'!G356:G365,"还没测")=10,"还没测","进行中")))))</x:f>
        <x:v>还没测</x:v>
      </x:c>
      <x:c r="H41" s="626" t="str"/>
      <x:c r="I41" s="627" t="str"/>
      <x:c r="J41" s="626" t="str"/>
    </x:row>
  </x:sheetData>
  <x:mergeCells>
    <x:mergeCell ref="A3:J3"/>
    <x:mergeCell ref="A4:J4"/>
  </x:mergeCells>
  <x:conditionalFormatting sqref="G6:G31">
    <x:cfRule type="cellIs" dxfId="10" priority="1" operator="equal">
      <x:formula>"还没测"</x:formula>
    </x:cfRule>
    <x:cfRule type="cellIs" dxfId="11" priority="2" operator="equal">
      <x:formula>"通过"</x:formula>
    </x:cfRule>
    <x:cfRule type="cellIs" dxfId="12" priority="3" operator="equal">
      <x:formula>"有问题"</x:formula>
    </x:cfRule>
    <x:cfRule type="cellIs" dxfId="13" priority="4" operator="equal">
      <x:formula>"暂时测不了"</x:formula>
    </x:cfRule>
    <x:cfRule type="cellIs" dxfId="14" priority="5" operator="equal">
      <x:formula>"进行中"</x:formula>
    </x:cfRule>
    <x:cfRule type="cellIs" dxfId="15" priority="6" operator="equal">
      <x:formula>"未填结果"</x:formula>
    </x:cfRule>
  </x:conditionalFormatting>
  <x:conditionalFormatting sqref="G6:G35">
    <x:cfRule type="cellIs" dxfId="40" priority="7" operator="equal">
      <x:formula>"通过"</x:formula>
    </x:cfRule>
    <x:cfRule type="cellIs" dxfId="41" priority="8" operator="equal">
      <x:formula>"有问题"</x:formula>
    </x:cfRule>
    <x:cfRule type="cellIs" dxfId="42" priority="9" operator="equal">
      <x:formula>"暂时测不了"</x:formula>
    </x:cfRule>
    <x:cfRule type="cellIs" dxfId="43" priority="10" operator="equal">
      <x:formula>"还没测"</x:formula>
    </x:cfRule>
    <x:cfRule type="cellIs" dxfId="44" priority="11" operator="equal">
      <x:formula>"待补证据"</x:formula>
    </x:cfRule>
    <x:cfRule type="cellIs" dxfId="45" priority="12" operator="equal">
      <x:formula>"进行中"</x:formula>
    </x:cfRule>
  </x:conditionalFormatting>
  <x:conditionalFormatting sqref="G36:G41">
    <x:cfRule type="cellIs" dxfId="67" priority="13" operator="equal">
      <x:formula>"还没测"</x:formula>
    </x:cfRule>
    <x:cfRule type="cellIs" dxfId="68" priority="14" operator="equal">
      <x:formula>"通过"</x:formula>
    </x:cfRule>
    <x:cfRule type="cellIs" dxfId="69" priority="15" operator="equal">
      <x:formula>"记录齐全"</x:formula>
    </x:cfRule>
    <x:cfRule type="cellIs" dxfId="70" priority="16" operator="equal">
      <x:formula>"有问题"</x:formula>
    </x:cfRule>
    <x:cfRule type="cellIs" dxfId="71" priority="17" operator="equal">
      <x:formula>"暂时测不了"</x:formula>
    </x:cfRule>
    <x:cfRule type="cellIs" dxfId="72" priority="18" operator="equal">
      <x:formula>"待补证据"</x:formula>
    </x:cfRule>
    <x:cfRule type="cellIs" dxfId="73" priority="19" operator="equal">
      <x:formula>"进行中"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8d0131d3f3a4db7"/>
  </x:tableParts>
</x:worksheet>
</file>

<file path=xl/worksheets/sheet7.xml><?xml version="1.0" encoding="utf-8"?>
<x:worksheet xmlns:x="http://schemas.openxmlformats.org/spreadsheetml/2006/main">
  <x:sheetPr>
    <x:tabColor rgb="FF0891B2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2" hidden="0" customWidth="1"/>
    <x:col min="2" max="2" width="13" hidden="0" customWidth="1"/>
    <x:col min="3" max="3" width="23" hidden="0" customWidth="1"/>
    <x:col min="4" max="4" width="30" hidden="0" customWidth="1"/>
    <x:col min="5" max="5" width="63" hidden="0" customWidth="1"/>
    <x:col min="6" max="6" width="70" hidden="0" customWidth="1"/>
    <x:col min="7" max="7" width="17" hidden="0" customWidth="1"/>
    <x:col min="8" max="8" width="45" hidden="0" customWidth="1"/>
    <x:col min="9" max="9" width="13" hidden="0" customWidth="1"/>
    <x:col min="10" max="10" width="17" hidden="0" customWidth="1"/>
    <x:col min="11" max="11" width="36" hidden="0" customWidth="1"/>
    <x:col min="12" max="12" width="22" hidden="0" customWidth="1"/>
  </x:cols>
  <x:sheetData>
    <x:row r="1">
      <x:c r="A1" s="2"/>
    </x:row>
    <x:row r="2" ht="32" customHeight="1">
      <x:c r="A2" s="314" t="str">
        <x:v>完整流程逐步记录</x:v>
      </x:c>
      <x:c r="B2" s="315"/>
      <x:c r="C2" s="315"/>
      <x:c r="D2" s="315"/>
      <x:c r="E2" s="315"/>
      <x:c r="F2" s="315"/>
      <x:c r="G2" s="315"/>
      <x:c r="H2" s="315"/>
      <x:c r="I2" s="315"/>
      <x:c r="J2" s="315"/>
      <x:c r="K2" s="315"/>
      <x:c r="L2" s="315"/>
    </x:row>
    <x:row r="3" ht="34" customHeight="1">
      <x:c r="A3" s="316" t="str">
        <x:v>共360个步骤。每条流程使用同一可追溯批次；全部步骤通过且H至L记录齐全，才计为流程通过。</x:v>
      </x:c>
      <x:c r="B3" s="316"/>
      <x:c r="C3" s="316"/>
      <x:c r="D3" s="316"/>
      <x:c r="E3" s="316"/>
      <x:c r="F3" s="316"/>
      <x:c r="G3" s="316"/>
      <x:c r="H3" s="316"/>
      <x:c r="I3" s="316"/>
      <x:c r="J3" s="316"/>
      <x:c r="K3" s="316"/>
      <x:c r="L3" s="316"/>
    </x:row>
    <x:row r="4" ht="34" customHeight="1">
      <x:c r="A4" s="316" t="str">
        <x:v>每步填写实际结果、执行人、日期、证据位置及目标/事件编号；准备和收尾步骤可填批次编号。多子批次逐一列出，不用一个通过代替。</x:v>
      </x:c>
      <x:c r="B4" s="316"/>
      <x:c r="C4" s="316"/>
      <x:c r="D4" s="316"/>
      <x:c r="E4" s="316"/>
      <x:c r="F4" s="316"/>
      <x:c r="G4" s="316"/>
      <x:c r="H4" s="316"/>
      <x:c r="I4" s="316"/>
      <x:c r="J4" s="316"/>
      <x:c r="K4" s="316"/>
      <x:c r="L4" s="316"/>
    </x:row>
    <x:row r="5" ht="32" customHeight="1">
      <x:c r="A5" s="321" t="str">
        <x:v>流程编号</x:v>
      </x:c>
      <x:c r="B5" s="321" t="str">
        <x:v>步骤</x:v>
      </x:c>
      <x:c r="C5" s="321" t="str">
        <x:v>测试阶段</x:v>
      </x:c>
      <x:c r="D5" s="321" t="str">
        <x:v>场景</x:v>
      </x:c>
      <x:c r="E5" s="321" t="str">
        <x:v>怎么做</x:v>
      </x:c>
      <x:c r="F5" s="321" t="str">
        <x:v>这一步应该看到什么</x:v>
      </x:c>
      <x:c r="G5" s="321" t="str">
        <x:v>本步结果</x:v>
      </x:c>
      <x:c r="H5" s="321" t="str">
        <x:v>实际结果及子批次</x:v>
      </x:c>
      <x:c r="I5" s="321" t="str">
        <x:v>测试人</x:v>
      </x:c>
      <x:c r="J5" s="321" t="str">
        <x:v>测试日期</x:v>
      </x:c>
      <x:c r="K5" s="321" t="str">
        <x:v>截图和证据位置</x:v>
      </x:c>
      <x:c r="L5" s="321" t="str">
        <x:v>目标或事件编号</x:v>
      </x:c>
    </x:row>
    <x:row r="6" ht="88" customHeight="1">
      <x:c r="A6" s="529" t="str">
        <x:v>F01</x:v>
      </x:c>
      <x:c r="B6" s="529" t="n">
        <x:v>1</x:v>
      </x:c>
      <x:c r="C6" s="529" t="str">
        <x:v>后台配置与测试准备</x:v>
      </x:c>
      <x:c r="D6" s="529" t="str">
        <x:v>手动 / 手动 / 手动</x:v>
      </x:c>
      <x:c r="E6" s="530" t="str">
        <x:v>引擎开启并健康，按本组合逐类启停规则；保存回读版本、范围、时段、通道及授权依据。缺授权口径时记录暂时测不了。</x:v>
      </x:c>
      <x:c r="F6" s="530" t="str">
        <x:v>实际运行设置与本轮相符；模拟通道可用。无。按组合从头执行。</x:v>
      </x:c>
      <x:c r="G6" s="531" t="str">
        <x:v>暂时测不了</x:v>
      </x:c>
      <x:c r="H6" s="531" t="str">
        <x:v>BLOCK-001：未取得登录账号，尚不能核对运行规则/准备测试设备；后续步骤未执行。</x:v>
      </x:c>
      <x:c r="I6" s="531" t="str">
        <x:v>Codex</x:v>
      </x:c>
      <x:c r="J6" s="532" t="n">
        <x:v>46292.413194444445</x:v>
      </x:c>
      <x:c r="K6" s="531" t="str">
        <x:v>C:/Users/Admin（无密码）/.codex/visualizations/2026/09/27/01a0e0b7-3c23-7c00-aeba-e67e75596ac8/qa-20260927/admin-login.png</x:v>
      </x:c>
      <x:c r="L6" s="531" t="str">
        <x:v>QA-20260927-PRECHECK（无业务事件）</x:v>
      </x:c>
    </x:row>
    <x:row r="7" ht="88" customHeight="1">
      <x:c r="A7" s="533" t="str">
        <x:v>F01</x:v>
      </x:c>
      <x:c r="B7" s="533" t="n">
        <x:v>2</x:v>
      </x:c>
      <x:c r="C7" s="533" t="str">
        <x:v>输入数据并识别目标</x:v>
      </x:c>
      <x:c r="D7" s="533" t="str">
        <x:v>手动 / 手动 / 手动</x:v>
      </x:c>
      <x:c r="E7" s="534" t="str">
        <x:v>启动新批次，通过获准入口输入计划和目标数据；记录唯一目标、计划和设备编号。</x:v>
      </x:c>
      <x:c r="F7" s="534" t="str">
        <x:v>能在融合感知查到同一目标，位置、时间和模拟标记正确；发送成功不代替平台已接收。</x:v>
      </x:c>
      <x:c r="G7" s="535" t="str">
        <x:v>还没测</x:v>
      </x:c>
      <x:c r="H7" s="535"/>
      <x:c r="I7" s="535"/>
      <x:c r="J7" s="536"/>
      <x:c r="K7" s="535"/>
      <x:c r="L7" s="535"/>
    </x:row>
    <x:row r="8" ht="88" customHeight="1">
      <x:c r="A8" s="533" t="str">
        <x:v>F01</x:v>
      </x:c>
      <x:c r="B8" s="533" t="n">
        <x:v>3</x:v>
      </x:c>
      <x:c r="C8" s="533" t="str">
        <x:v>研判和告警关联</x:v>
      </x:c>
      <x:c r="D8" s="533" t="str">
        <x:v>手动 / 手动 / 手动</x:v>
      </x:c>
      <x:c r="E8" s="534" t="str">
        <x:v>打开计划、合法性研判和告警，核对同一目标、计划、研判和事件关系。</x:v>
      </x:c>
      <x:c r="F8" s="534" t="str">
        <x:v>主链准备明确违规且证据充分的事件；各页同一事实。若本轮是合法或误报分支，按该分支正确阻止后续。</x:v>
      </x:c>
      <x:c r="G8" s="535" t="str">
        <x:v>还没测</x:v>
      </x:c>
      <x:c r="H8" s="535"/>
      <x:c r="I8" s="535"/>
      <x:c r="J8" s="536"/>
      <x:c r="K8" s="535"/>
      <x:c r="L8" s="535"/>
    </x:row>
    <x:row r="9" ht="88" customHeight="1">
      <x:c r="A9" s="533" t="str">
        <x:v>F01</x:v>
      </x:c>
      <x:c r="B9" s="533" t="n">
        <x:v>4</x:v>
      </x:c>
      <x:c r="C9" s="533" t="str">
        <x:v>核实告警</x:v>
      </x:c>
      <x:c r="D9" s="533" t="str">
        <x:v>手动 / 手动 / 手动</x:v>
      </x:c>
      <x:c r="E9" s="534" t="str">
        <x:v>用值班账号核实属实；提交前先观察系统是否等待人工。</x:v>
      </x:c>
      <x:c r="F9" s="534" t="str">
        <x:v>手动模式不自动核实；有权人员提交后记录真实操作人并进入后续阶段。</x:v>
      </x:c>
      <x:c r="G9" s="535" t="str">
        <x:v>还没测</x:v>
      </x:c>
      <x:c r="H9" s="535"/>
      <x:c r="I9" s="535"/>
      <x:c r="J9" s="536"/>
      <x:c r="K9" s="535"/>
      <x:c r="L9" s="535"/>
    </x:row>
    <x:row r="10" ht="88" customHeight="1">
      <x:c r="A10" s="533" t="str">
        <x:v>F01</x:v>
      </x:c>
      <x:c r="B10" s="533" t="n">
        <x:v>5</x:v>
      </x:c>
      <x:c r="C10" s="533" t="str">
        <x:v>飞手通知和位置观察</x:v>
      </x:c>
      <x:c r="D10" s="533" t="str">
        <x:v>手动 / 手动 / 手动</x:v>
      </x:c>
      <x:c r="E10" s="534" t="str">
        <x:v>检查短信发送/送达、观察开始/结束、电话接通/播放与新位置；按本轮条件操作目标。</x:v>
      </x:c>
      <x:c r="F10" s="534" t="str">
        <x:v>主链持续在域时按已确认时长推进到待反制；短信、电话、飞离各凭自己的真实依据。</x:v>
      </x:c>
      <x:c r="G10" s="535" t="str">
        <x:v>还没测</x:v>
      </x:c>
      <x:c r="H10" s="535"/>
      <x:c r="I10" s="535"/>
      <x:c r="J10" s="536"/>
      <x:c r="K10" s="535"/>
      <x:c r="L10" s="535"/>
    </x:row>
    <x:row r="11" ht="88" customHeight="1">
      <x:c r="A11" s="533" t="str">
        <x:v>F01</x:v>
      </x:c>
      <x:c r="B11" s="533" t="n">
        <x:v>6</x:v>
      </x:c>
      <x:c r="C11" s="533" t="str">
        <x:v>反制发起和授权</x:v>
      </x:c>
      <x:c r="D11" s="533" t="str">
        <x:v>手动 / 手动 / 手动</x:v>
      </x:c>
      <x:c r="E11" s="534" t="str">
        <x:v>等待人工接手，发起申请；换有权审批账号批准，再由执行账号操作测试设备。</x:v>
      </x:c>
      <x:c r="F11" s="534" t="str">
        <x:v>未人工办理不自动发起；审批、授权有效后才下发；人员权限与设备资格正确。</x:v>
      </x:c>
      <x:c r="G11" s="535" t="str">
        <x:v>还没测</x:v>
      </x:c>
      <x:c r="H11" s="535"/>
      <x:c r="I11" s="535"/>
      <x:c r="J11" s="536"/>
      <x:c r="K11" s="535"/>
      <x:c r="L11" s="535"/>
    </x:row>
    <x:row r="12" ht="88" customHeight="1">
      <x:c r="A12" s="533" t="str">
        <x:v>F01</x:v>
      </x:c>
      <x:c r="B12" s="533" t="n">
        <x:v>7</x:v>
      </x:c>
      <x:c r="C12" s="533" t="str">
        <x:v>反制与干扰两段结果</x:v>
      </x:c>
      <x:c r="D12" s="533" t="str">
        <x:v>手动 / 手动 / 手动</x:v>
      </x:c>
      <x:c r="E12" s="534" t="str">
        <x:v>核对反制父授权、命令和实际回执；完成后核对干扰子授权、父子关系、第二条命令及回执。</x:v>
      </x:c>
      <x:c r="F12" s="534" t="str">
        <x:v>续链仍需当前证据、有效授权、范围、设备及急停检查。两段分别记结果；干扰失败不把反制完成抹掉，也不能冒充干扰完成。</x:v>
      </x:c>
      <x:c r="G12" s="535" t="str">
        <x:v>还没测</x:v>
      </x:c>
      <x:c r="H12" s="535"/>
      <x:c r="I12" s="535"/>
      <x:c r="J12" s="536"/>
      <x:c r="K12" s="535"/>
      <x:c r="L12" s="535"/>
    </x:row>
    <x:row r="13" ht="88" customHeight="1">
      <x:c r="A13" s="533" t="str">
        <x:v>F01</x:v>
      </x:c>
      <x:c r="B13" s="533" t="n">
        <x:v>8</x:v>
      </x:c>
      <x:c r="C13" s="533" t="str">
        <x:v>移送送达签收与办理结果</x:v>
      </x:c>
      <x:c r="D13" s="533" t="str">
        <x:v>手动 / 手动 / 手动</x:v>
      </x:c>
      <x:c r="E13" s="534" t="str">
        <x:v>干扰完成后查冻结交接。自动通知组合等待规则通过后投递；手动组合在引擎开启且本类停用时由有权人员发送。分别查送达、签收和正式办理结果。</x:v>
      </x:c>
      <x:c r="F13" s="534" t="str">
        <x:v>通知方式符合配置。发送、送达、签收分开；有正式办理结果才展示，没有就明确尚无结果，不能强行显示处罚完成。</x:v>
      </x:c>
      <x:c r="G13" s="535" t="str">
        <x:v>还没测</x:v>
      </x:c>
      <x:c r="H13" s="535"/>
      <x:c r="I13" s="535"/>
      <x:c r="J13" s="536"/>
      <x:c r="K13" s="535"/>
      <x:c r="L13" s="535"/>
    </x:row>
    <x:row r="14" ht="88" customHeight="1">
      <x:c r="A14" s="533" t="str">
        <x:v>F01</x:v>
      </x:c>
      <x:c r="B14" s="533" t="n">
        <x:v>9</x:v>
      </x:c>
      <x:c r="C14" s="533" t="str">
        <x:v>证据统计与跨页一致</x:v>
      </x:c>
      <x:c r="D14" s="533" t="str">
        <x:v>手动 / 手动 / 手动</x:v>
      </x:c>
      <x:c r="E14" s="534" t="str">
        <x:v>在证据、统计、告警、计划和移送页按同一事件核对。记录所有关联编号和重要时间。</x:v>
      </x:c>
      <x:c r="F14" s="534" t="str">
        <x:v>原始与冻结材料完整；事件、授权、命令、通知、交接能互相对应；统计按真实事实计数，不把签收当结案。</x:v>
      </x:c>
      <x:c r="G14" s="535" t="str">
        <x:v>还没测</x:v>
      </x:c>
      <x:c r="H14" s="535"/>
      <x:c r="I14" s="535"/>
      <x:c r="J14" s="536"/>
      <x:c r="K14" s="535"/>
      <x:c r="L14" s="535"/>
    </x:row>
    <x:row r="15" ht="88" customHeight="1">
      <x:c r="A15" s="533" t="str">
        <x:v>F01</x:v>
      </x:c>
      <x:c r="B15" s="533" t="n">
        <x:v>10</x:v>
      </x:c>
      <x:c r="C15" s="533" t="str">
        <x:v>关闭页面与重登复查</x:v>
      </x:c>
      <x:c r="D15" s="533" t="str">
        <x:v>手动 / 手动 / 手动</x:v>
      </x:c>
      <x:c r="E15" s="534" t="str">
        <x:v>本轮适用的自动等待阶段关闭页面再打开；结束后刷新、退出重登。核对动作次数并停止模拟。</x:v>
      </x:c>
      <x:c r="F15" s="534" t="str">
        <x:v>自动办理不依赖页面打开；刷新重登不重复动作；最终结果稳定，历史保留，模拟任务已明确停止。</x:v>
      </x:c>
      <x:c r="G15" s="535" t="str">
        <x:v>还没测</x:v>
      </x:c>
      <x:c r="H15" s="535"/>
      <x:c r="I15" s="535"/>
      <x:c r="J15" s="536"/>
      <x:c r="K15" s="535"/>
      <x:c r="L15" s="535"/>
    </x:row>
    <x:row r="16" ht="88" customHeight="1">
      <x:c r="A16" s="537" t="str">
        <x:v>F02</x:v>
      </x:c>
      <x:c r="B16" s="537" t="n">
        <x:v>1</x:v>
      </x:c>
      <x:c r="C16" s="537" t="str">
        <x:v>后台配置与测试准备</x:v>
      </x:c>
      <x:c r="D16" s="537" t="str">
        <x:v>手动 / 手动 / 自动</x:v>
      </x:c>
      <x:c r="E16" s="538" t="str">
        <x:v>引擎开启并健康，按本组合逐类启停规则；保存回读版本、范围、时段、通道及授权依据。缺授权口径时记录暂时测不了。</x:v>
      </x:c>
      <x:c r="F16" s="538" t="str">
        <x:v>实际运行设置与本轮相符；模拟通道可用。无。按组合从头执行。</x:v>
      </x:c>
      <x:c r="G16" s="539" t="str">
        <x:v>还没测</x:v>
      </x:c>
      <x:c r="H16" s="539" t="str"/>
      <x:c r="I16" s="539" t="str"/>
      <x:c r="J16" s="540" t="str"/>
      <x:c r="K16" s="539" t="str"/>
      <x:c r="L16" s="539" t="str"/>
    </x:row>
    <x:row r="17" ht="88" customHeight="1">
      <x:c r="A17" s="541" t="str">
        <x:v>F02</x:v>
      </x:c>
      <x:c r="B17" s="541" t="n">
        <x:v>2</x:v>
      </x:c>
      <x:c r="C17" s="541" t="str">
        <x:v>输入数据并识别目标</x:v>
      </x:c>
      <x:c r="D17" s="541" t="str">
        <x:v>手动 / 手动 / 自动</x:v>
      </x:c>
      <x:c r="E17" s="542" t="str">
        <x:v>启动新批次，通过获准入口输入计划和目标数据；记录唯一目标、计划和设备编号。</x:v>
      </x:c>
      <x:c r="F17" s="542" t="str">
        <x:v>能在融合感知查到同一目标，位置、时间和模拟标记正确；发送成功不代替平台已接收。</x:v>
      </x:c>
      <x:c r="G17" s="535" t="str">
        <x:v>还没测</x:v>
      </x:c>
      <x:c r="H17" s="535" t="str"/>
      <x:c r="I17" s="535" t="str"/>
      <x:c r="J17" s="536" t="str"/>
      <x:c r="K17" s="535" t="str"/>
      <x:c r="L17" s="535" t="str"/>
    </x:row>
    <x:row r="18" ht="88" customHeight="1">
      <x:c r="A18" s="541" t="str">
        <x:v>F02</x:v>
      </x:c>
      <x:c r="B18" s="541" t="n">
        <x:v>3</x:v>
      </x:c>
      <x:c r="C18" s="541" t="str">
        <x:v>研判和告警关联</x:v>
      </x:c>
      <x:c r="D18" s="541" t="str">
        <x:v>手动 / 手动 / 自动</x:v>
      </x:c>
      <x:c r="E18" s="542" t="str">
        <x:v>打开计划、合法性研判和告警，核对同一目标、计划、研判和事件关系。</x:v>
      </x:c>
      <x:c r="F18" s="542" t="str">
        <x:v>主链准备明确违规且证据充分的事件；各页同一事实。若本轮是合法或误报分支，按该分支正确阻止后续。</x:v>
      </x:c>
      <x:c r="G18" s="535" t="str">
        <x:v>还没测</x:v>
      </x:c>
      <x:c r="H18" s="535" t="str"/>
      <x:c r="I18" s="535" t="str"/>
      <x:c r="J18" s="536" t="str"/>
      <x:c r="K18" s="535" t="str"/>
      <x:c r="L18" s="535" t="str"/>
    </x:row>
    <x:row r="19" ht="88" customHeight="1">
      <x:c r="A19" s="541" t="str">
        <x:v>F02</x:v>
      </x:c>
      <x:c r="B19" s="541" t="n">
        <x:v>4</x:v>
      </x:c>
      <x:c r="C19" s="541" t="str">
        <x:v>核实告警</x:v>
      </x:c>
      <x:c r="D19" s="541" t="str">
        <x:v>手动 / 手动 / 自动</x:v>
      </x:c>
      <x:c r="E19" s="542" t="str">
        <x:v>用值班账号核实属实；提交前先观察系统是否等待人工。</x:v>
      </x:c>
      <x:c r="F19" s="542" t="str">
        <x:v>手动模式不自动核实；有权人员提交后记录真实操作人并进入后续阶段。</x:v>
      </x:c>
      <x:c r="G19" s="535" t="str">
        <x:v>还没测</x:v>
      </x:c>
      <x:c r="H19" s="535" t="str"/>
      <x:c r="I19" s="535" t="str"/>
      <x:c r="J19" s="536" t="str"/>
      <x:c r="K19" s="535" t="str"/>
      <x:c r="L19" s="535" t="str"/>
    </x:row>
    <x:row r="20" ht="88" customHeight="1">
      <x:c r="A20" s="541" t="str">
        <x:v>F02</x:v>
      </x:c>
      <x:c r="B20" s="541" t="n">
        <x:v>5</x:v>
      </x:c>
      <x:c r="C20" s="541" t="str">
        <x:v>飞手通知和位置观察</x:v>
      </x:c>
      <x:c r="D20" s="541" t="str">
        <x:v>手动 / 手动 / 自动</x:v>
      </x:c>
      <x:c r="E20" s="542" t="str">
        <x:v>检查短信发送/送达、观察开始/结束、电话接通/播放与新位置；按本轮条件操作目标。</x:v>
      </x:c>
      <x:c r="F20" s="542" t="str">
        <x:v>主链持续在域时按已确认时长推进到待反制；短信、电话、飞离各凭自己的真实依据。</x:v>
      </x:c>
      <x:c r="G20" s="535" t="str">
        <x:v>还没测</x:v>
      </x:c>
      <x:c r="H20" s="535" t="str"/>
      <x:c r="I20" s="535" t="str"/>
      <x:c r="J20" s="536" t="str"/>
      <x:c r="K20" s="535" t="str"/>
      <x:c r="L20" s="535" t="str"/>
    </x:row>
    <x:row r="21" ht="88" customHeight="1">
      <x:c r="A21" s="541" t="str">
        <x:v>F02</x:v>
      </x:c>
      <x:c r="B21" s="541" t="n">
        <x:v>6</x:v>
      </x:c>
      <x:c r="C21" s="541" t="str">
        <x:v>反制发起和授权</x:v>
      </x:c>
      <x:c r="D21" s="541" t="str">
        <x:v>手动 / 手动 / 自动</x:v>
      </x:c>
      <x:c r="E21" s="542" t="str">
        <x:v>等待人工接手，发起申请；换有权审批账号批准，再由执行账号操作测试设备。</x:v>
      </x:c>
      <x:c r="F21" s="542" t="str">
        <x:v>未人工办理不自动发起；审批、授权有效后才下发；人员权限与设备资格正确。</x:v>
      </x:c>
      <x:c r="G21" s="535" t="str">
        <x:v>还没测</x:v>
      </x:c>
      <x:c r="H21" s="535" t="str"/>
      <x:c r="I21" s="535" t="str"/>
      <x:c r="J21" s="536" t="str"/>
      <x:c r="K21" s="535" t="str"/>
      <x:c r="L21" s="535" t="str"/>
    </x:row>
    <x:row r="22" ht="88" customHeight="1">
      <x:c r="A22" s="541" t="str">
        <x:v>F02</x:v>
      </x:c>
      <x:c r="B22" s="541" t="n">
        <x:v>7</x:v>
      </x:c>
      <x:c r="C22" s="541" t="str">
        <x:v>反制与干扰两段结果</x:v>
      </x:c>
      <x:c r="D22" s="541" t="str">
        <x:v>手动 / 手动 / 自动</x:v>
      </x:c>
      <x:c r="E22" s="542" t="str">
        <x:v>核对反制父授权、命令和实际回执；完成后核对干扰子授权、父子关系、第二条命令及回执。</x:v>
      </x:c>
      <x:c r="F22" s="542" t="str">
        <x:v>续链仍需当前证据、有效授权、范围、设备及急停检查。两段分别记结果；干扰失败不把反制完成抹掉，也不能冒充干扰完成。</x:v>
      </x:c>
      <x:c r="G22" s="535" t="str">
        <x:v>还没测</x:v>
      </x:c>
      <x:c r="H22" s="535" t="str"/>
      <x:c r="I22" s="535" t="str"/>
      <x:c r="J22" s="536" t="str"/>
      <x:c r="K22" s="535" t="str"/>
      <x:c r="L22" s="535" t="str"/>
    </x:row>
    <x:row r="23" ht="88" customHeight="1">
      <x:c r="A23" s="541" t="str">
        <x:v>F02</x:v>
      </x:c>
      <x:c r="B23" s="541" t="n">
        <x:v>8</x:v>
      </x:c>
      <x:c r="C23" s="541" t="str">
        <x:v>移送送达签收与办理结果</x:v>
      </x:c>
      <x:c r="D23" s="541" t="str">
        <x:v>手动 / 手动 / 自动</x:v>
      </x:c>
      <x:c r="E23" s="542" t="str">
        <x:v>干扰完成后查冻结交接。自动通知组合等待规则通过后投递；手动组合在引擎开启且本类停用时由有权人员发送。分别查送达、签收和正式办理结果。</x:v>
      </x:c>
      <x:c r="F23" s="542" t="str">
        <x:v>通知方式符合配置。发送、送达、签收分开；有正式办理结果才展示，没有就明确尚无结果，不能强行显示处罚完成。</x:v>
      </x:c>
      <x:c r="G23" s="535" t="str">
        <x:v>还没测</x:v>
      </x:c>
      <x:c r="H23" s="535" t="str"/>
      <x:c r="I23" s="535" t="str"/>
      <x:c r="J23" s="536" t="str"/>
      <x:c r="K23" s="535" t="str"/>
      <x:c r="L23" s="535" t="str"/>
    </x:row>
    <x:row r="24" ht="88" customHeight="1">
      <x:c r="A24" s="541" t="str">
        <x:v>F02</x:v>
      </x:c>
      <x:c r="B24" s="541" t="n">
        <x:v>9</x:v>
      </x:c>
      <x:c r="C24" s="541" t="str">
        <x:v>证据统计与跨页一致</x:v>
      </x:c>
      <x:c r="D24" s="541" t="str">
        <x:v>手动 / 手动 / 自动</x:v>
      </x:c>
      <x:c r="E24" s="542" t="str">
        <x:v>在证据、统计、告警、计划和移送页按同一事件核对。记录所有关联编号和重要时间。</x:v>
      </x:c>
      <x:c r="F24" s="542" t="str">
        <x:v>原始与冻结材料完整；事件、授权、命令、通知、交接能互相对应；统计按真实事实计数，不把签收当结案。</x:v>
      </x:c>
      <x:c r="G24" s="535" t="str">
        <x:v>还没测</x:v>
      </x:c>
      <x:c r="H24" s="535" t="str"/>
      <x:c r="I24" s="535" t="str"/>
      <x:c r="J24" s="536" t="str"/>
      <x:c r="K24" s="535" t="str"/>
      <x:c r="L24" s="535" t="str"/>
    </x:row>
    <x:row r="25" ht="88" customHeight="1">
      <x:c r="A25" s="541" t="str">
        <x:v>F02</x:v>
      </x:c>
      <x:c r="B25" s="541" t="n">
        <x:v>10</x:v>
      </x:c>
      <x:c r="C25" s="541" t="str">
        <x:v>关闭页面与重登复查</x:v>
      </x:c>
      <x:c r="D25" s="541" t="str">
        <x:v>手动 / 手动 / 自动</x:v>
      </x:c>
      <x:c r="E25" s="542" t="str">
        <x:v>本轮适用的自动等待阶段关闭页面再打开；结束后刷新、退出重登。核对动作次数并停止模拟。</x:v>
      </x:c>
      <x:c r="F25" s="542" t="str">
        <x:v>自动办理不依赖页面打开；刷新重登不重复动作；最终结果稳定，历史保留，模拟任务已明确停止。</x:v>
      </x:c>
      <x:c r="G25" s="535" t="str">
        <x:v>还没测</x:v>
      </x:c>
      <x:c r="H25" s="535" t="str"/>
      <x:c r="I25" s="535" t="str"/>
      <x:c r="J25" s="536" t="str"/>
      <x:c r="K25" s="535" t="str"/>
      <x:c r="L25" s="535" t="str"/>
    </x:row>
    <x:row r="26" ht="88" customHeight="1">
      <x:c r="A26" s="543" t="str">
        <x:v>F03</x:v>
      </x:c>
      <x:c r="B26" s="543" t="n">
        <x:v>1</x:v>
      </x:c>
      <x:c r="C26" s="543" t="str">
        <x:v>后台配置与测试准备</x:v>
      </x:c>
      <x:c r="D26" s="543" t="str">
        <x:v>手动 / 自动 / 手动</x:v>
      </x:c>
      <x:c r="E26" s="544" t="str">
        <x:v>引擎开启并健康，按本组合逐类启停规则；保存回读版本、范围、时段、通道及授权依据。缺授权口径时记录暂时测不了。</x:v>
      </x:c>
      <x:c r="F26" s="544" t="str">
        <x:v>实际运行设置与本轮相符；模拟通道可用。无。按组合从头执行。</x:v>
      </x:c>
      <x:c r="G26" s="545" t="str">
        <x:v>还没测</x:v>
      </x:c>
      <x:c r="H26" s="545" t="str"/>
      <x:c r="I26" s="545" t="str"/>
      <x:c r="J26" s="546" t="str"/>
      <x:c r="K26" s="545" t="str"/>
      <x:c r="L26" s="545" t="str"/>
    </x:row>
    <x:row r="27" ht="88" customHeight="1">
      <x:c r="A27" s="547" t="str">
        <x:v>F03</x:v>
      </x:c>
      <x:c r="B27" s="547" t="n">
        <x:v>2</x:v>
      </x:c>
      <x:c r="C27" s="547" t="str">
        <x:v>输入数据并识别目标</x:v>
      </x:c>
      <x:c r="D27" s="547" t="str">
        <x:v>手动 / 自动 / 手动</x:v>
      </x:c>
      <x:c r="E27" s="548" t="str">
        <x:v>启动新批次，通过获准入口输入计划和目标数据；记录唯一目标、计划和设备编号。</x:v>
      </x:c>
      <x:c r="F27" s="548" t="str">
        <x:v>能在融合感知查到同一目标，位置、时间和模拟标记正确；发送成功不代替平台已接收。</x:v>
      </x:c>
      <x:c r="G27" s="535" t="str">
        <x:v>还没测</x:v>
      </x:c>
      <x:c r="H27" s="535" t="str"/>
      <x:c r="I27" s="535" t="str"/>
      <x:c r="J27" s="536" t="str"/>
      <x:c r="K27" s="535" t="str"/>
      <x:c r="L27" s="535" t="str"/>
    </x:row>
    <x:row r="28" ht="88" customHeight="1">
      <x:c r="A28" s="547" t="str">
        <x:v>F03</x:v>
      </x:c>
      <x:c r="B28" s="547" t="n">
        <x:v>3</x:v>
      </x:c>
      <x:c r="C28" s="547" t="str">
        <x:v>研判和告警关联</x:v>
      </x:c>
      <x:c r="D28" s="547" t="str">
        <x:v>手动 / 自动 / 手动</x:v>
      </x:c>
      <x:c r="E28" s="548" t="str">
        <x:v>打开计划、合法性研判和告警，核对同一目标、计划、研判和事件关系。</x:v>
      </x:c>
      <x:c r="F28" s="548" t="str">
        <x:v>主链准备明确违规且证据充分的事件；各页同一事实。若本轮是合法或误报分支，按该分支正确阻止后续。</x:v>
      </x:c>
      <x:c r="G28" s="535" t="str">
        <x:v>还没测</x:v>
      </x:c>
      <x:c r="H28" s="535" t="str"/>
      <x:c r="I28" s="535" t="str"/>
      <x:c r="J28" s="536" t="str"/>
      <x:c r="K28" s="535" t="str"/>
      <x:c r="L28" s="535" t="str"/>
    </x:row>
    <x:row r="29" ht="88" customHeight="1">
      <x:c r="A29" s="547" t="str">
        <x:v>F03</x:v>
      </x:c>
      <x:c r="B29" s="547" t="n">
        <x:v>4</x:v>
      </x:c>
      <x:c r="C29" s="547" t="str">
        <x:v>核实告警</x:v>
      </x:c>
      <x:c r="D29" s="547" t="str">
        <x:v>手动 / 自动 / 手动</x:v>
      </x:c>
      <x:c r="E29" s="548" t="str">
        <x:v>用值班账号核实属实；提交前先观察系统是否等待人工。</x:v>
      </x:c>
      <x:c r="F29" s="548" t="str">
        <x:v>手动模式不自动核实；有权人员提交后记录真实操作人并进入后续阶段。</x:v>
      </x:c>
      <x:c r="G29" s="535" t="str">
        <x:v>还没测</x:v>
      </x:c>
      <x:c r="H29" s="535" t="str"/>
      <x:c r="I29" s="535" t="str"/>
      <x:c r="J29" s="536" t="str"/>
      <x:c r="K29" s="535" t="str"/>
      <x:c r="L29" s="535" t="str"/>
    </x:row>
    <x:row r="30" ht="88" customHeight="1">
      <x:c r="A30" s="547" t="str">
        <x:v>F03</x:v>
      </x:c>
      <x:c r="B30" s="547" t="n">
        <x:v>5</x:v>
      </x:c>
      <x:c r="C30" s="547" t="str">
        <x:v>飞手通知和位置观察</x:v>
      </x:c>
      <x:c r="D30" s="547" t="str">
        <x:v>手动 / 自动 / 手动</x:v>
      </x:c>
      <x:c r="E30" s="548" t="str">
        <x:v>检查短信发送/送达、观察开始/结束、电话接通/播放与新位置；按本轮条件操作目标。</x:v>
      </x:c>
      <x:c r="F30" s="548" t="str">
        <x:v>主链持续在域时按已确认时长推进到待反制；短信、电话、飞离各凭自己的真实依据。</x:v>
      </x:c>
      <x:c r="G30" s="535" t="str">
        <x:v>还没测</x:v>
      </x:c>
      <x:c r="H30" s="535" t="str"/>
      <x:c r="I30" s="535" t="str"/>
      <x:c r="J30" s="536" t="str"/>
      <x:c r="K30" s="535" t="str"/>
      <x:c r="L30" s="535" t="str"/>
    </x:row>
    <x:row r="31" ht="88" customHeight="1">
      <x:c r="A31" s="547" t="str">
        <x:v>F03</x:v>
      </x:c>
      <x:c r="B31" s="547" t="n">
        <x:v>6</x:v>
      </x:c>
      <x:c r="C31" s="547" t="str">
        <x:v>反制发起和授权</x:v>
      </x:c>
      <x:c r="D31" s="547" t="str">
        <x:v>手动 / 自动 / 手动</x:v>
      </x:c>
      <x:c r="E31" s="548" t="str">
        <x:v>进入待反制后不点发起，等待规则满足；检查当前证据和唯一可用测试设备。</x:v>
      </x:c>
      <x:c r="F31" s="548" t="str">
        <x:v>符合条件才由系统发起；记录系统身份和实际授权依据，不伪造人工审批。</x:v>
      </x:c>
      <x:c r="G31" s="535" t="str">
        <x:v>还没测</x:v>
      </x:c>
      <x:c r="H31" s="535" t="str"/>
      <x:c r="I31" s="535" t="str"/>
      <x:c r="J31" s="536" t="str"/>
      <x:c r="K31" s="535" t="str"/>
      <x:c r="L31" s="535" t="str"/>
    </x:row>
    <x:row r="32" ht="88" customHeight="1">
      <x:c r="A32" s="547" t="str">
        <x:v>F03</x:v>
      </x:c>
      <x:c r="B32" s="547" t="n">
        <x:v>7</x:v>
      </x:c>
      <x:c r="C32" s="547" t="str">
        <x:v>反制与干扰两段结果</x:v>
      </x:c>
      <x:c r="D32" s="547" t="str">
        <x:v>手动 / 自动 / 手动</x:v>
      </x:c>
      <x:c r="E32" s="548" t="str">
        <x:v>核对反制父授权、命令和实际回执；完成后核对干扰子授权、父子关系、第二条命令及回执。</x:v>
      </x:c>
      <x:c r="F32" s="548" t="str">
        <x:v>续链仍需当前证据、有效授权、范围、设备及急停检查。两段分别记结果；干扰失败不把反制完成抹掉，也不能冒充干扰完成。</x:v>
      </x:c>
      <x:c r="G32" s="535" t="str">
        <x:v>还没测</x:v>
      </x:c>
      <x:c r="H32" s="535" t="str"/>
      <x:c r="I32" s="535" t="str"/>
      <x:c r="J32" s="536" t="str"/>
      <x:c r="K32" s="535" t="str"/>
      <x:c r="L32" s="535" t="str"/>
    </x:row>
    <x:row r="33" ht="88" customHeight="1">
      <x:c r="A33" s="547" t="str">
        <x:v>F03</x:v>
      </x:c>
      <x:c r="B33" s="547" t="n">
        <x:v>8</x:v>
      </x:c>
      <x:c r="C33" s="547" t="str">
        <x:v>移送送达签收与办理结果</x:v>
      </x:c>
      <x:c r="D33" s="547" t="str">
        <x:v>手动 / 自动 / 手动</x:v>
      </x:c>
      <x:c r="E33" s="548" t="str">
        <x:v>干扰完成后查冻结交接。自动通知组合等待规则通过后投递；手动组合在引擎开启且本类停用时由有权人员发送。分别查送达、签收和正式办理结果。</x:v>
      </x:c>
      <x:c r="F33" s="548" t="str">
        <x:v>通知方式符合配置。发送、送达、签收分开；有正式办理结果才展示，没有就明确尚无结果，不能强行显示处罚完成。</x:v>
      </x:c>
      <x:c r="G33" s="535" t="str">
        <x:v>还没测</x:v>
      </x:c>
      <x:c r="H33" s="535" t="str"/>
      <x:c r="I33" s="535" t="str"/>
      <x:c r="J33" s="536" t="str"/>
      <x:c r="K33" s="535" t="str"/>
      <x:c r="L33" s="535" t="str"/>
    </x:row>
    <x:row r="34" ht="88" customHeight="1">
      <x:c r="A34" s="547" t="str">
        <x:v>F03</x:v>
      </x:c>
      <x:c r="B34" s="547" t="n">
        <x:v>9</x:v>
      </x:c>
      <x:c r="C34" s="547" t="str">
        <x:v>证据统计与跨页一致</x:v>
      </x:c>
      <x:c r="D34" s="547" t="str">
        <x:v>手动 / 自动 / 手动</x:v>
      </x:c>
      <x:c r="E34" s="548" t="str">
        <x:v>在证据、统计、告警、计划和移送页按同一事件核对。记录所有关联编号和重要时间。</x:v>
      </x:c>
      <x:c r="F34" s="548" t="str">
        <x:v>原始与冻结材料完整；事件、授权、命令、通知、交接能互相对应；统计按真实事实计数，不把签收当结案。</x:v>
      </x:c>
      <x:c r="G34" s="535" t="str">
        <x:v>还没测</x:v>
      </x:c>
      <x:c r="H34" s="535" t="str"/>
      <x:c r="I34" s="535" t="str"/>
      <x:c r="J34" s="536" t="str"/>
      <x:c r="K34" s="535" t="str"/>
      <x:c r="L34" s="535" t="str"/>
    </x:row>
    <x:row r="35" ht="88" customHeight="1">
      <x:c r="A35" s="547" t="str">
        <x:v>F03</x:v>
      </x:c>
      <x:c r="B35" s="547" t="n">
        <x:v>10</x:v>
      </x:c>
      <x:c r="C35" s="547" t="str">
        <x:v>关闭页面与重登复查</x:v>
      </x:c>
      <x:c r="D35" s="547" t="str">
        <x:v>手动 / 自动 / 手动</x:v>
      </x:c>
      <x:c r="E35" s="548" t="str">
        <x:v>本轮适用的自动等待阶段关闭页面再打开；结束后刷新、退出重登。核对动作次数并停止模拟。</x:v>
      </x:c>
      <x:c r="F35" s="548" t="str">
        <x:v>自动办理不依赖页面打开；刷新重登不重复动作；最终结果稳定，历史保留，模拟任务已明确停止。</x:v>
      </x:c>
      <x:c r="G35" s="535" t="str">
        <x:v>还没测</x:v>
      </x:c>
      <x:c r="H35" s="535" t="str"/>
      <x:c r="I35" s="535" t="str"/>
      <x:c r="J35" s="536" t="str"/>
      <x:c r="K35" s="535" t="str"/>
      <x:c r="L35" s="535" t="str"/>
    </x:row>
    <x:row r="36" ht="88" customHeight="1">
      <x:c r="A36" s="549" t="str">
        <x:v>F04</x:v>
      </x:c>
      <x:c r="B36" s="549" t="n">
        <x:v>1</x:v>
      </x:c>
      <x:c r="C36" s="549" t="str">
        <x:v>后台配置与测试准备</x:v>
      </x:c>
      <x:c r="D36" s="549" t="str">
        <x:v>手动 / 自动 / 自动</x:v>
      </x:c>
      <x:c r="E36" s="550" t="str">
        <x:v>引擎开启并健康，按本组合逐类启停规则；保存回读版本、范围、时段、通道及授权依据。缺授权口径时记录暂时测不了。</x:v>
      </x:c>
      <x:c r="F36" s="550" t="str">
        <x:v>实际运行设置与本轮相符；模拟通道可用。无。按组合从头执行。</x:v>
      </x:c>
      <x:c r="G36" s="551" t="str">
        <x:v>还没测</x:v>
      </x:c>
      <x:c r="H36" s="551" t="str"/>
      <x:c r="I36" s="551" t="str"/>
      <x:c r="J36" s="552" t="str"/>
      <x:c r="K36" s="551" t="str"/>
      <x:c r="L36" s="551" t="str"/>
    </x:row>
    <x:row r="37" ht="88" customHeight="1">
      <x:c r="A37" s="553" t="str">
        <x:v>F04</x:v>
      </x:c>
      <x:c r="B37" s="553" t="n">
        <x:v>2</x:v>
      </x:c>
      <x:c r="C37" s="553" t="str">
        <x:v>输入数据并识别目标</x:v>
      </x:c>
      <x:c r="D37" s="553" t="str">
        <x:v>手动 / 自动 / 自动</x:v>
      </x:c>
      <x:c r="E37" s="554" t="str">
        <x:v>启动新批次，通过获准入口输入计划和目标数据；记录唯一目标、计划和设备编号。</x:v>
      </x:c>
      <x:c r="F37" s="554" t="str">
        <x:v>能在融合感知查到同一目标，位置、时间和模拟标记正确；发送成功不代替平台已接收。</x:v>
      </x:c>
      <x:c r="G37" s="535" t="str">
        <x:v>还没测</x:v>
      </x:c>
      <x:c r="H37" s="535" t="str"/>
      <x:c r="I37" s="535" t="str"/>
      <x:c r="J37" s="536" t="str"/>
      <x:c r="K37" s="535" t="str"/>
      <x:c r="L37" s="535" t="str"/>
    </x:row>
    <x:row r="38" ht="88" customHeight="1">
      <x:c r="A38" s="553" t="str">
        <x:v>F04</x:v>
      </x:c>
      <x:c r="B38" s="553" t="n">
        <x:v>3</x:v>
      </x:c>
      <x:c r="C38" s="553" t="str">
        <x:v>研判和告警关联</x:v>
      </x:c>
      <x:c r="D38" s="553" t="str">
        <x:v>手动 / 自动 / 自动</x:v>
      </x:c>
      <x:c r="E38" s="554" t="str">
        <x:v>打开计划、合法性研判和告警，核对同一目标、计划、研判和事件关系。</x:v>
      </x:c>
      <x:c r="F38" s="554" t="str">
        <x:v>主链准备明确违规且证据充分的事件；各页同一事实。若本轮是合法或误报分支，按该分支正确阻止后续。</x:v>
      </x:c>
      <x:c r="G38" s="535" t="str">
        <x:v>还没测</x:v>
      </x:c>
      <x:c r="H38" s="535" t="str"/>
      <x:c r="I38" s="535" t="str"/>
      <x:c r="J38" s="536" t="str"/>
      <x:c r="K38" s="535" t="str"/>
      <x:c r="L38" s="535" t="str"/>
    </x:row>
    <x:row r="39" ht="88" customHeight="1">
      <x:c r="A39" s="553" t="str">
        <x:v>F04</x:v>
      </x:c>
      <x:c r="B39" s="553" t="n">
        <x:v>4</x:v>
      </x:c>
      <x:c r="C39" s="553" t="str">
        <x:v>核实告警</x:v>
      </x:c>
      <x:c r="D39" s="553" t="str">
        <x:v>手动 / 自动 / 自动</x:v>
      </x:c>
      <x:c r="E39" s="554" t="str">
        <x:v>用值班账号核实属实；提交前先观察系统是否等待人工。</x:v>
      </x:c>
      <x:c r="F39" s="554" t="str">
        <x:v>手动模式不自动核实；有权人员提交后记录真实操作人并进入后续阶段。</x:v>
      </x:c>
      <x:c r="G39" s="535" t="str">
        <x:v>还没测</x:v>
      </x:c>
      <x:c r="H39" s="535" t="str"/>
      <x:c r="I39" s="535" t="str"/>
      <x:c r="J39" s="536" t="str"/>
      <x:c r="K39" s="535" t="str"/>
      <x:c r="L39" s="535" t="str"/>
    </x:row>
    <x:row r="40" ht="88" customHeight="1">
      <x:c r="A40" s="553" t="str">
        <x:v>F04</x:v>
      </x:c>
      <x:c r="B40" s="553" t="n">
        <x:v>5</x:v>
      </x:c>
      <x:c r="C40" s="553" t="str">
        <x:v>飞手通知和位置观察</x:v>
      </x:c>
      <x:c r="D40" s="553" t="str">
        <x:v>手动 / 自动 / 自动</x:v>
      </x:c>
      <x:c r="E40" s="554" t="str">
        <x:v>检查短信发送/送达、观察开始/结束、电话接通/播放与新位置；按本轮条件操作目标。</x:v>
      </x:c>
      <x:c r="F40" s="554" t="str">
        <x:v>主链持续在域时按已确认时长推进到待反制；短信、电话、飞离各凭自己的真实依据。</x:v>
      </x:c>
      <x:c r="G40" s="535" t="str">
        <x:v>还没测</x:v>
      </x:c>
      <x:c r="H40" s="535" t="str"/>
      <x:c r="I40" s="535" t="str"/>
      <x:c r="J40" s="536" t="str"/>
      <x:c r="K40" s="535" t="str"/>
      <x:c r="L40" s="535" t="str"/>
    </x:row>
    <x:row r="41" ht="88" customHeight="1">
      <x:c r="A41" s="553" t="str">
        <x:v>F04</x:v>
      </x:c>
      <x:c r="B41" s="553" t="n">
        <x:v>6</x:v>
      </x:c>
      <x:c r="C41" s="553" t="str">
        <x:v>反制发起和授权</x:v>
      </x:c>
      <x:c r="D41" s="553" t="str">
        <x:v>手动 / 自动 / 自动</x:v>
      </x:c>
      <x:c r="E41" s="554" t="str">
        <x:v>进入待反制后不点发起，等待规则满足；检查当前证据和唯一可用测试设备。</x:v>
      </x:c>
      <x:c r="F41" s="554" t="str">
        <x:v>符合条件才由系统发起；记录系统身份和实际授权依据，不伪造人工审批。</x:v>
      </x:c>
      <x:c r="G41" s="535" t="str">
        <x:v>还没测</x:v>
      </x:c>
      <x:c r="H41" s="535" t="str"/>
      <x:c r="I41" s="535" t="str"/>
      <x:c r="J41" s="536" t="str"/>
      <x:c r="K41" s="535" t="str"/>
      <x:c r="L41" s="535" t="str"/>
    </x:row>
    <x:row r="42" ht="88" customHeight="1">
      <x:c r="A42" s="553" t="str">
        <x:v>F04</x:v>
      </x:c>
      <x:c r="B42" s="553" t="n">
        <x:v>7</x:v>
      </x:c>
      <x:c r="C42" s="553" t="str">
        <x:v>反制与干扰两段结果</x:v>
      </x:c>
      <x:c r="D42" s="553" t="str">
        <x:v>手动 / 自动 / 自动</x:v>
      </x:c>
      <x:c r="E42" s="554" t="str">
        <x:v>核对反制父授权、命令和实际回执；完成后核对干扰子授权、父子关系、第二条命令及回执。</x:v>
      </x:c>
      <x:c r="F42" s="554" t="str">
        <x:v>续链仍需当前证据、有效授权、范围、设备及急停检查。两段分别记结果；干扰失败不把反制完成抹掉，也不能冒充干扰完成。</x:v>
      </x:c>
      <x:c r="G42" s="535" t="str">
        <x:v>还没测</x:v>
      </x:c>
      <x:c r="H42" s="535" t="str"/>
      <x:c r="I42" s="535" t="str"/>
      <x:c r="J42" s="536" t="str"/>
      <x:c r="K42" s="535" t="str"/>
      <x:c r="L42" s="535" t="str"/>
    </x:row>
    <x:row r="43" ht="88" customHeight="1">
      <x:c r="A43" s="553" t="str">
        <x:v>F04</x:v>
      </x:c>
      <x:c r="B43" s="553" t="n">
        <x:v>8</x:v>
      </x:c>
      <x:c r="C43" s="553" t="str">
        <x:v>移送送达签收与办理结果</x:v>
      </x:c>
      <x:c r="D43" s="553" t="str">
        <x:v>手动 / 自动 / 自动</x:v>
      </x:c>
      <x:c r="E43" s="554" t="str">
        <x:v>干扰完成后查冻结交接。自动通知组合等待规则通过后投递；手动组合在引擎开启且本类停用时由有权人员发送。分别查送达、签收和正式办理结果。</x:v>
      </x:c>
      <x:c r="F43" s="554" t="str">
        <x:v>通知方式符合配置。发送、送达、签收分开；有正式办理结果才展示，没有就明确尚无结果，不能强行显示处罚完成。</x:v>
      </x:c>
      <x:c r="G43" s="535" t="str">
        <x:v>还没测</x:v>
      </x:c>
      <x:c r="H43" s="535" t="str"/>
      <x:c r="I43" s="535" t="str"/>
      <x:c r="J43" s="536" t="str"/>
      <x:c r="K43" s="535" t="str"/>
      <x:c r="L43" s="535" t="str"/>
    </x:row>
    <x:row r="44" ht="88" customHeight="1">
      <x:c r="A44" s="553" t="str">
        <x:v>F04</x:v>
      </x:c>
      <x:c r="B44" s="553" t="n">
        <x:v>9</x:v>
      </x:c>
      <x:c r="C44" s="553" t="str">
        <x:v>证据统计与跨页一致</x:v>
      </x:c>
      <x:c r="D44" s="553" t="str">
        <x:v>手动 / 自动 / 自动</x:v>
      </x:c>
      <x:c r="E44" s="554" t="str">
        <x:v>在证据、统计、告警、计划和移送页按同一事件核对。记录所有关联编号和重要时间。</x:v>
      </x:c>
      <x:c r="F44" s="554" t="str">
        <x:v>原始与冻结材料完整；事件、授权、命令、通知、交接能互相对应；统计按真实事实计数，不把签收当结案。</x:v>
      </x:c>
      <x:c r="G44" s="535" t="str">
        <x:v>还没测</x:v>
      </x:c>
      <x:c r="H44" s="535" t="str"/>
      <x:c r="I44" s="535" t="str"/>
      <x:c r="J44" s="536" t="str"/>
      <x:c r="K44" s="535" t="str"/>
      <x:c r="L44" s="535" t="str"/>
    </x:row>
    <x:row r="45" ht="88" customHeight="1">
      <x:c r="A45" s="553" t="str">
        <x:v>F04</x:v>
      </x:c>
      <x:c r="B45" s="553" t="n">
        <x:v>10</x:v>
      </x:c>
      <x:c r="C45" s="553" t="str">
        <x:v>关闭页面与重登复查</x:v>
      </x:c>
      <x:c r="D45" s="553" t="str">
        <x:v>手动 / 自动 / 自动</x:v>
      </x:c>
      <x:c r="E45" s="554" t="str">
        <x:v>本轮适用的自动等待阶段关闭页面再打开；结束后刷新、退出重登。核对动作次数并停止模拟。</x:v>
      </x:c>
      <x:c r="F45" s="554" t="str">
        <x:v>自动办理不依赖页面打开；刷新重登不重复动作；最终结果稳定，历史保留，模拟任务已明确停止。</x:v>
      </x:c>
      <x:c r="G45" s="535" t="str">
        <x:v>还没测</x:v>
      </x:c>
      <x:c r="H45" s="535" t="str"/>
      <x:c r="I45" s="535" t="str"/>
      <x:c r="J45" s="536" t="str"/>
      <x:c r="K45" s="535" t="str"/>
      <x:c r="L45" s="535" t="str"/>
    </x:row>
    <x:row r="46" ht="88" customHeight="1">
      <x:c r="A46" s="555" t="str">
        <x:v>F05</x:v>
      </x:c>
      <x:c r="B46" s="555" t="n">
        <x:v>1</x:v>
      </x:c>
      <x:c r="C46" s="555" t="str">
        <x:v>后台配置与测试准备</x:v>
      </x:c>
      <x:c r="D46" s="555" t="str">
        <x:v>自动 / 手动 / 手动</x:v>
      </x:c>
      <x:c r="E46" s="556" t="str">
        <x:v>引擎开启并健康，按本组合逐类启停规则；保存回读版本、范围、时段、通道及授权依据。缺授权口径时记录暂时测不了。</x:v>
      </x:c>
      <x:c r="F46" s="556" t="str">
        <x:v>实际运行设置与本轮相符；模拟通道可用。无。按组合从头执行。</x:v>
      </x:c>
      <x:c r="G46" s="557" t="str">
        <x:v>还没测</x:v>
      </x:c>
      <x:c r="H46" s="557" t="str"/>
      <x:c r="I46" s="557" t="str"/>
      <x:c r="J46" s="558" t="str"/>
      <x:c r="K46" s="557" t="str"/>
      <x:c r="L46" s="557" t="str"/>
    </x:row>
    <x:row r="47" ht="88" customHeight="1">
      <x:c r="A47" s="559" t="str">
        <x:v>F05</x:v>
      </x:c>
      <x:c r="B47" s="559" t="n">
        <x:v>2</x:v>
      </x:c>
      <x:c r="C47" s="559" t="str">
        <x:v>输入数据并识别目标</x:v>
      </x:c>
      <x:c r="D47" s="559" t="str">
        <x:v>自动 / 手动 / 手动</x:v>
      </x:c>
      <x:c r="E47" s="560" t="str">
        <x:v>启动新批次，通过获准入口输入计划和目标数据；记录唯一目标、计划和设备编号。</x:v>
      </x:c>
      <x:c r="F47" s="560" t="str">
        <x:v>能在融合感知查到同一目标，位置、时间和模拟标记正确；发送成功不代替平台已接收。</x:v>
      </x:c>
      <x:c r="G47" s="535" t="str">
        <x:v>还没测</x:v>
      </x:c>
      <x:c r="H47" s="535" t="str"/>
      <x:c r="I47" s="535" t="str"/>
      <x:c r="J47" s="536" t="str"/>
      <x:c r="K47" s="535" t="str"/>
      <x:c r="L47" s="535" t="str"/>
    </x:row>
    <x:row r="48" ht="88" customHeight="1">
      <x:c r="A48" s="559" t="str">
        <x:v>F05</x:v>
      </x:c>
      <x:c r="B48" s="559" t="n">
        <x:v>3</x:v>
      </x:c>
      <x:c r="C48" s="559" t="str">
        <x:v>研判和告警关联</x:v>
      </x:c>
      <x:c r="D48" s="559" t="str">
        <x:v>自动 / 手动 / 手动</x:v>
      </x:c>
      <x:c r="E48" s="560" t="str">
        <x:v>打开计划、合法性研判和告警，核对同一目标、计划、研判和事件关系。</x:v>
      </x:c>
      <x:c r="F48" s="560" t="str">
        <x:v>主链准备明确违规且证据充分的事件；各页同一事实。若本轮是合法或误报分支，按该分支正确阻止后续。</x:v>
      </x:c>
      <x:c r="G48" s="535" t="str">
        <x:v>还没测</x:v>
      </x:c>
      <x:c r="H48" s="535" t="str"/>
      <x:c r="I48" s="535" t="str"/>
      <x:c r="J48" s="536" t="str"/>
      <x:c r="K48" s="535" t="str"/>
      <x:c r="L48" s="535" t="str"/>
    </x:row>
    <x:row r="49" ht="88" customHeight="1">
      <x:c r="A49" s="559" t="str">
        <x:v>F05</x:v>
      </x:c>
      <x:c r="B49" s="559" t="n">
        <x:v>4</x:v>
      </x:c>
      <x:c r="C49" s="559" t="str">
        <x:v>核实告警</x:v>
      </x:c>
      <x:c r="D49" s="559" t="str">
        <x:v>自动 / 手动 / 手动</x:v>
      </x:c>
      <x:c r="E49" s="560" t="str">
        <x:v>不点击核实，等待已启用规则满足。</x:v>
      </x:c>
      <x:c r="F49" s="560" t="str">
        <x:v>系统按规则核实一次；留有系统处理身份、时间和判定依据。</x:v>
      </x:c>
      <x:c r="G49" s="535" t="str">
        <x:v>还没测</x:v>
      </x:c>
      <x:c r="H49" s="535" t="str"/>
      <x:c r="I49" s="535" t="str"/>
      <x:c r="J49" s="536" t="str"/>
      <x:c r="K49" s="535" t="str"/>
      <x:c r="L49" s="535" t="str"/>
    </x:row>
    <x:row r="50" ht="88" customHeight="1">
      <x:c r="A50" s="559" t="str">
        <x:v>F05</x:v>
      </x:c>
      <x:c r="B50" s="559" t="n">
        <x:v>5</x:v>
      </x:c>
      <x:c r="C50" s="559" t="str">
        <x:v>飞手通知和位置观察</x:v>
      </x:c>
      <x:c r="D50" s="559" t="str">
        <x:v>自动 / 手动 / 手动</x:v>
      </x:c>
      <x:c r="E50" s="560" t="str">
        <x:v>检查短信发送/送达、观察开始/结束、电话接通/播放与新位置；按本轮条件操作目标。</x:v>
      </x:c>
      <x:c r="F50" s="560" t="str">
        <x:v>主链持续在域时按已确认时长推进到待反制；短信、电话、飞离各凭自己的真实依据。</x:v>
      </x:c>
      <x:c r="G50" s="535" t="str">
        <x:v>还没测</x:v>
      </x:c>
      <x:c r="H50" s="535" t="str"/>
      <x:c r="I50" s="535" t="str"/>
      <x:c r="J50" s="536" t="str"/>
      <x:c r="K50" s="535" t="str"/>
      <x:c r="L50" s="535" t="str"/>
    </x:row>
    <x:row r="51" ht="88" customHeight="1">
      <x:c r="A51" s="559" t="str">
        <x:v>F05</x:v>
      </x:c>
      <x:c r="B51" s="559" t="n">
        <x:v>6</x:v>
      </x:c>
      <x:c r="C51" s="559" t="str">
        <x:v>反制发起和授权</x:v>
      </x:c>
      <x:c r="D51" s="559" t="str">
        <x:v>自动 / 手动 / 手动</x:v>
      </x:c>
      <x:c r="E51" s="560" t="str">
        <x:v>等待人工接手，发起申请；换有权审批账号批准，再由执行账号操作测试设备。</x:v>
      </x:c>
      <x:c r="F51" s="560" t="str">
        <x:v>未人工办理不自动发起；审批、授权有效后才下发；人员权限与设备资格正确。</x:v>
      </x:c>
      <x:c r="G51" s="535" t="str">
        <x:v>还没测</x:v>
      </x:c>
      <x:c r="H51" s="535" t="str"/>
      <x:c r="I51" s="535" t="str"/>
      <x:c r="J51" s="536" t="str"/>
      <x:c r="K51" s="535" t="str"/>
      <x:c r="L51" s="535" t="str"/>
    </x:row>
    <x:row r="52" ht="88" customHeight="1">
      <x:c r="A52" s="559" t="str">
        <x:v>F05</x:v>
      </x:c>
      <x:c r="B52" s="559" t="n">
        <x:v>7</x:v>
      </x:c>
      <x:c r="C52" s="559" t="str">
        <x:v>反制与干扰两段结果</x:v>
      </x:c>
      <x:c r="D52" s="559" t="str">
        <x:v>自动 / 手动 / 手动</x:v>
      </x:c>
      <x:c r="E52" s="560" t="str">
        <x:v>核对反制父授权、命令和实际回执；完成后核对干扰子授权、父子关系、第二条命令及回执。</x:v>
      </x:c>
      <x:c r="F52" s="560" t="str">
        <x:v>续链仍需当前证据、有效授权、范围、设备及急停检查。两段分别记结果；干扰失败不把反制完成抹掉，也不能冒充干扰完成。</x:v>
      </x:c>
      <x:c r="G52" s="535" t="str">
        <x:v>还没测</x:v>
      </x:c>
      <x:c r="H52" s="535" t="str"/>
      <x:c r="I52" s="535" t="str"/>
      <x:c r="J52" s="536" t="str"/>
      <x:c r="K52" s="535" t="str"/>
      <x:c r="L52" s="535" t="str"/>
    </x:row>
    <x:row r="53" ht="88" customHeight="1">
      <x:c r="A53" s="559" t="str">
        <x:v>F05</x:v>
      </x:c>
      <x:c r="B53" s="559" t="n">
        <x:v>8</x:v>
      </x:c>
      <x:c r="C53" s="559" t="str">
        <x:v>移送送达签收与办理结果</x:v>
      </x:c>
      <x:c r="D53" s="559" t="str">
        <x:v>自动 / 手动 / 手动</x:v>
      </x:c>
      <x:c r="E53" s="560" t="str">
        <x:v>干扰完成后查冻结交接。自动通知组合等待规则通过后投递；手动组合在引擎开启且本类停用时由有权人员发送。分别查送达、签收和正式办理结果。</x:v>
      </x:c>
      <x:c r="F53" s="560" t="str">
        <x:v>通知方式符合配置。发送、送达、签收分开；有正式办理结果才展示，没有就明确尚无结果，不能强行显示处罚完成。</x:v>
      </x:c>
      <x:c r="G53" s="535" t="str">
        <x:v>还没测</x:v>
      </x:c>
      <x:c r="H53" s="535" t="str"/>
      <x:c r="I53" s="535" t="str"/>
      <x:c r="J53" s="536" t="str"/>
      <x:c r="K53" s="535" t="str"/>
      <x:c r="L53" s="535" t="str"/>
    </x:row>
    <x:row r="54" ht="88" customHeight="1">
      <x:c r="A54" s="559" t="str">
        <x:v>F05</x:v>
      </x:c>
      <x:c r="B54" s="559" t="n">
        <x:v>9</x:v>
      </x:c>
      <x:c r="C54" s="559" t="str">
        <x:v>证据统计与跨页一致</x:v>
      </x:c>
      <x:c r="D54" s="559" t="str">
        <x:v>自动 / 手动 / 手动</x:v>
      </x:c>
      <x:c r="E54" s="560" t="str">
        <x:v>在证据、统计、告警、计划和移送页按同一事件核对。记录所有关联编号和重要时间。</x:v>
      </x:c>
      <x:c r="F54" s="560" t="str">
        <x:v>原始与冻结材料完整；事件、授权、命令、通知、交接能互相对应；统计按真实事实计数，不把签收当结案。</x:v>
      </x:c>
      <x:c r="G54" s="535" t="str">
        <x:v>还没测</x:v>
      </x:c>
      <x:c r="H54" s="535" t="str"/>
      <x:c r="I54" s="535" t="str"/>
      <x:c r="J54" s="536" t="str"/>
      <x:c r="K54" s="535" t="str"/>
      <x:c r="L54" s="535" t="str"/>
    </x:row>
    <x:row r="55" ht="88" customHeight="1">
      <x:c r="A55" s="559" t="str">
        <x:v>F05</x:v>
      </x:c>
      <x:c r="B55" s="559" t="n">
        <x:v>10</x:v>
      </x:c>
      <x:c r="C55" s="559" t="str">
        <x:v>关闭页面与重登复查</x:v>
      </x:c>
      <x:c r="D55" s="559" t="str">
        <x:v>自动 / 手动 / 手动</x:v>
      </x:c>
      <x:c r="E55" s="560" t="str">
        <x:v>本轮适用的自动等待阶段关闭页面再打开；结束后刷新、退出重登。核对动作次数并停止模拟。</x:v>
      </x:c>
      <x:c r="F55" s="560" t="str">
        <x:v>自动办理不依赖页面打开；刷新重登不重复动作；最终结果稳定，历史保留，模拟任务已明确停止。</x:v>
      </x:c>
      <x:c r="G55" s="535" t="str">
        <x:v>还没测</x:v>
      </x:c>
      <x:c r="H55" s="535" t="str"/>
      <x:c r="I55" s="535" t="str"/>
      <x:c r="J55" s="536" t="str"/>
      <x:c r="K55" s="535" t="str"/>
      <x:c r="L55" s="535" t="str"/>
    </x:row>
    <x:row r="56" ht="88" customHeight="1">
      <x:c r="A56" s="561" t="str">
        <x:v>F06</x:v>
      </x:c>
      <x:c r="B56" s="561" t="n">
        <x:v>1</x:v>
      </x:c>
      <x:c r="C56" s="561" t="str">
        <x:v>后台配置与测试准备</x:v>
      </x:c>
      <x:c r="D56" s="561" t="str">
        <x:v>自动 / 手动 / 自动</x:v>
      </x:c>
      <x:c r="E56" s="562" t="str">
        <x:v>引擎开启并健康，按本组合逐类启停规则；保存回读版本、范围、时段、通道及授权依据。缺授权口径时记录暂时测不了。</x:v>
      </x:c>
      <x:c r="F56" s="562" t="str">
        <x:v>实际运行设置与本轮相符；模拟通道可用。无。按组合从头执行。</x:v>
      </x:c>
      <x:c r="G56" s="563" t="str">
        <x:v>还没测</x:v>
      </x:c>
      <x:c r="H56" s="563" t="str"/>
      <x:c r="I56" s="563" t="str"/>
      <x:c r="J56" s="564" t="str"/>
      <x:c r="K56" s="563" t="str"/>
      <x:c r="L56" s="563" t="str"/>
    </x:row>
    <x:row r="57" ht="88" customHeight="1">
      <x:c r="A57" s="565" t="str">
        <x:v>F06</x:v>
      </x:c>
      <x:c r="B57" s="565" t="n">
        <x:v>2</x:v>
      </x:c>
      <x:c r="C57" s="565" t="str">
        <x:v>输入数据并识别目标</x:v>
      </x:c>
      <x:c r="D57" s="565" t="str">
        <x:v>自动 / 手动 / 自动</x:v>
      </x:c>
      <x:c r="E57" s="566" t="str">
        <x:v>启动新批次，通过获准入口输入计划和目标数据；记录唯一目标、计划和设备编号。</x:v>
      </x:c>
      <x:c r="F57" s="566" t="str">
        <x:v>能在融合感知查到同一目标，位置、时间和模拟标记正确；发送成功不代替平台已接收。</x:v>
      </x:c>
      <x:c r="G57" s="535" t="str">
        <x:v>还没测</x:v>
      </x:c>
      <x:c r="H57" s="535" t="str"/>
      <x:c r="I57" s="535" t="str"/>
      <x:c r="J57" s="536" t="str"/>
      <x:c r="K57" s="535" t="str"/>
      <x:c r="L57" s="535" t="str"/>
    </x:row>
    <x:row r="58" ht="88" customHeight="1">
      <x:c r="A58" s="565" t="str">
        <x:v>F06</x:v>
      </x:c>
      <x:c r="B58" s="565" t="n">
        <x:v>3</x:v>
      </x:c>
      <x:c r="C58" s="565" t="str">
        <x:v>研判和告警关联</x:v>
      </x:c>
      <x:c r="D58" s="565" t="str">
        <x:v>自动 / 手动 / 自动</x:v>
      </x:c>
      <x:c r="E58" s="566" t="str">
        <x:v>打开计划、合法性研判和告警，核对同一目标、计划、研判和事件关系。</x:v>
      </x:c>
      <x:c r="F58" s="566" t="str">
        <x:v>主链准备明确违规且证据充分的事件；各页同一事实。若本轮是合法或误报分支，按该分支正确阻止后续。</x:v>
      </x:c>
      <x:c r="G58" s="535" t="str">
        <x:v>还没测</x:v>
      </x:c>
      <x:c r="H58" s="535" t="str"/>
      <x:c r="I58" s="535" t="str"/>
      <x:c r="J58" s="536" t="str"/>
      <x:c r="K58" s="535" t="str"/>
      <x:c r="L58" s="535" t="str"/>
    </x:row>
    <x:row r="59" ht="88" customHeight="1">
      <x:c r="A59" s="565" t="str">
        <x:v>F06</x:v>
      </x:c>
      <x:c r="B59" s="565" t="n">
        <x:v>4</x:v>
      </x:c>
      <x:c r="C59" s="565" t="str">
        <x:v>核实告警</x:v>
      </x:c>
      <x:c r="D59" s="565" t="str">
        <x:v>自动 / 手动 / 自动</x:v>
      </x:c>
      <x:c r="E59" s="566" t="str">
        <x:v>不点击核实，等待已启用规则满足。</x:v>
      </x:c>
      <x:c r="F59" s="566" t="str">
        <x:v>系统按规则核实一次；留有系统处理身份、时间和判定依据。</x:v>
      </x:c>
      <x:c r="G59" s="535" t="str">
        <x:v>还没测</x:v>
      </x:c>
      <x:c r="H59" s="535" t="str"/>
      <x:c r="I59" s="535" t="str"/>
      <x:c r="J59" s="536" t="str"/>
      <x:c r="K59" s="535" t="str"/>
      <x:c r="L59" s="535" t="str"/>
    </x:row>
    <x:row r="60" ht="88" customHeight="1">
      <x:c r="A60" s="565" t="str">
        <x:v>F06</x:v>
      </x:c>
      <x:c r="B60" s="565" t="n">
        <x:v>5</x:v>
      </x:c>
      <x:c r="C60" s="565" t="str">
        <x:v>飞手通知和位置观察</x:v>
      </x:c>
      <x:c r="D60" s="565" t="str">
        <x:v>自动 / 手动 / 自动</x:v>
      </x:c>
      <x:c r="E60" s="566" t="str">
        <x:v>检查短信发送/送达、观察开始/结束、电话接通/播放与新位置；按本轮条件操作目标。</x:v>
      </x:c>
      <x:c r="F60" s="566" t="str">
        <x:v>主链持续在域时按已确认时长推进到待反制；短信、电话、飞离各凭自己的真实依据。</x:v>
      </x:c>
      <x:c r="G60" s="535" t="str">
        <x:v>还没测</x:v>
      </x:c>
      <x:c r="H60" s="535" t="str"/>
      <x:c r="I60" s="535" t="str"/>
      <x:c r="J60" s="536" t="str"/>
      <x:c r="K60" s="535" t="str"/>
      <x:c r="L60" s="535" t="str"/>
    </x:row>
    <x:row r="61" ht="88" customHeight="1">
      <x:c r="A61" s="565" t="str">
        <x:v>F06</x:v>
      </x:c>
      <x:c r="B61" s="565" t="n">
        <x:v>6</x:v>
      </x:c>
      <x:c r="C61" s="565" t="str">
        <x:v>反制发起和授权</x:v>
      </x:c>
      <x:c r="D61" s="565" t="str">
        <x:v>自动 / 手动 / 自动</x:v>
      </x:c>
      <x:c r="E61" s="566" t="str">
        <x:v>等待人工接手，发起申请；换有权审批账号批准，再由执行账号操作测试设备。</x:v>
      </x:c>
      <x:c r="F61" s="566" t="str">
        <x:v>未人工办理不自动发起；审批、授权有效后才下发；人员权限与设备资格正确。</x:v>
      </x:c>
      <x:c r="G61" s="535" t="str">
        <x:v>还没测</x:v>
      </x:c>
      <x:c r="H61" s="535" t="str"/>
      <x:c r="I61" s="535" t="str"/>
      <x:c r="J61" s="536" t="str"/>
      <x:c r="K61" s="535" t="str"/>
      <x:c r="L61" s="535" t="str"/>
    </x:row>
    <x:row r="62" ht="88" customHeight="1">
      <x:c r="A62" s="565" t="str">
        <x:v>F06</x:v>
      </x:c>
      <x:c r="B62" s="565" t="n">
        <x:v>7</x:v>
      </x:c>
      <x:c r="C62" s="565" t="str">
        <x:v>反制与干扰两段结果</x:v>
      </x:c>
      <x:c r="D62" s="565" t="str">
        <x:v>自动 / 手动 / 自动</x:v>
      </x:c>
      <x:c r="E62" s="566" t="str">
        <x:v>核对反制父授权、命令和实际回执；完成后核对干扰子授权、父子关系、第二条命令及回执。</x:v>
      </x:c>
      <x:c r="F62" s="566" t="str">
        <x:v>续链仍需当前证据、有效授权、范围、设备及急停检查。两段分别记结果；干扰失败不把反制完成抹掉，也不能冒充干扰完成。</x:v>
      </x:c>
      <x:c r="G62" s="535" t="str">
        <x:v>还没测</x:v>
      </x:c>
      <x:c r="H62" s="535" t="str"/>
      <x:c r="I62" s="535" t="str"/>
      <x:c r="J62" s="536" t="str"/>
      <x:c r="K62" s="535" t="str"/>
      <x:c r="L62" s="535" t="str"/>
    </x:row>
    <x:row r="63" ht="88" customHeight="1">
      <x:c r="A63" s="565" t="str">
        <x:v>F06</x:v>
      </x:c>
      <x:c r="B63" s="565" t="n">
        <x:v>8</x:v>
      </x:c>
      <x:c r="C63" s="565" t="str">
        <x:v>移送送达签收与办理结果</x:v>
      </x:c>
      <x:c r="D63" s="565" t="str">
        <x:v>自动 / 手动 / 自动</x:v>
      </x:c>
      <x:c r="E63" s="566" t="str">
        <x:v>干扰完成后查冻结交接。自动通知组合等待规则通过后投递；手动组合在引擎开启且本类停用时由有权人员发送。分别查送达、签收和正式办理结果。</x:v>
      </x:c>
      <x:c r="F63" s="566" t="str">
        <x:v>通知方式符合配置。发送、送达、签收分开；有正式办理结果才展示，没有就明确尚无结果，不能强行显示处罚完成。</x:v>
      </x:c>
      <x:c r="G63" s="535" t="str">
        <x:v>还没测</x:v>
      </x:c>
      <x:c r="H63" s="535" t="str"/>
      <x:c r="I63" s="535" t="str"/>
      <x:c r="J63" s="536" t="str"/>
      <x:c r="K63" s="535" t="str"/>
      <x:c r="L63" s="535" t="str"/>
    </x:row>
    <x:row r="64" ht="88" customHeight="1">
      <x:c r="A64" s="565" t="str">
        <x:v>F06</x:v>
      </x:c>
      <x:c r="B64" s="565" t="n">
        <x:v>9</x:v>
      </x:c>
      <x:c r="C64" s="565" t="str">
        <x:v>证据统计与跨页一致</x:v>
      </x:c>
      <x:c r="D64" s="565" t="str">
        <x:v>自动 / 手动 / 自动</x:v>
      </x:c>
      <x:c r="E64" s="566" t="str">
        <x:v>在证据、统计、告警、计划和移送页按同一事件核对。记录所有关联编号和重要时间。</x:v>
      </x:c>
      <x:c r="F64" s="566" t="str">
        <x:v>原始与冻结材料完整；事件、授权、命令、通知、交接能互相对应；统计按真实事实计数，不把签收当结案。</x:v>
      </x:c>
      <x:c r="G64" s="535" t="str">
        <x:v>还没测</x:v>
      </x:c>
      <x:c r="H64" s="535" t="str"/>
      <x:c r="I64" s="535" t="str"/>
      <x:c r="J64" s="536" t="str"/>
      <x:c r="K64" s="535" t="str"/>
      <x:c r="L64" s="535" t="str"/>
    </x:row>
    <x:row r="65" ht="88" customHeight="1">
      <x:c r="A65" s="565" t="str">
        <x:v>F06</x:v>
      </x:c>
      <x:c r="B65" s="565" t="n">
        <x:v>10</x:v>
      </x:c>
      <x:c r="C65" s="565" t="str">
        <x:v>关闭页面与重登复查</x:v>
      </x:c>
      <x:c r="D65" s="565" t="str">
        <x:v>自动 / 手动 / 自动</x:v>
      </x:c>
      <x:c r="E65" s="566" t="str">
        <x:v>本轮适用的自动等待阶段关闭页面再打开；结束后刷新、退出重登。核对动作次数并停止模拟。</x:v>
      </x:c>
      <x:c r="F65" s="566" t="str">
        <x:v>自动办理不依赖页面打开；刷新重登不重复动作；最终结果稳定，历史保留，模拟任务已明确停止。</x:v>
      </x:c>
      <x:c r="G65" s="535" t="str">
        <x:v>还没测</x:v>
      </x:c>
      <x:c r="H65" s="535" t="str"/>
      <x:c r="I65" s="535" t="str"/>
      <x:c r="J65" s="536" t="str"/>
      <x:c r="K65" s="535" t="str"/>
      <x:c r="L65" s="535" t="str"/>
    </x:row>
    <x:row r="66" ht="88" customHeight="1">
      <x:c r="A66" s="567" t="str">
        <x:v>F07</x:v>
      </x:c>
      <x:c r="B66" s="567" t="n">
        <x:v>1</x:v>
      </x:c>
      <x:c r="C66" s="567" t="str">
        <x:v>后台配置与测试准备</x:v>
      </x:c>
      <x:c r="D66" s="567" t="str">
        <x:v>自动 / 自动 / 手动</x:v>
      </x:c>
      <x:c r="E66" s="568" t="str">
        <x:v>引擎开启并健康，按本组合逐类启停规则；保存回读版本、范围、时段、通道及授权依据。缺授权口径时记录暂时测不了。</x:v>
      </x:c>
      <x:c r="F66" s="568" t="str">
        <x:v>实际运行设置与本轮相符；模拟通道可用。无。按组合从头执行。</x:v>
      </x:c>
      <x:c r="G66" s="569" t="str">
        <x:v>还没测</x:v>
      </x:c>
      <x:c r="H66" s="569" t="str"/>
      <x:c r="I66" s="569" t="str"/>
      <x:c r="J66" s="570" t="str"/>
      <x:c r="K66" s="569" t="str"/>
      <x:c r="L66" s="569" t="str"/>
    </x:row>
    <x:row r="67" ht="88" customHeight="1">
      <x:c r="A67" s="571" t="str">
        <x:v>F07</x:v>
      </x:c>
      <x:c r="B67" s="571" t="n">
        <x:v>2</x:v>
      </x:c>
      <x:c r="C67" s="571" t="str">
        <x:v>输入数据并识别目标</x:v>
      </x:c>
      <x:c r="D67" s="571" t="str">
        <x:v>自动 / 自动 / 手动</x:v>
      </x:c>
      <x:c r="E67" s="572" t="str">
        <x:v>启动新批次，通过获准入口输入计划和目标数据；记录唯一目标、计划和设备编号。</x:v>
      </x:c>
      <x:c r="F67" s="572" t="str">
        <x:v>能在融合感知查到同一目标，位置、时间和模拟标记正确；发送成功不代替平台已接收。</x:v>
      </x:c>
      <x:c r="G67" s="535" t="str">
        <x:v>还没测</x:v>
      </x:c>
      <x:c r="H67" s="535" t="str"/>
      <x:c r="I67" s="535" t="str"/>
      <x:c r="J67" s="536" t="str"/>
      <x:c r="K67" s="535" t="str"/>
      <x:c r="L67" s="535" t="str"/>
    </x:row>
    <x:row r="68" ht="88" customHeight="1">
      <x:c r="A68" s="571" t="str">
        <x:v>F07</x:v>
      </x:c>
      <x:c r="B68" s="571" t="n">
        <x:v>3</x:v>
      </x:c>
      <x:c r="C68" s="571" t="str">
        <x:v>研判和告警关联</x:v>
      </x:c>
      <x:c r="D68" s="571" t="str">
        <x:v>自动 / 自动 / 手动</x:v>
      </x:c>
      <x:c r="E68" s="572" t="str">
        <x:v>打开计划、合法性研判和告警，核对同一目标、计划、研判和事件关系。</x:v>
      </x:c>
      <x:c r="F68" s="572" t="str">
        <x:v>主链准备明确违规且证据充分的事件；各页同一事实。若本轮是合法或误报分支，按该分支正确阻止后续。</x:v>
      </x:c>
      <x:c r="G68" s="535" t="str">
        <x:v>还没测</x:v>
      </x:c>
      <x:c r="H68" s="535" t="str"/>
      <x:c r="I68" s="535" t="str"/>
      <x:c r="J68" s="536" t="str"/>
      <x:c r="K68" s="535" t="str"/>
      <x:c r="L68" s="535" t="str"/>
    </x:row>
    <x:row r="69" ht="88" customHeight="1">
      <x:c r="A69" s="571" t="str">
        <x:v>F07</x:v>
      </x:c>
      <x:c r="B69" s="571" t="n">
        <x:v>4</x:v>
      </x:c>
      <x:c r="C69" s="571" t="str">
        <x:v>核实告警</x:v>
      </x:c>
      <x:c r="D69" s="571" t="str">
        <x:v>自动 / 自动 / 手动</x:v>
      </x:c>
      <x:c r="E69" s="572" t="str">
        <x:v>不点击核实，等待已启用规则满足。</x:v>
      </x:c>
      <x:c r="F69" s="572" t="str">
        <x:v>系统按规则核实一次；留有系统处理身份、时间和判定依据。</x:v>
      </x:c>
      <x:c r="G69" s="535" t="str">
        <x:v>还没测</x:v>
      </x:c>
      <x:c r="H69" s="535" t="str"/>
      <x:c r="I69" s="535" t="str"/>
      <x:c r="J69" s="536" t="str"/>
      <x:c r="K69" s="535" t="str"/>
      <x:c r="L69" s="535" t="str"/>
    </x:row>
    <x:row r="70" ht="88" customHeight="1">
      <x:c r="A70" s="571" t="str">
        <x:v>F07</x:v>
      </x:c>
      <x:c r="B70" s="571" t="n">
        <x:v>5</x:v>
      </x:c>
      <x:c r="C70" s="571" t="str">
        <x:v>飞手通知和位置观察</x:v>
      </x:c>
      <x:c r="D70" s="571" t="str">
        <x:v>自动 / 自动 / 手动</x:v>
      </x:c>
      <x:c r="E70" s="572" t="str">
        <x:v>检查短信发送/送达、观察开始/结束、电话接通/播放与新位置；按本轮条件操作目标。</x:v>
      </x:c>
      <x:c r="F70" s="572" t="str">
        <x:v>主链持续在域时按已确认时长推进到待反制；短信、电话、飞离各凭自己的真实依据。</x:v>
      </x:c>
      <x:c r="G70" s="535" t="str">
        <x:v>还没测</x:v>
      </x:c>
      <x:c r="H70" s="535" t="str"/>
      <x:c r="I70" s="535" t="str"/>
      <x:c r="J70" s="536" t="str"/>
      <x:c r="K70" s="535" t="str"/>
      <x:c r="L70" s="535" t="str"/>
    </x:row>
    <x:row r="71" ht="88" customHeight="1">
      <x:c r="A71" s="571" t="str">
        <x:v>F07</x:v>
      </x:c>
      <x:c r="B71" s="571" t="n">
        <x:v>6</x:v>
      </x:c>
      <x:c r="C71" s="571" t="str">
        <x:v>反制发起和授权</x:v>
      </x:c>
      <x:c r="D71" s="571" t="str">
        <x:v>自动 / 自动 / 手动</x:v>
      </x:c>
      <x:c r="E71" s="572" t="str">
        <x:v>进入待反制后不点发起，等待规则满足；检查当前证据和唯一可用测试设备。</x:v>
      </x:c>
      <x:c r="F71" s="572" t="str">
        <x:v>符合条件才由系统发起；记录系统身份和实际授权依据，不伪造人工审批。</x:v>
      </x:c>
      <x:c r="G71" s="535" t="str">
        <x:v>还没测</x:v>
      </x:c>
      <x:c r="H71" s="535" t="str"/>
      <x:c r="I71" s="535" t="str"/>
      <x:c r="J71" s="536" t="str"/>
      <x:c r="K71" s="535" t="str"/>
      <x:c r="L71" s="535" t="str"/>
    </x:row>
    <x:row r="72" ht="88" customHeight="1">
      <x:c r="A72" s="571" t="str">
        <x:v>F07</x:v>
      </x:c>
      <x:c r="B72" s="571" t="n">
        <x:v>7</x:v>
      </x:c>
      <x:c r="C72" s="571" t="str">
        <x:v>反制与干扰两段结果</x:v>
      </x:c>
      <x:c r="D72" s="571" t="str">
        <x:v>自动 / 自动 / 手动</x:v>
      </x:c>
      <x:c r="E72" s="572" t="str">
        <x:v>核对反制父授权、命令和实际回执；完成后核对干扰子授权、父子关系、第二条命令及回执。</x:v>
      </x:c>
      <x:c r="F72" s="572" t="str">
        <x:v>续链仍需当前证据、有效授权、范围、设备及急停检查。两段分别记结果；干扰失败不把反制完成抹掉，也不能冒充干扰完成。</x:v>
      </x:c>
      <x:c r="G72" s="535" t="str">
        <x:v>还没测</x:v>
      </x:c>
      <x:c r="H72" s="535" t="str"/>
      <x:c r="I72" s="535" t="str"/>
      <x:c r="J72" s="536" t="str"/>
      <x:c r="K72" s="535" t="str"/>
      <x:c r="L72" s="535" t="str"/>
    </x:row>
    <x:row r="73" ht="88" customHeight="1">
      <x:c r="A73" s="571" t="str">
        <x:v>F07</x:v>
      </x:c>
      <x:c r="B73" s="571" t="n">
        <x:v>8</x:v>
      </x:c>
      <x:c r="C73" s="571" t="str">
        <x:v>移送送达签收与办理结果</x:v>
      </x:c>
      <x:c r="D73" s="571" t="str">
        <x:v>自动 / 自动 / 手动</x:v>
      </x:c>
      <x:c r="E73" s="572" t="str">
        <x:v>干扰完成后查冻结交接。自动通知组合等待规则通过后投递；手动组合在引擎开启且本类停用时由有权人员发送。分别查送达、签收和正式办理结果。</x:v>
      </x:c>
      <x:c r="F73" s="572" t="str">
        <x:v>通知方式符合配置。发送、送达、签收分开；有正式办理结果才展示，没有就明确尚无结果，不能强行显示处罚完成。</x:v>
      </x:c>
      <x:c r="G73" s="535" t="str">
        <x:v>还没测</x:v>
      </x:c>
      <x:c r="H73" s="535" t="str"/>
      <x:c r="I73" s="535" t="str"/>
      <x:c r="J73" s="536" t="str"/>
      <x:c r="K73" s="535" t="str"/>
      <x:c r="L73" s="535" t="str"/>
    </x:row>
    <x:row r="74" ht="88" customHeight="1">
      <x:c r="A74" s="571" t="str">
        <x:v>F07</x:v>
      </x:c>
      <x:c r="B74" s="571" t="n">
        <x:v>9</x:v>
      </x:c>
      <x:c r="C74" s="571" t="str">
        <x:v>证据统计与跨页一致</x:v>
      </x:c>
      <x:c r="D74" s="571" t="str">
        <x:v>自动 / 自动 / 手动</x:v>
      </x:c>
      <x:c r="E74" s="572" t="str">
        <x:v>在证据、统计、告警、计划和移送页按同一事件核对。记录所有关联编号和重要时间。</x:v>
      </x:c>
      <x:c r="F74" s="572" t="str">
        <x:v>原始与冻结材料完整；事件、授权、命令、通知、交接能互相对应；统计按真实事实计数，不把签收当结案。</x:v>
      </x:c>
      <x:c r="G74" s="535" t="str">
        <x:v>还没测</x:v>
      </x:c>
      <x:c r="H74" s="535" t="str"/>
      <x:c r="I74" s="535" t="str"/>
      <x:c r="J74" s="536" t="str"/>
      <x:c r="K74" s="535" t="str"/>
      <x:c r="L74" s="535" t="str"/>
    </x:row>
    <x:row r="75" ht="88" customHeight="1">
      <x:c r="A75" s="571" t="str">
        <x:v>F07</x:v>
      </x:c>
      <x:c r="B75" s="571" t="n">
        <x:v>10</x:v>
      </x:c>
      <x:c r="C75" s="571" t="str">
        <x:v>关闭页面与重登复查</x:v>
      </x:c>
      <x:c r="D75" s="571" t="str">
        <x:v>自动 / 自动 / 手动</x:v>
      </x:c>
      <x:c r="E75" s="572" t="str">
        <x:v>本轮适用的自动等待阶段关闭页面再打开；结束后刷新、退出重登。核对动作次数并停止模拟。</x:v>
      </x:c>
      <x:c r="F75" s="572" t="str">
        <x:v>自动办理不依赖页面打开；刷新重登不重复动作；最终结果稳定，历史保留，模拟任务已明确停止。</x:v>
      </x:c>
      <x:c r="G75" s="535" t="str">
        <x:v>还没测</x:v>
      </x:c>
      <x:c r="H75" s="535" t="str"/>
      <x:c r="I75" s="535" t="str"/>
      <x:c r="J75" s="536" t="str"/>
      <x:c r="K75" s="535" t="str"/>
      <x:c r="L75" s="535" t="str"/>
    </x:row>
    <x:row r="76" ht="88" customHeight="1">
      <x:c r="A76" s="573" t="str">
        <x:v>F08</x:v>
      </x:c>
      <x:c r="B76" s="573" t="n">
        <x:v>1</x:v>
      </x:c>
      <x:c r="C76" s="573" t="str">
        <x:v>后台配置与测试准备</x:v>
      </x:c>
      <x:c r="D76" s="573" t="str">
        <x:v>自动 / 自动 / 自动</x:v>
      </x:c>
      <x:c r="E76" s="574" t="str">
        <x:v>引擎开启并健康，按本组合逐类启停规则；保存回读版本、范围、时段、通道及授权依据。缺授权口径时记录暂时测不了。</x:v>
      </x:c>
      <x:c r="F76" s="574" t="str">
        <x:v>实际运行设置与本轮相符；模拟通道可用。无。按组合从头执行。</x:v>
      </x:c>
      <x:c r="G76" s="575" t="str">
        <x:v>还没测</x:v>
      </x:c>
      <x:c r="H76" s="575" t="str"/>
      <x:c r="I76" s="575" t="str"/>
      <x:c r="J76" s="576" t="str"/>
      <x:c r="K76" s="575" t="str"/>
      <x:c r="L76" s="575" t="str"/>
    </x:row>
    <x:row r="77" ht="88" customHeight="1">
      <x:c r="A77" s="577" t="str">
        <x:v>F08</x:v>
      </x:c>
      <x:c r="B77" s="577" t="n">
        <x:v>2</x:v>
      </x:c>
      <x:c r="C77" s="577" t="str">
        <x:v>输入数据并识别目标</x:v>
      </x:c>
      <x:c r="D77" s="577" t="str">
        <x:v>自动 / 自动 / 自动</x:v>
      </x:c>
      <x:c r="E77" s="578" t="str">
        <x:v>启动新批次，通过获准入口输入计划和目标数据；记录唯一目标、计划和设备编号。</x:v>
      </x:c>
      <x:c r="F77" s="578" t="str">
        <x:v>能在融合感知查到同一目标，位置、时间和模拟标记正确；发送成功不代替平台已接收。</x:v>
      </x:c>
      <x:c r="G77" s="535" t="str">
        <x:v>还没测</x:v>
      </x:c>
      <x:c r="H77" s="535" t="str"/>
      <x:c r="I77" s="535" t="str"/>
      <x:c r="J77" s="536" t="str"/>
      <x:c r="K77" s="535" t="str"/>
      <x:c r="L77" s="535" t="str"/>
    </x:row>
    <x:row r="78" ht="88" customHeight="1">
      <x:c r="A78" s="577" t="str">
        <x:v>F08</x:v>
      </x:c>
      <x:c r="B78" s="577" t="n">
        <x:v>3</x:v>
      </x:c>
      <x:c r="C78" s="577" t="str">
        <x:v>研判和告警关联</x:v>
      </x:c>
      <x:c r="D78" s="577" t="str">
        <x:v>自动 / 自动 / 自动</x:v>
      </x:c>
      <x:c r="E78" s="578" t="str">
        <x:v>打开计划、合法性研判和告警，核对同一目标、计划、研判和事件关系。</x:v>
      </x:c>
      <x:c r="F78" s="578" t="str">
        <x:v>主链准备明确违规且证据充分的事件；各页同一事实。若本轮是合法或误报分支，按该分支正确阻止后续。</x:v>
      </x:c>
      <x:c r="G78" s="535" t="str">
        <x:v>还没测</x:v>
      </x:c>
      <x:c r="H78" s="535" t="str"/>
      <x:c r="I78" s="535" t="str"/>
      <x:c r="J78" s="536" t="str"/>
      <x:c r="K78" s="535" t="str"/>
      <x:c r="L78" s="535" t="str"/>
    </x:row>
    <x:row r="79" ht="88" customHeight="1">
      <x:c r="A79" s="577" t="str">
        <x:v>F08</x:v>
      </x:c>
      <x:c r="B79" s="577" t="n">
        <x:v>4</x:v>
      </x:c>
      <x:c r="C79" s="577" t="str">
        <x:v>核实告警</x:v>
      </x:c>
      <x:c r="D79" s="577" t="str">
        <x:v>自动 / 自动 / 自动</x:v>
      </x:c>
      <x:c r="E79" s="578" t="str">
        <x:v>不点击核实，等待已启用规则满足。</x:v>
      </x:c>
      <x:c r="F79" s="578" t="str">
        <x:v>系统按规则核实一次；留有系统处理身份、时间和判定依据。</x:v>
      </x:c>
      <x:c r="G79" s="535" t="str">
        <x:v>还没测</x:v>
      </x:c>
      <x:c r="H79" s="535" t="str"/>
      <x:c r="I79" s="535" t="str"/>
      <x:c r="J79" s="536" t="str"/>
      <x:c r="K79" s="535" t="str"/>
      <x:c r="L79" s="535" t="str"/>
    </x:row>
    <x:row r="80" ht="88" customHeight="1">
      <x:c r="A80" s="577" t="str">
        <x:v>F08</x:v>
      </x:c>
      <x:c r="B80" s="577" t="n">
        <x:v>5</x:v>
      </x:c>
      <x:c r="C80" s="577" t="str">
        <x:v>飞手通知和位置观察</x:v>
      </x:c>
      <x:c r="D80" s="577" t="str">
        <x:v>自动 / 自动 / 自动</x:v>
      </x:c>
      <x:c r="E80" s="578" t="str">
        <x:v>检查短信发送/送达、观察开始/结束、电话接通/播放与新位置；按本轮条件操作目标。</x:v>
      </x:c>
      <x:c r="F80" s="578" t="str">
        <x:v>主链持续在域时按已确认时长推进到待反制；短信、电话、飞离各凭自己的真实依据。</x:v>
      </x:c>
      <x:c r="G80" s="535" t="str">
        <x:v>还没测</x:v>
      </x:c>
      <x:c r="H80" s="535" t="str"/>
      <x:c r="I80" s="535" t="str"/>
      <x:c r="J80" s="536" t="str"/>
      <x:c r="K80" s="535" t="str"/>
      <x:c r="L80" s="535" t="str"/>
    </x:row>
    <x:row r="81" ht="88" customHeight="1">
      <x:c r="A81" s="577" t="str">
        <x:v>F08</x:v>
      </x:c>
      <x:c r="B81" s="577" t="n">
        <x:v>6</x:v>
      </x:c>
      <x:c r="C81" s="577" t="str">
        <x:v>反制发起和授权</x:v>
      </x:c>
      <x:c r="D81" s="577" t="str">
        <x:v>自动 / 自动 / 自动</x:v>
      </x:c>
      <x:c r="E81" s="578" t="str">
        <x:v>进入待反制后不点发起，等待规则满足；检查当前证据和唯一可用测试设备。</x:v>
      </x:c>
      <x:c r="F81" s="578" t="str">
        <x:v>符合条件才由系统发起；记录系统身份和实际授权依据，不伪造人工审批。</x:v>
      </x:c>
      <x:c r="G81" s="535" t="str">
        <x:v>还没测</x:v>
      </x:c>
      <x:c r="H81" s="535" t="str"/>
      <x:c r="I81" s="535" t="str"/>
      <x:c r="J81" s="536" t="str"/>
      <x:c r="K81" s="535" t="str"/>
      <x:c r="L81" s="535" t="str"/>
    </x:row>
    <x:row r="82" ht="88" customHeight="1">
      <x:c r="A82" s="577" t="str">
        <x:v>F08</x:v>
      </x:c>
      <x:c r="B82" s="577" t="n">
        <x:v>7</x:v>
      </x:c>
      <x:c r="C82" s="577" t="str">
        <x:v>反制与干扰两段结果</x:v>
      </x:c>
      <x:c r="D82" s="577" t="str">
        <x:v>自动 / 自动 / 自动</x:v>
      </x:c>
      <x:c r="E82" s="578" t="str">
        <x:v>核对反制父授权、命令和实际回执；完成后核对干扰子授权、父子关系、第二条命令及回执。</x:v>
      </x:c>
      <x:c r="F82" s="578" t="str">
        <x:v>续链仍需当前证据、有效授权、范围、设备及急停检查。两段分别记结果；干扰失败不把反制完成抹掉，也不能冒充干扰完成。</x:v>
      </x:c>
      <x:c r="G82" s="535" t="str">
        <x:v>还没测</x:v>
      </x:c>
      <x:c r="H82" s="535" t="str"/>
      <x:c r="I82" s="535" t="str"/>
      <x:c r="J82" s="536" t="str"/>
      <x:c r="K82" s="535" t="str"/>
      <x:c r="L82" s="535" t="str"/>
    </x:row>
    <x:row r="83" ht="88" customHeight="1">
      <x:c r="A83" s="577" t="str">
        <x:v>F08</x:v>
      </x:c>
      <x:c r="B83" s="577" t="n">
        <x:v>8</x:v>
      </x:c>
      <x:c r="C83" s="577" t="str">
        <x:v>移送送达签收与办理结果</x:v>
      </x:c>
      <x:c r="D83" s="577" t="str">
        <x:v>自动 / 自动 / 自动</x:v>
      </x:c>
      <x:c r="E83" s="578" t="str">
        <x:v>干扰完成后查冻结交接。自动通知组合等待规则通过后投递；手动组合在引擎开启且本类停用时由有权人员发送。分别查送达、签收和正式办理结果。</x:v>
      </x:c>
      <x:c r="F83" s="578" t="str">
        <x:v>通知方式符合配置。发送、送达、签收分开；有正式办理结果才展示，没有就明确尚无结果，不能强行显示处罚完成。</x:v>
      </x:c>
      <x:c r="G83" s="535" t="str">
        <x:v>还没测</x:v>
      </x:c>
      <x:c r="H83" s="535" t="str"/>
      <x:c r="I83" s="535" t="str"/>
      <x:c r="J83" s="536" t="str"/>
      <x:c r="K83" s="535" t="str"/>
      <x:c r="L83" s="535" t="str"/>
    </x:row>
    <x:row r="84" ht="88" customHeight="1">
      <x:c r="A84" s="577" t="str">
        <x:v>F08</x:v>
      </x:c>
      <x:c r="B84" s="577" t="n">
        <x:v>9</x:v>
      </x:c>
      <x:c r="C84" s="577" t="str">
        <x:v>证据统计与跨页一致</x:v>
      </x:c>
      <x:c r="D84" s="577" t="str">
        <x:v>自动 / 自动 / 自动</x:v>
      </x:c>
      <x:c r="E84" s="578" t="str">
        <x:v>在证据、统计、告警、计划和移送页按同一事件核对。记录所有关联编号和重要时间。</x:v>
      </x:c>
      <x:c r="F84" s="578" t="str">
        <x:v>原始与冻结材料完整；事件、授权、命令、通知、交接能互相对应；统计按真实事实计数，不把签收当结案。</x:v>
      </x:c>
      <x:c r="G84" s="535" t="str">
        <x:v>还没测</x:v>
      </x:c>
      <x:c r="H84" s="535" t="str"/>
      <x:c r="I84" s="535" t="str"/>
      <x:c r="J84" s="536" t="str"/>
      <x:c r="K84" s="535" t="str"/>
      <x:c r="L84" s="535" t="str"/>
    </x:row>
    <x:row r="85" ht="88" customHeight="1">
      <x:c r="A85" s="577" t="str">
        <x:v>F08</x:v>
      </x:c>
      <x:c r="B85" s="577" t="n">
        <x:v>10</x:v>
      </x:c>
      <x:c r="C85" s="577" t="str">
        <x:v>关闭页面与重登复查</x:v>
      </x:c>
      <x:c r="D85" s="577" t="str">
        <x:v>自动 / 自动 / 自动</x:v>
      </x:c>
      <x:c r="E85" s="578" t="str">
        <x:v>本轮适用的自动等待阶段关闭页面再打开；结束后刷新、退出重登。核对动作次数并停止模拟。</x:v>
      </x:c>
      <x:c r="F85" s="578" t="str">
        <x:v>自动办理不依赖页面打开；刷新重登不重复动作；最终结果稳定，历史保留，模拟任务已明确停止。</x:v>
      </x:c>
      <x:c r="G85" s="535" t="str">
        <x:v>还没测</x:v>
      </x:c>
      <x:c r="H85" s="535" t="str"/>
      <x:c r="I85" s="535" t="str"/>
      <x:c r="J85" s="536" t="str"/>
      <x:c r="K85" s="535" t="str"/>
      <x:c r="L85" s="535" t="str"/>
    </x:row>
    <x:row r="86" ht="88" customHeight="1">
      <x:c r="A86" s="529" t="str">
        <x:v>F09</x:v>
      </x:c>
      <x:c r="B86" s="529" t="n">
        <x:v>1</x:v>
      </x:c>
      <x:c r="C86" s="529" t="str">
        <x:v>后台配置与测试准备</x:v>
      </x:c>
      <x:c r="D86" s="529" t="str">
        <x:v>正常飞行不误触发</x:v>
      </x:c>
      <x:c r="E86" s="530" t="str">
        <x:v>按M8设置三类规则，并保存回读。记录有效时长、账号、范围、设备、通道和规则版本。</x:v>
      </x:c>
      <x:c r="F86" s="530" t="str">
        <x:v>实际运行设置与本轮相符；模拟通道可用。提供有效计划并持续沿计划飞行。</x:v>
      </x:c>
      <x:c r="G86" s="531" t="str">
        <x:v>还没测</x:v>
      </x:c>
      <x:c r="H86" s="531" t="str"/>
      <x:c r="I86" s="531" t="str"/>
      <x:c r="J86" s="532" t="str"/>
      <x:c r="K86" s="531" t="str"/>
      <x:c r="L86" s="531" t="str"/>
    </x:row>
    <x:row r="87" ht="88" customHeight="1">
      <x:c r="A87" s="533" t="str">
        <x:v>F09</x:v>
      </x:c>
      <x:c r="B87" s="533" t="n">
        <x:v>2</x:v>
      </x:c>
      <x:c r="C87" s="533" t="str">
        <x:v>输入数据并识别目标</x:v>
      </x:c>
      <x:c r="D87" s="533" t="str">
        <x:v>正常飞行不误触发</x:v>
      </x:c>
      <x:c r="E87" s="534" t="str">
        <x:v>启动新批次，通过获准入口输入计划和目标数据；记录唯一目标、计划和设备编号。</x:v>
      </x:c>
      <x:c r="F87" s="534" t="str">
        <x:v>能在融合感知查到同一目标，位置、时间和模拟标记正确；发送成功不代替平台已接收。</x:v>
      </x:c>
      <x:c r="G87" s="535" t="str">
        <x:v>还没测</x:v>
      </x:c>
      <x:c r="H87" s="535" t="str"/>
      <x:c r="I87" s="535" t="str"/>
      <x:c r="J87" s="536" t="str"/>
      <x:c r="K87" s="535" t="str"/>
      <x:c r="L87" s="535" t="str"/>
    </x:row>
    <x:row r="88" ht="88" customHeight="1">
      <x:c r="A88" s="533" t="str">
        <x:v>F09</x:v>
      </x:c>
      <x:c r="B88" s="533" t="n">
        <x:v>3</x:v>
      </x:c>
      <x:c r="C88" s="533" t="str">
        <x:v>研判和告警关联</x:v>
      </x:c>
      <x:c r="D88" s="533" t="str">
        <x:v>正常飞行不误触发</x:v>
      </x:c>
      <x:c r="E88" s="534" t="str">
        <x:v>打开计划、合法性研判和告警，核对同一目标、计划、研判和事件关系。</x:v>
      </x:c>
      <x:c r="F88" s="534" t="str">
        <x:v>明确合法依据与计划一致；没有无故告警。</x:v>
      </x:c>
      <x:c r="G88" s="535" t="str">
        <x:v>还没测</x:v>
      </x:c>
      <x:c r="H88" s="535" t="str"/>
      <x:c r="I88" s="535" t="str"/>
      <x:c r="J88" s="536" t="str"/>
      <x:c r="K88" s="535" t="str"/>
      <x:c r="L88" s="535" t="str"/>
    </x:row>
    <x:row r="89" ht="88" customHeight="1">
      <x:c r="A89" s="533" t="str">
        <x:v>F09</x:v>
      </x:c>
      <x:c r="B89" s="533" t="n">
        <x:v>4</x:v>
      </x:c>
      <x:c r="C89" s="533" t="str">
        <x:v>合法目标无须违规核实</x:v>
      </x:c>
      <x:c r="D89" s="533" t="str">
        <x:v>正常飞行不误触发</x:v>
      </x:c>
      <x:c r="E89" s="534" t="str">
        <x:v>查看研判和告警列表，不人为捏造告警。</x:v>
      </x:c>
      <x:c r="F89" s="534" t="str">
        <x:v>无需要处理的违规告警；不强行要求人工确认可靠明确结论。</x:v>
      </x:c>
      <x:c r="G89" s="535" t="str">
        <x:v>还没测</x:v>
      </x:c>
      <x:c r="H89" s="535" t="str"/>
      <x:c r="I89" s="535" t="str"/>
      <x:c r="J89" s="536" t="str"/>
      <x:c r="K89" s="535" t="str"/>
      <x:c r="L89" s="535" t="str"/>
    </x:row>
    <x:row r="90" ht="88" customHeight="1">
      <x:c r="A90" s="533" t="str">
        <x:v>F09</x:v>
      </x:c>
      <x:c r="B90" s="533" t="n">
        <x:v>5</x:v>
      </x:c>
      <x:c r="C90" s="533" t="str">
        <x:v>确认没有误发通知</x:v>
      </x:c>
      <x:c r="D90" s="533" t="str">
        <x:v>正常飞行不误触发</x:v>
      </x:c>
      <x:c r="E90" s="534" t="str">
        <x:v>核对该目标相关的通知任务与收件箱。</x:v>
      </x:c>
      <x:c r="F90" s="534" t="str">
        <x:v>没有因正常飞行误发短信或电话。</x:v>
      </x:c>
      <x:c r="G90" s="535" t="str">
        <x:v>还没测</x:v>
      </x:c>
      <x:c r="H90" s="535" t="str"/>
      <x:c r="I90" s="535" t="str"/>
      <x:c r="J90" s="536" t="str"/>
      <x:c r="K90" s="535" t="str"/>
      <x:c r="L90" s="535" t="str"/>
    </x:row>
    <x:row r="91" ht="88" customHeight="1">
      <x:c r="A91" s="533" t="str">
        <x:v>F09</x:v>
      </x:c>
      <x:c r="B91" s="533" t="n">
        <x:v>6</x:v>
      </x:c>
      <x:c r="C91" s="533" t="str">
        <x:v>反制正确阻断</x:v>
      </x:c>
      <x:c r="D91" s="533" t="str">
        <x:v>正常飞行不误触发</x:v>
      </x:c>
      <x:c r="E91" s="534" t="str">
        <x:v>尝试查看/发起反制并检查后台是否产生了自动动作。</x:v>
      </x:c>
      <x:c r="F91" s="534" t="str">
        <x:v>合法依据明确，不产生无故通知、反制或处罚交接。 本步骤以正确阻断及无多余命令为通过。</x:v>
      </x:c>
      <x:c r="G91" s="535" t="str">
        <x:v>还没测</x:v>
      </x:c>
      <x:c r="H91" s="535" t="str"/>
      <x:c r="I91" s="535" t="str"/>
      <x:c r="J91" s="536" t="str"/>
      <x:c r="K91" s="535" t="str"/>
      <x:c r="L91" s="535" t="str"/>
    </x:row>
    <x:row r="92" ht="88" customHeight="1">
      <x:c r="A92" s="533" t="str">
        <x:v>F09</x:v>
      </x:c>
      <x:c r="B92" s="533" t="n">
        <x:v>7</x:v>
      </x:c>
      <x:c r="C92" s="533" t="str">
        <x:v>确认没有错误设备动作</x:v>
      </x:c>
      <x:c r="D92" s="533" t="str">
        <x:v>正常飞行不误触发</x:v>
      </x:c>
      <x:c r="E92" s="534" t="str">
        <x:v>核对当前事件的指令记录和测试设备接收记录。</x:v>
      </x:c>
      <x:c r="F92" s="534" t="str">
        <x:v>本轮不应执行的动作确实没有发生；不能只因页面没显示就判为未下发。</x:v>
      </x:c>
      <x:c r="G92" s="535" t="str">
        <x:v>还没测</x:v>
      </x:c>
      <x:c r="H92" s="535" t="str"/>
      <x:c r="I92" s="535" t="str"/>
      <x:c r="J92" s="536" t="str"/>
      <x:c r="K92" s="535" t="str"/>
      <x:c r="L92" s="535" t="str"/>
    </x:row>
    <x:row r="93" ht="88" customHeight="1">
      <x:c r="A93" s="533" t="str">
        <x:v>F09</x:v>
      </x:c>
      <x:c r="B93" s="533" t="n">
        <x:v>8</x:v>
      </x:c>
      <x:c r="C93" s="533" t="str">
        <x:v>确认没有错误处罚交接</x:v>
      </x:c>
      <x:c r="D93" s="533" t="str">
        <x:v>正常飞行不误触发</x:v>
      </x:c>
      <x:c r="E93" s="534" t="str">
        <x:v>核对本事件是否产生了不该有的处罚通知或交接；查看保留的历史。</x:v>
      </x:c>
      <x:c r="F93" s="534" t="str">
        <x:v>不因开了自动通知处罚就跳过实际依据；本轮无合法触发条件时不得错误移送。</x:v>
      </x:c>
      <x:c r="G93" s="535" t="str">
        <x:v>还没测</x:v>
      </x:c>
      <x:c r="H93" s="535" t="str"/>
      <x:c r="I93" s="535" t="str"/>
      <x:c r="J93" s="536" t="str"/>
      <x:c r="K93" s="535" t="str"/>
      <x:c r="L93" s="535" t="str"/>
    </x:row>
    <x:row r="94" ht="88" customHeight="1">
      <x:c r="A94" s="533" t="str">
        <x:v>F09</x:v>
      </x:c>
      <x:c r="B94" s="533" t="n">
        <x:v>9</x:v>
      </x:c>
      <x:c r="C94" s="533" t="str">
        <x:v>证据统计与跨页一致</x:v>
      </x:c>
      <x:c r="D94" s="533" t="str">
        <x:v>正常飞行不误触发</x:v>
      </x:c>
      <x:c r="E94" s="534" t="str">
        <x:v>在证据、统计、告警、计划和移送页按同一事件核对。记录所有关联编号和重要时间。</x:v>
      </x:c>
      <x:c r="F94" s="534" t="str">
        <x:v>原始与冻结材料完整；事件、授权、命令、通知、交接能互相对应；统计按真实事实计数，不把签收当结案。</x:v>
      </x:c>
      <x:c r="G94" s="535" t="str">
        <x:v>还没测</x:v>
      </x:c>
      <x:c r="H94" s="535" t="str"/>
      <x:c r="I94" s="535" t="str"/>
      <x:c r="J94" s="536" t="str"/>
      <x:c r="K94" s="535" t="str"/>
      <x:c r="L94" s="535" t="str"/>
    </x:row>
    <x:row r="95" ht="88" customHeight="1">
      <x:c r="A95" s="533" t="str">
        <x:v>F09</x:v>
      </x:c>
      <x:c r="B95" s="533" t="n">
        <x:v>10</x:v>
      </x:c>
      <x:c r="C95" s="533" t="str">
        <x:v>关闭页面与重登复查</x:v>
      </x:c>
      <x:c r="D95" s="533" t="str">
        <x:v>正常飞行不误触发</x:v>
      </x:c>
      <x:c r="E95" s="534" t="str">
        <x:v>本轮适用的自动等待阶段关闭页面再打开；结束后刷新、退出重登。核对动作次数并停止模拟。</x:v>
      </x:c>
      <x:c r="F95" s="534" t="str">
        <x:v>自动办理不依赖页面打开；刷新重登不重复动作；最终结果稳定，历史保留，模拟任务已明确停止。</x:v>
      </x:c>
      <x:c r="G95" s="535" t="str">
        <x:v>还没测</x:v>
      </x:c>
      <x:c r="H95" s="535" t="str"/>
      <x:c r="I95" s="535" t="str"/>
      <x:c r="J95" s="536" t="str"/>
      <x:c r="K95" s="535" t="str"/>
      <x:c r="L95" s="535" t="str"/>
    </x:row>
    <x:row r="96" ht="88" customHeight="1">
      <x:c r="A96" s="537" t="str">
        <x:v>F10</x:v>
      </x:c>
      <x:c r="B96" s="537" t="n">
        <x:v>1</x:v>
      </x:c>
      <x:c r="C96" s="537" t="str">
        <x:v>后台配置与测试准备</x:v>
      </x:c>
      <x:c r="D96" s="537" t="str">
        <x:v>手动核实为误报</x:v>
      </x:c>
      <x:c r="E96" s="538" t="str">
        <x:v>按M4设置三类规则，并保存回读。记录有效时长、账号、范围、设备、通道和规则版本。</x:v>
      </x:c>
      <x:c r="F96" s="538" t="str">
        <x:v>实际运行设置与本轮相符；模拟通道可用。待核实事件由人员判误报。</x:v>
      </x:c>
      <x:c r="G96" s="539" t="str">
        <x:v>还没测</x:v>
      </x:c>
      <x:c r="H96" s="539" t="str"/>
      <x:c r="I96" s="539" t="str"/>
      <x:c r="J96" s="540" t="str"/>
      <x:c r="K96" s="539" t="str"/>
      <x:c r="L96" s="539" t="str"/>
    </x:row>
    <x:row r="97" ht="88" customHeight="1">
      <x:c r="A97" s="541" t="str">
        <x:v>F10</x:v>
      </x:c>
      <x:c r="B97" s="541" t="n">
        <x:v>2</x:v>
      </x:c>
      <x:c r="C97" s="541" t="str">
        <x:v>输入数据并识别目标</x:v>
      </x:c>
      <x:c r="D97" s="541" t="str">
        <x:v>手动核实为误报</x:v>
      </x:c>
      <x:c r="E97" s="542" t="str">
        <x:v>启动新批次，通过获准入口输入计划和目标数据；记录唯一目标、计划和设备编号。</x:v>
      </x:c>
      <x:c r="F97" s="542" t="str">
        <x:v>能在融合感知查到同一目标，位置、时间和模拟标记正确；发送成功不代替平台已接收。</x:v>
      </x:c>
      <x:c r="G97" s="535" t="str">
        <x:v>还没测</x:v>
      </x:c>
      <x:c r="H97" s="535" t="str"/>
      <x:c r="I97" s="535" t="str"/>
      <x:c r="J97" s="536" t="str"/>
      <x:c r="K97" s="535" t="str"/>
      <x:c r="L97" s="535" t="str"/>
    </x:row>
    <x:row r="98" ht="88" customHeight="1">
      <x:c r="A98" s="541" t="str">
        <x:v>F10</x:v>
      </x:c>
      <x:c r="B98" s="541" t="n">
        <x:v>3</x:v>
      </x:c>
      <x:c r="C98" s="541" t="str">
        <x:v>研判和告警关联</x:v>
      </x:c>
      <x:c r="D98" s="541" t="str">
        <x:v>手动核实为误报</x:v>
      </x:c>
      <x:c r="E98" s="542" t="str">
        <x:v>打开计划、合法性研判和告警，核对同一目标、计划、研判和事件关系。</x:v>
      </x:c>
      <x:c r="F98" s="542" t="str">
        <x:v>主链准备明确违规且证据充分的事件；各页同一事实。若本轮是合法或误报分支，按该分支正确阻止后续。</x:v>
      </x:c>
      <x:c r="G98" s="535" t="str">
        <x:v>还没测</x:v>
      </x:c>
      <x:c r="H98" s="535" t="str"/>
      <x:c r="I98" s="535" t="str"/>
      <x:c r="J98" s="536" t="str"/>
      <x:c r="K98" s="535" t="str"/>
      <x:c r="L98" s="535" t="str"/>
    </x:row>
    <x:row r="99" ht="88" customHeight="1">
      <x:c r="A99" s="541" t="str">
        <x:v>F10</x:v>
      </x:c>
      <x:c r="B99" s="541" t="n">
        <x:v>4</x:v>
      </x:c>
      <x:c r="C99" s="541" t="str">
        <x:v>人工判误报</x:v>
      </x:c>
      <x:c r="D99" s="541" t="str">
        <x:v>手动核实为误报</x:v>
      </x:c>
      <x:c r="E99" s="542" t="str">
        <x:v>先确认处于待核实，值班人员选择误报并说明原因。</x:v>
      </x:c>
      <x:c r="F99" s="542" t="str">
        <x:v>误报事实和处理人保存；后续自动开关不能把该事件当属实。</x:v>
      </x:c>
      <x:c r="G99" s="535" t="str">
        <x:v>还没测</x:v>
      </x:c>
      <x:c r="H99" s="535" t="str"/>
      <x:c r="I99" s="535" t="str"/>
      <x:c r="J99" s="536" t="str"/>
      <x:c r="K99" s="535" t="str"/>
      <x:c r="L99" s="535" t="str"/>
    </x:row>
    <x:row r="100" ht="88" customHeight="1">
      <x:c r="A100" s="541" t="str">
        <x:v>F10</x:v>
      </x:c>
      <x:c r="B100" s="541" t="n">
        <x:v>5</x:v>
      </x:c>
      <x:c r="C100" s="541" t="str">
        <x:v>误报不进入通知链</x:v>
      </x:c>
      <x:c r="D100" s="541" t="str">
        <x:v>手动核实为误报</x:v>
      </x:c>
      <x:c r="E100" s="542" t="str">
        <x:v>查看该事件短信与电话记录并等待调度检查。</x:v>
      </x:c>
      <x:c r="F100" s="542" t="str">
        <x:v>误报不发短信、电话，不进入待反制。</x:v>
      </x:c>
      <x:c r="G100" s="535" t="str">
        <x:v>还没测</x:v>
      </x:c>
      <x:c r="H100" s="535" t="str"/>
      <x:c r="I100" s="535" t="str"/>
      <x:c r="J100" s="536" t="str"/>
      <x:c r="K100" s="535" t="str"/>
      <x:c r="L100" s="535" t="str"/>
    </x:row>
    <x:row r="101" ht="88" customHeight="1">
      <x:c r="A101" s="541" t="str">
        <x:v>F10</x:v>
      </x:c>
      <x:c r="B101" s="541" t="n">
        <x:v>6</x:v>
      </x:c>
      <x:c r="C101" s="541" t="str">
        <x:v>反制正确阻断</x:v>
      </x:c>
      <x:c r="D101" s="541" t="str">
        <x:v>手动核实为误报</x:v>
      </x:c>
      <x:c r="E101" s="542" t="str">
        <x:v>尝试查看/发起反制并检查后台是否产生了自动动作。</x:v>
      </x:c>
      <x:c r="F101" s="542" t="str">
        <x:v>后续虽配置自动，仍不能发短信、反制或通知处罚；误报历史保留。 本步骤以正确阻断及无多余命令为通过。</x:v>
      </x:c>
      <x:c r="G101" s="535" t="str">
        <x:v>还没测</x:v>
      </x:c>
      <x:c r="H101" s="535" t="str"/>
      <x:c r="I101" s="535" t="str"/>
      <x:c r="J101" s="536" t="str"/>
      <x:c r="K101" s="535" t="str"/>
      <x:c r="L101" s="535" t="str"/>
    </x:row>
    <x:row r="102" ht="88" customHeight="1">
      <x:c r="A102" s="541" t="str">
        <x:v>F10</x:v>
      </x:c>
      <x:c r="B102" s="541" t="n">
        <x:v>7</x:v>
      </x:c>
      <x:c r="C102" s="541" t="str">
        <x:v>确认没有错误设备动作</x:v>
      </x:c>
      <x:c r="D102" s="541" t="str">
        <x:v>手动核实为误报</x:v>
      </x:c>
      <x:c r="E102" s="542" t="str">
        <x:v>核对当前事件的指令记录和测试设备接收记录。</x:v>
      </x:c>
      <x:c r="F102" s="542" t="str">
        <x:v>本轮不应执行的动作确实没有发生；不能只因页面没显示就判为未下发。</x:v>
      </x:c>
      <x:c r="G102" s="535" t="str">
        <x:v>还没测</x:v>
      </x:c>
      <x:c r="H102" s="535" t="str"/>
      <x:c r="I102" s="535" t="str"/>
      <x:c r="J102" s="536" t="str"/>
      <x:c r="K102" s="535" t="str"/>
      <x:c r="L102" s="535" t="str"/>
    </x:row>
    <x:row r="103" ht="88" customHeight="1">
      <x:c r="A103" s="541" t="str">
        <x:v>F10</x:v>
      </x:c>
      <x:c r="B103" s="541" t="n">
        <x:v>8</x:v>
      </x:c>
      <x:c r="C103" s="541" t="str">
        <x:v>确认没有错误处罚交接</x:v>
      </x:c>
      <x:c r="D103" s="541" t="str">
        <x:v>手动核实为误报</x:v>
      </x:c>
      <x:c r="E103" s="542" t="str">
        <x:v>核对本事件是否产生了不该有的处罚通知或交接；查看保留的历史。</x:v>
      </x:c>
      <x:c r="F103" s="542" t="str">
        <x:v>不因开了自动通知处罚就跳过实际依据；本轮无合法触发条件时不得错误移送。</x:v>
      </x:c>
      <x:c r="G103" s="535" t="str">
        <x:v>还没测</x:v>
      </x:c>
      <x:c r="H103" s="535" t="str"/>
      <x:c r="I103" s="535" t="str"/>
      <x:c r="J103" s="536" t="str"/>
      <x:c r="K103" s="535" t="str"/>
      <x:c r="L103" s="535" t="str"/>
    </x:row>
    <x:row r="104" ht="88" customHeight="1">
      <x:c r="A104" s="541" t="str">
        <x:v>F10</x:v>
      </x:c>
      <x:c r="B104" s="541" t="n">
        <x:v>9</x:v>
      </x:c>
      <x:c r="C104" s="541" t="str">
        <x:v>证据统计与跨页一致</x:v>
      </x:c>
      <x:c r="D104" s="541" t="str">
        <x:v>手动核实为误报</x:v>
      </x:c>
      <x:c r="E104" s="542" t="str">
        <x:v>在证据、统计、告警、计划和移送页按同一事件核对。记录所有关联编号和重要时间。</x:v>
      </x:c>
      <x:c r="F104" s="542" t="str">
        <x:v>原始与冻结材料完整；事件、授权、命令、通知、交接能互相对应；统计按真实事实计数，不把签收当结案。</x:v>
      </x:c>
      <x:c r="G104" s="535" t="str">
        <x:v>还没测</x:v>
      </x:c>
      <x:c r="H104" s="535" t="str"/>
      <x:c r="I104" s="535" t="str"/>
      <x:c r="J104" s="536" t="str"/>
      <x:c r="K104" s="535" t="str"/>
      <x:c r="L104" s="535" t="str"/>
    </x:row>
    <x:row r="105" ht="88" customHeight="1">
      <x:c r="A105" s="541" t="str">
        <x:v>F10</x:v>
      </x:c>
      <x:c r="B105" s="541" t="n">
        <x:v>10</x:v>
      </x:c>
      <x:c r="C105" s="541" t="str">
        <x:v>关闭页面与重登复查</x:v>
      </x:c>
      <x:c r="D105" s="541" t="str">
        <x:v>手动核实为误报</x:v>
      </x:c>
      <x:c r="E105" s="542" t="str">
        <x:v>本轮适用的自动等待阶段关闭页面再打开；结束后刷新、退出重登。核对动作次数并停止模拟。</x:v>
      </x:c>
      <x:c r="F105" s="542" t="str">
        <x:v>自动办理不依赖页面打开；刷新重登不重复动作；最终结果稳定，历史保留，模拟任务已明确停止。</x:v>
      </x:c>
      <x:c r="G105" s="535" t="str">
        <x:v>还没测</x:v>
      </x:c>
      <x:c r="H105" s="535" t="str"/>
      <x:c r="I105" s="535" t="str"/>
      <x:c r="J105" s="536" t="str"/>
      <x:c r="K105" s="535" t="str"/>
      <x:c r="L105" s="535" t="str"/>
    </x:row>
    <x:row r="106" ht="88" customHeight="1">
      <x:c r="A106" s="543" t="str">
        <x:v>F11</x:v>
      </x:c>
      <x:c r="B106" s="543" t="n">
        <x:v>1</x:v>
      </x:c>
      <x:c r="C106" s="543" t="str">
        <x:v>后台配置与测试准备</x:v>
      </x:c>
      <x:c r="D106" s="543" t="str">
        <x:v>短信后飞离</x:v>
      </x:c>
      <x:c r="E106" s="544" t="str">
        <x:v>按M8设置三类规则，并保存回读。记录有效时长、账号、范围、设备、通道和规则版本。</x:v>
      </x:c>
      <x:c r="F106" s="544" t="str">
        <x:v>实际运行设置与本轮相符；模拟通道可用。短信送达后，目标持续上报飞离区域的有效位置。</x:v>
      </x:c>
      <x:c r="G106" s="545" t="str">
        <x:v>还没测</x:v>
      </x:c>
      <x:c r="H106" s="545" t="str"/>
      <x:c r="I106" s="545" t="str"/>
      <x:c r="J106" s="546" t="str"/>
      <x:c r="K106" s="545" t="str"/>
      <x:c r="L106" s="545" t="str"/>
    </x:row>
    <x:row r="107" ht="88" customHeight="1">
      <x:c r="A107" s="547" t="str">
        <x:v>F11</x:v>
      </x:c>
      <x:c r="B107" s="547" t="n">
        <x:v>2</x:v>
      </x:c>
      <x:c r="C107" s="547" t="str">
        <x:v>输入数据并识别目标</x:v>
      </x:c>
      <x:c r="D107" s="547" t="str">
        <x:v>短信后飞离</x:v>
      </x:c>
      <x:c r="E107" s="548" t="str">
        <x:v>启动新批次，通过获准入口输入计划和目标数据；记录唯一目标、计划和设备编号。</x:v>
      </x:c>
      <x:c r="F107" s="548" t="str">
        <x:v>能在融合感知查到同一目标，位置、时间和模拟标记正确；发送成功不代替平台已接收。</x:v>
      </x:c>
      <x:c r="G107" s="535" t="str">
        <x:v>还没测</x:v>
      </x:c>
      <x:c r="H107" s="535" t="str"/>
      <x:c r="I107" s="535" t="str"/>
      <x:c r="J107" s="536" t="str"/>
      <x:c r="K107" s="535" t="str"/>
      <x:c r="L107" s="535" t="str"/>
    </x:row>
    <x:row r="108" ht="88" customHeight="1">
      <x:c r="A108" s="547" t="str">
        <x:v>F11</x:v>
      </x:c>
      <x:c r="B108" s="547" t="n">
        <x:v>3</x:v>
      </x:c>
      <x:c r="C108" s="547" t="str">
        <x:v>研判和告警关联</x:v>
      </x:c>
      <x:c r="D108" s="547" t="str">
        <x:v>短信后飞离</x:v>
      </x:c>
      <x:c r="E108" s="548" t="str">
        <x:v>打开计划、合法性研判和告警，核对同一目标、计划、研判和事件关系。</x:v>
      </x:c>
      <x:c r="F108" s="548" t="str">
        <x:v>主链准备明确违规且证据充分的事件；各页同一事实。若本轮是合法或误报分支，按该分支正确阻止后续。</x:v>
      </x:c>
      <x:c r="G108" s="535" t="str">
        <x:v>还没测</x:v>
      </x:c>
      <x:c r="H108" s="535" t="str"/>
      <x:c r="I108" s="535" t="str"/>
      <x:c r="J108" s="536" t="str"/>
      <x:c r="K108" s="535" t="str"/>
      <x:c r="L108" s="535" t="str"/>
    </x:row>
    <x:row r="109" ht="88" customHeight="1">
      <x:c r="A109" s="547" t="str">
        <x:v>F11</x:v>
      </x:c>
      <x:c r="B109" s="547" t="n">
        <x:v>4</x:v>
      </x:c>
      <x:c r="C109" s="547" t="str">
        <x:v>核实告警</x:v>
      </x:c>
      <x:c r="D109" s="547" t="str">
        <x:v>短信后飞离</x:v>
      </x:c>
      <x:c r="E109" s="548" t="str">
        <x:v>不点击核实，等待已启用规则满足。</x:v>
      </x:c>
      <x:c r="F109" s="548" t="str">
        <x:v>系统按规则核实一次；留有系统处理身份、时间和判定依据。</x:v>
      </x:c>
      <x:c r="G109" s="535" t="str">
        <x:v>还没测</x:v>
      </x:c>
      <x:c r="H109" s="535" t="str"/>
      <x:c r="I109" s="535" t="str"/>
      <x:c r="J109" s="536" t="str"/>
      <x:c r="K109" s="535" t="str"/>
      <x:c r="L109" s="535" t="str"/>
    </x:row>
    <x:row r="110" ht="88" customHeight="1">
      <x:c r="A110" s="547" t="str">
        <x:v>F11</x:v>
      </x:c>
      <x:c r="B110" s="547" t="n">
        <x:v>5</x:v>
      </x:c>
      <x:c r="C110" s="547" t="str">
        <x:v>飞手通知和位置观察</x:v>
      </x:c>
      <x:c r="D110" s="547" t="str">
        <x:v>短信后飞离</x:v>
      </x:c>
      <x:c r="E110" s="548" t="str">
        <x:v>检查短信发送/送达、观察开始/结束、电话接通/播放与新位置；按本轮条件操作目标。 短信送达后，目标持续上报飞离区域的有效位置。</x:v>
      </x:c>
      <x:c r="F110" s="548" t="str">
        <x:v>通知升级及反制停止；保留告警确认和短信记录，不把移送规则当作处罚依据。</x:v>
      </x:c>
      <x:c r="G110" s="535" t="str">
        <x:v>还没测</x:v>
      </x:c>
      <x:c r="H110" s="535" t="str"/>
      <x:c r="I110" s="535" t="str"/>
      <x:c r="J110" s="536" t="str"/>
      <x:c r="K110" s="535" t="str"/>
      <x:c r="L110" s="535" t="str"/>
    </x:row>
    <x:row r="111" ht="88" customHeight="1">
      <x:c r="A111" s="547" t="str">
        <x:v>F11</x:v>
      </x:c>
      <x:c r="B111" s="547" t="n">
        <x:v>6</x:v>
      </x:c>
      <x:c r="C111" s="547" t="str">
        <x:v>反制正确阻断</x:v>
      </x:c>
      <x:c r="D111" s="547" t="str">
        <x:v>短信后飞离</x:v>
      </x:c>
      <x:c r="E111" s="548" t="str">
        <x:v>尝试查看/发起反制并检查后台是否产生了自动动作。</x:v>
      </x:c>
      <x:c r="F111" s="548" t="str">
        <x:v>通知升级及反制停止；保留告警确认和短信记录，不把移送规则当作处罚依据。 本步骤以正确阻断及无多余命令为通过。</x:v>
      </x:c>
      <x:c r="G111" s="535" t="str">
        <x:v>还没测</x:v>
      </x:c>
      <x:c r="H111" s="535" t="str"/>
      <x:c r="I111" s="535" t="str"/>
      <x:c r="J111" s="536" t="str"/>
      <x:c r="K111" s="535" t="str"/>
      <x:c r="L111" s="535" t="str"/>
    </x:row>
    <x:row r="112" ht="88" customHeight="1">
      <x:c r="A112" s="547" t="str">
        <x:v>F11</x:v>
      </x:c>
      <x:c r="B112" s="547" t="n">
        <x:v>7</x:v>
      </x:c>
      <x:c r="C112" s="547" t="str">
        <x:v>确认没有错误设备动作</x:v>
      </x:c>
      <x:c r="D112" s="547" t="str">
        <x:v>短信后飞离</x:v>
      </x:c>
      <x:c r="E112" s="548" t="str">
        <x:v>核对当前事件的指令记录和测试设备接收记录。</x:v>
      </x:c>
      <x:c r="F112" s="548" t="str">
        <x:v>本轮不应执行的动作确实没有发生；不能只因页面没显示就判为未下发。</x:v>
      </x:c>
      <x:c r="G112" s="535" t="str">
        <x:v>还没测</x:v>
      </x:c>
      <x:c r="H112" s="535" t="str"/>
      <x:c r="I112" s="535" t="str"/>
      <x:c r="J112" s="536" t="str"/>
      <x:c r="K112" s="535" t="str"/>
      <x:c r="L112" s="535" t="str"/>
    </x:row>
    <x:row r="113" ht="88" customHeight="1">
      <x:c r="A113" s="547" t="str">
        <x:v>F11</x:v>
      </x:c>
      <x:c r="B113" s="547" t="n">
        <x:v>8</x:v>
      </x:c>
      <x:c r="C113" s="547" t="str">
        <x:v>确认没有错误处罚交接</x:v>
      </x:c>
      <x:c r="D113" s="547" t="str">
        <x:v>短信后飞离</x:v>
      </x:c>
      <x:c r="E113" s="548" t="str">
        <x:v>核对本事件是否产生了不该有的处罚通知或交接；查看保留的历史。</x:v>
      </x:c>
      <x:c r="F113" s="548" t="str">
        <x:v>飞离或失联本身不能触发设备处置或自动干扰完成交接。若事件已核实且符合人工交接条件，可以按当前业务权限移送；不能因为未反制就一律禁止交接。</x:v>
      </x:c>
      <x:c r="G113" s="535" t="str">
        <x:v>还没测</x:v>
      </x:c>
      <x:c r="H113" s="535" t="str"/>
      <x:c r="I113" s="535" t="str"/>
      <x:c r="J113" s="536" t="str"/>
      <x:c r="K113" s="535" t="str"/>
      <x:c r="L113" s="535" t="str"/>
    </x:row>
    <x:row r="114" ht="88" customHeight="1">
      <x:c r="A114" s="547" t="str">
        <x:v>F11</x:v>
      </x:c>
      <x:c r="B114" s="547" t="n">
        <x:v>9</x:v>
      </x:c>
      <x:c r="C114" s="547" t="str">
        <x:v>证据统计与跨页一致</x:v>
      </x:c>
      <x:c r="D114" s="547" t="str">
        <x:v>短信后飞离</x:v>
      </x:c>
      <x:c r="E114" s="548" t="str">
        <x:v>在证据、统计、告警、计划和移送页按同一事件核对。记录所有关联编号和重要时间。</x:v>
      </x:c>
      <x:c r="F114" s="548" t="str">
        <x:v>原始与冻结材料完整；事件、授权、命令、通知、交接能互相对应；统计按真实事实计数，不把签收当结案。</x:v>
      </x:c>
      <x:c r="G114" s="535" t="str">
        <x:v>还没测</x:v>
      </x:c>
      <x:c r="H114" s="535" t="str"/>
      <x:c r="I114" s="535" t="str"/>
      <x:c r="J114" s="536" t="str"/>
      <x:c r="K114" s="535" t="str"/>
      <x:c r="L114" s="535" t="str"/>
    </x:row>
    <x:row r="115" ht="88" customHeight="1">
      <x:c r="A115" s="547" t="str">
        <x:v>F11</x:v>
      </x:c>
      <x:c r="B115" s="547" t="n">
        <x:v>10</x:v>
      </x:c>
      <x:c r="C115" s="547" t="str">
        <x:v>关闭页面与重登复查</x:v>
      </x:c>
      <x:c r="D115" s="547" t="str">
        <x:v>短信后飞离</x:v>
      </x:c>
      <x:c r="E115" s="548" t="str">
        <x:v>本轮适用的自动等待阶段关闭页面再打开；结束后刷新、退出重登。核对动作次数并停止模拟。</x:v>
      </x:c>
      <x:c r="F115" s="548" t="str">
        <x:v>自动办理不依赖页面打开；刷新重登不重复动作；最终结果稳定，历史保留，模拟任务已明确停止。</x:v>
      </x:c>
      <x:c r="G115" s="535" t="str">
        <x:v>还没测</x:v>
      </x:c>
      <x:c r="H115" s="535" t="str"/>
      <x:c r="I115" s="535" t="str"/>
      <x:c r="J115" s="536" t="str"/>
      <x:c r="K115" s="535" t="str"/>
      <x:c r="L115" s="535" t="str"/>
    </x:row>
    <x:row r="116" ht="88" customHeight="1">
      <x:c r="A116" s="549" t="str">
        <x:v>F12</x:v>
      </x:c>
      <x:c r="B116" s="549" t="n">
        <x:v>1</x:v>
      </x:c>
      <x:c r="C116" s="549" t="str">
        <x:v>后台配置与测试准备</x:v>
      </x:c>
      <x:c r="D116" s="549" t="str">
        <x:v>电话后飞离</x:v>
      </x:c>
      <x:c r="E116" s="550" t="str">
        <x:v>按M8设置三类规则，并保存回读。记录有效时长、账号、范围、设备、通道和规则版本。</x:v>
      </x:c>
      <x:c r="F116" s="550" t="str">
        <x:v>实际运行设置与本轮相符；模拟通道可用。短信后仍在域，电话播放完成后飞离并继续上报。</x:v>
      </x:c>
      <x:c r="G116" s="551" t="str">
        <x:v>还没测</x:v>
      </x:c>
      <x:c r="H116" s="551" t="str"/>
      <x:c r="I116" s="551" t="str"/>
      <x:c r="J116" s="552" t="str"/>
      <x:c r="K116" s="551" t="str"/>
      <x:c r="L116" s="551" t="str"/>
    </x:row>
    <x:row r="117" ht="88" customHeight="1">
      <x:c r="A117" s="553" t="str">
        <x:v>F12</x:v>
      </x:c>
      <x:c r="B117" s="553" t="n">
        <x:v>2</x:v>
      </x:c>
      <x:c r="C117" s="553" t="str">
        <x:v>输入数据并识别目标</x:v>
      </x:c>
      <x:c r="D117" s="553" t="str">
        <x:v>电话后飞离</x:v>
      </x:c>
      <x:c r="E117" s="554" t="str">
        <x:v>启动新批次，通过获准入口输入计划和目标数据；记录唯一目标、计划和设备编号。</x:v>
      </x:c>
      <x:c r="F117" s="554" t="str">
        <x:v>能在融合感知查到同一目标，位置、时间和模拟标记正确；发送成功不代替平台已接收。</x:v>
      </x:c>
      <x:c r="G117" s="535" t="str">
        <x:v>还没测</x:v>
      </x:c>
      <x:c r="H117" s="535" t="str"/>
      <x:c r="I117" s="535" t="str"/>
      <x:c r="J117" s="536" t="str"/>
      <x:c r="K117" s="535" t="str"/>
      <x:c r="L117" s="535" t="str"/>
    </x:row>
    <x:row r="118" ht="88" customHeight="1">
      <x:c r="A118" s="553" t="str">
        <x:v>F12</x:v>
      </x:c>
      <x:c r="B118" s="553" t="n">
        <x:v>3</x:v>
      </x:c>
      <x:c r="C118" s="553" t="str">
        <x:v>研判和告警关联</x:v>
      </x:c>
      <x:c r="D118" s="553" t="str">
        <x:v>电话后飞离</x:v>
      </x:c>
      <x:c r="E118" s="554" t="str">
        <x:v>打开计划、合法性研判和告警，核对同一目标、计划、研判和事件关系。</x:v>
      </x:c>
      <x:c r="F118" s="554" t="str">
        <x:v>主链准备明确违规且证据充分的事件；各页同一事实。若本轮是合法或误报分支，按该分支正确阻止后续。</x:v>
      </x:c>
      <x:c r="G118" s="535" t="str">
        <x:v>还没测</x:v>
      </x:c>
      <x:c r="H118" s="535" t="str"/>
      <x:c r="I118" s="535" t="str"/>
      <x:c r="J118" s="536" t="str"/>
      <x:c r="K118" s="535" t="str"/>
      <x:c r="L118" s="535" t="str"/>
    </x:row>
    <x:row r="119" ht="88" customHeight="1">
      <x:c r="A119" s="553" t="str">
        <x:v>F12</x:v>
      </x:c>
      <x:c r="B119" s="553" t="n">
        <x:v>4</x:v>
      </x:c>
      <x:c r="C119" s="553" t="str">
        <x:v>核实告警</x:v>
      </x:c>
      <x:c r="D119" s="553" t="str">
        <x:v>电话后飞离</x:v>
      </x:c>
      <x:c r="E119" s="554" t="str">
        <x:v>不点击核实，等待已启用规则满足。</x:v>
      </x:c>
      <x:c r="F119" s="554" t="str">
        <x:v>系统按规则核实一次；留有系统处理身份、时间和判定依据。</x:v>
      </x:c>
      <x:c r="G119" s="535" t="str">
        <x:v>还没测</x:v>
      </x:c>
      <x:c r="H119" s="535" t="str"/>
      <x:c r="I119" s="535" t="str"/>
      <x:c r="J119" s="536" t="str"/>
      <x:c r="K119" s="535" t="str"/>
      <x:c r="L119" s="535" t="str"/>
    </x:row>
    <x:row r="120" ht="88" customHeight="1">
      <x:c r="A120" s="553" t="str">
        <x:v>F12</x:v>
      </x:c>
      <x:c r="B120" s="553" t="n">
        <x:v>5</x:v>
      </x:c>
      <x:c r="C120" s="553" t="str">
        <x:v>飞手通知和位置观察</x:v>
      </x:c>
      <x:c r="D120" s="553" t="str">
        <x:v>电话后飞离</x:v>
      </x:c>
      <x:c r="E120" s="554" t="str">
        <x:v>检查短信发送/送达、观察开始/结束、电话接通/播放与新位置；按本轮条件操作目标。 短信后仍在域，电话播放完成后飞离并继续上报。</x:v>
      </x:c>
      <x:c r="F120" s="554" t="str">
        <x:v>第二段观察确认飞离，不继续反制；电话事实保留。</x:v>
      </x:c>
      <x:c r="G120" s="535" t="str">
        <x:v>还没测</x:v>
      </x:c>
      <x:c r="H120" s="535" t="str"/>
      <x:c r="I120" s="535" t="str"/>
      <x:c r="J120" s="536" t="str"/>
      <x:c r="K120" s="535" t="str"/>
      <x:c r="L120" s="535" t="str"/>
    </x:row>
    <x:row r="121" ht="88" customHeight="1">
      <x:c r="A121" s="553" t="str">
        <x:v>F12</x:v>
      </x:c>
      <x:c r="B121" s="553" t="n">
        <x:v>6</x:v>
      </x:c>
      <x:c r="C121" s="553" t="str">
        <x:v>反制正确阻断</x:v>
      </x:c>
      <x:c r="D121" s="553" t="str">
        <x:v>电话后飞离</x:v>
      </x:c>
      <x:c r="E121" s="554" t="str">
        <x:v>尝试查看/发起反制并检查后台是否产生了自动动作。</x:v>
      </x:c>
      <x:c r="F121" s="554" t="str">
        <x:v>第二段观察确认飞离，不继续反制；电话事实保留。 本步骤以正确阻断及无多余命令为通过。</x:v>
      </x:c>
      <x:c r="G121" s="535" t="str">
        <x:v>还没测</x:v>
      </x:c>
      <x:c r="H121" s="535" t="str"/>
      <x:c r="I121" s="535" t="str"/>
      <x:c r="J121" s="536" t="str"/>
      <x:c r="K121" s="535" t="str"/>
      <x:c r="L121" s="535" t="str"/>
    </x:row>
    <x:row r="122" ht="88" customHeight="1">
      <x:c r="A122" s="553" t="str">
        <x:v>F12</x:v>
      </x:c>
      <x:c r="B122" s="553" t="n">
        <x:v>7</x:v>
      </x:c>
      <x:c r="C122" s="553" t="str">
        <x:v>确认没有错误设备动作</x:v>
      </x:c>
      <x:c r="D122" s="553" t="str">
        <x:v>电话后飞离</x:v>
      </x:c>
      <x:c r="E122" s="554" t="str">
        <x:v>核对当前事件的指令记录和测试设备接收记录。</x:v>
      </x:c>
      <x:c r="F122" s="554" t="str">
        <x:v>本轮不应执行的动作确实没有发生；不能只因页面没显示就判为未下发。</x:v>
      </x:c>
      <x:c r="G122" s="535" t="str">
        <x:v>还没测</x:v>
      </x:c>
      <x:c r="H122" s="535" t="str"/>
      <x:c r="I122" s="535" t="str"/>
      <x:c r="J122" s="536" t="str"/>
      <x:c r="K122" s="535" t="str"/>
      <x:c r="L122" s="535" t="str"/>
    </x:row>
    <x:row r="123" ht="88" customHeight="1">
      <x:c r="A123" s="553" t="str">
        <x:v>F12</x:v>
      </x:c>
      <x:c r="B123" s="553" t="n">
        <x:v>8</x:v>
      </x:c>
      <x:c r="C123" s="553" t="str">
        <x:v>确认没有错误处罚交接</x:v>
      </x:c>
      <x:c r="D123" s="553" t="str">
        <x:v>电话后飞离</x:v>
      </x:c>
      <x:c r="E123" s="554" t="str">
        <x:v>核对本事件是否产生了不该有的处罚通知或交接；查看保留的历史。</x:v>
      </x:c>
      <x:c r="F123" s="554" t="str">
        <x:v>飞离或失联本身不能触发设备处置或自动干扰完成交接。若事件已核实且符合人工交接条件，可以按当前业务权限移送；不能因为未反制就一律禁止交接。</x:v>
      </x:c>
      <x:c r="G123" s="535" t="str">
        <x:v>还没测</x:v>
      </x:c>
      <x:c r="H123" s="535" t="str"/>
      <x:c r="I123" s="535" t="str"/>
      <x:c r="J123" s="536" t="str"/>
      <x:c r="K123" s="535" t="str"/>
      <x:c r="L123" s="535" t="str"/>
    </x:row>
    <x:row r="124" ht="88" customHeight="1">
      <x:c r="A124" s="553" t="str">
        <x:v>F12</x:v>
      </x:c>
      <x:c r="B124" s="553" t="n">
        <x:v>9</x:v>
      </x:c>
      <x:c r="C124" s="553" t="str">
        <x:v>证据统计与跨页一致</x:v>
      </x:c>
      <x:c r="D124" s="553" t="str">
        <x:v>电话后飞离</x:v>
      </x:c>
      <x:c r="E124" s="554" t="str">
        <x:v>在证据、统计、告警、计划和移送页按同一事件核对。记录所有关联编号和重要时间。</x:v>
      </x:c>
      <x:c r="F124" s="554" t="str">
        <x:v>原始与冻结材料完整；事件、授权、命令、通知、交接能互相对应；统计按真实事实计数，不把签收当结案。</x:v>
      </x:c>
      <x:c r="G124" s="535" t="str">
        <x:v>还没测</x:v>
      </x:c>
      <x:c r="H124" s="535" t="str"/>
      <x:c r="I124" s="535" t="str"/>
      <x:c r="J124" s="536" t="str"/>
      <x:c r="K124" s="535" t="str"/>
      <x:c r="L124" s="535" t="str"/>
    </x:row>
    <x:row r="125" ht="88" customHeight="1">
      <x:c r="A125" s="553" t="str">
        <x:v>F12</x:v>
      </x:c>
      <x:c r="B125" s="553" t="n">
        <x:v>10</x:v>
      </x:c>
      <x:c r="C125" s="553" t="str">
        <x:v>关闭页面与重登复查</x:v>
      </x:c>
      <x:c r="D125" s="553" t="str">
        <x:v>电话后飞离</x:v>
      </x:c>
      <x:c r="E125" s="554" t="str">
        <x:v>本轮适用的自动等待阶段关闭页面再打开；结束后刷新、退出重登。核对动作次数并停止模拟。</x:v>
      </x:c>
      <x:c r="F125" s="554" t="str">
        <x:v>自动办理不依赖页面打开；刷新重登不重复动作；最终结果稳定，历史保留，模拟任务已明确停止。</x:v>
      </x:c>
      <x:c r="G125" s="535" t="str">
        <x:v>还没测</x:v>
      </x:c>
      <x:c r="H125" s="535" t="str"/>
      <x:c r="I125" s="535" t="str"/>
      <x:c r="J125" s="536" t="str"/>
      <x:c r="K125" s="535" t="str"/>
      <x:c r="L125" s="535" t="str"/>
    </x:row>
    <x:row r="126" ht="88" customHeight="1">
      <x:c r="A126" s="555" t="str">
        <x:v>F13</x:v>
      </x:c>
      <x:c r="B126" s="555" t="n">
        <x:v>1</x:v>
      </x:c>
      <x:c r="C126" s="555" t="str">
        <x:v>后台配置与测试准备</x:v>
      </x:c>
      <x:c r="D126" s="555" t="str">
        <x:v>通知后停止上报</x:v>
      </x:c>
      <x:c r="E126" s="556" t="str">
        <x:v>按M8设置三类规则，并保存回读。记录有效时长、账号、范围、设备、通道和规则版本。</x:v>
      </x:c>
      <x:c r="F126" s="556" t="str">
        <x:v>实际运行设置与本轮相符；模拟通道可用。短信送达后停掉主辅目标位置，设备心跳保留。</x:v>
      </x:c>
      <x:c r="G126" s="557" t="str">
        <x:v>还没测</x:v>
      </x:c>
      <x:c r="H126" s="557" t="str"/>
      <x:c r="I126" s="557" t="str"/>
      <x:c r="J126" s="558" t="str"/>
      <x:c r="K126" s="557" t="str"/>
      <x:c r="L126" s="557" t="str"/>
    </x:row>
    <x:row r="127" ht="88" customHeight="1">
      <x:c r="A127" s="559" t="str">
        <x:v>F13</x:v>
      </x:c>
      <x:c r="B127" s="559" t="n">
        <x:v>2</x:v>
      </x:c>
      <x:c r="C127" s="559" t="str">
        <x:v>输入数据并识别目标</x:v>
      </x:c>
      <x:c r="D127" s="559" t="str">
        <x:v>通知后停止上报</x:v>
      </x:c>
      <x:c r="E127" s="560" t="str">
        <x:v>启动新批次，通过获准入口输入计划和目标数据；记录唯一目标、计划和设备编号。</x:v>
      </x:c>
      <x:c r="F127" s="560" t="str">
        <x:v>能在融合感知查到同一目标，位置、时间和模拟标记正确；发送成功不代替平台已接收。</x:v>
      </x:c>
      <x:c r="G127" s="535" t="str">
        <x:v>还没测</x:v>
      </x:c>
      <x:c r="H127" s="535" t="str"/>
      <x:c r="I127" s="535" t="str"/>
      <x:c r="J127" s="536" t="str"/>
      <x:c r="K127" s="535" t="str"/>
      <x:c r="L127" s="535" t="str"/>
    </x:row>
    <x:row r="128" ht="88" customHeight="1">
      <x:c r="A128" s="559" t="str">
        <x:v>F13</x:v>
      </x:c>
      <x:c r="B128" s="559" t="n">
        <x:v>3</x:v>
      </x:c>
      <x:c r="C128" s="559" t="str">
        <x:v>研判和告警关联</x:v>
      </x:c>
      <x:c r="D128" s="559" t="str">
        <x:v>通知后停止上报</x:v>
      </x:c>
      <x:c r="E128" s="560" t="str">
        <x:v>打开计划、合法性研判和告警，核对同一目标、计划、研判和事件关系。</x:v>
      </x:c>
      <x:c r="F128" s="560" t="str">
        <x:v>主链准备明确违规且证据充分的事件；各页同一事实。若本轮是合法或误报分支，按该分支正确阻止后续。</x:v>
      </x:c>
      <x:c r="G128" s="535" t="str">
        <x:v>还没测</x:v>
      </x:c>
      <x:c r="H128" s="535" t="str"/>
      <x:c r="I128" s="535" t="str"/>
      <x:c r="J128" s="536" t="str"/>
      <x:c r="K128" s="535" t="str"/>
      <x:c r="L128" s="535" t="str"/>
    </x:row>
    <x:row r="129" ht="88" customHeight="1">
      <x:c r="A129" s="559" t="str">
        <x:v>F13</x:v>
      </x:c>
      <x:c r="B129" s="559" t="n">
        <x:v>4</x:v>
      </x:c>
      <x:c r="C129" s="559" t="str">
        <x:v>核实告警</x:v>
      </x:c>
      <x:c r="D129" s="559" t="str">
        <x:v>通知后停止上报</x:v>
      </x:c>
      <x:c r="E129" s="560" t="str">
        <x:v>不点击核实，等待已启用规则满足。</x:v>
      </x:c>
      <x:c r="F129" s="560" t="str">
        <x:v>系统按规则核实一次；留有系统处理身份、时间和判定依据。</x:v>
      </x:c>
      <x:c r="G129" s="535" t="str">
        <x:v>还没测</x:v>
      </x:c>
      <x:c r="H129" s="535" t="str"/>
      <x:c r="I129" s="535" t="str"/>
      <x:c r="J129" s="536" t="str"/>
      <x:c r="K129" s="535" t="str"/>
      <x:c r="L129" s="535" t="str"/>
    </x:row>
    <x:row r="130" ht="88" customHeight="1">
      <x:c r="A130" s="559" t="str">
        <x:v>F13</x:v>
      </x:c>
      <x:c r="B130" s="559" t="n">
        <x:v>5</x:v>
      </x:c>
      <x:c r="C130" s="559" t="str">
        <x:v>飞手通知和位置观察</x:v>
      </x:c>
      <x:c r="D130" s="559" t="str">
        <x:v>通知后停止上报</x:v>
      </x:c>
      <x:c r="E130" s="560" t="str">
        <x:v>检查短信发送/送达、观察开始/结束、电话接通/播放与新位置；按本轮条件操作目标。 短信送达后停掉主辅目标位置，设备心跳保留。</x:v>
      </x:c>
      <x:c r="F130" s="560" t="str">
        <x:v>显示无法确认离开；不误打电话或误反制，不能拿旧位置继续执行。</x:v>
      </x:c>
      <x:c r="G130" s="535" t="str">
        <x:v>还没测</x:v>
      </x:c>
      <x:c r="H130" s="535" t="str"/>
      <x:c r="I130" s="535" t="str"/>
      <x:c r="J130" s="536" t="str"/>
      <x:c r="K130" s="535" t="str"/>
      <x:c r="L130" s="535" t="str"/>
    </x:row>
    <x:row r="131" ht="88" customHeight="1">
      <x:c r="A131" s="559" t="str">
        <x:v>F13</x:v>
      </x:c>
      <x:c r="B131" s="559" t="n">
        <x:v>6</x:v>
      </x:c>
      <x:c r="C131" s="559" t="str">
        <x:v>反制正确阻断</x:v>
      </x:c>
      <x:c r="D131" s="559" t="str">
        <x:v>通知后停止上报</x:v>
      </x:c>
      <x:c r="E131" s="560" t="str">
        <x:v>尝试查看/发起反制并检查后台是否产生了自动动作。</x:v>
      </x:c>
      <x:c r="F131" s="560" t="str">
        <x:v>显示无法确认离开；不误打电话或误反制，不能拿旧位置继续执行。 本步骤以正确阻断及无多余命令为通过。</x:v>
      </x:c>
      <x:c r="G131" s="535" t="str">
        <x:v>还没测</x:v>
      </x:c>
      <x:c r="H131" s="535" t="str"/>
      <x:c r="I131" s="535" t="str"/>
      <x:c r="J131" s="536" t="str"/>
      <x:c r="K131" s="535" t="str"/>
      <x:c r="L131" s="535" t="str"/>
    </x:row>
    <x:row r="132" ht="88" customHeight="1">
      <x:c r="A132" s="559" t="str">
        <x:v>F13</x:v>
      </x:c>
      <x:c r="B132" s="559" t="n">
        <x:v>7</x:v>
      </x:c>
      <x:c r="C132" s="559" t="str">
        <x:v>确认没有错误设备动作</x:v>
      </x:c>
      <x:c r="D132" s="559" t="str">
        <x:v>通知后停止上报</x:v>
      </x:c>
      <x:c r="E132" s="560" t="str">
        <x:v>核对当前事件的指令记录和测试设备接收记录。</x:v>
      </x:c>
      <x:c r="F132" s="560" t="str">
        <x:v>本轮不应执行的动作确实没有发生；不能只因页面没显示就判为未下发。</x:v>
      </x:c>
      <x:c r="G132" s="535" t="str">
        <x:v>还没测</x:v>
      </x:c>
      <x:c r="H132" s="535" t="str"/>
      <x:c r="I132" s="535" t="str"/>
      <x:c r="J132" s="536" t="str"/>
      <x:c r="K132" s="535" t="str"/>
      <x:c r="L132" s="535" t="str"/>
    </x:row>
    <x:row r="133" ht="88" customHeight="1">
      <x:c r="A133" s="559" t="str">
        <x:v>F13</x:v>
      </x:c>
      <x:c r="B133" s="559" t="n">
        <x:v>8</x:v>
      </x:c>
      <x:c r="C133" s="559" t="str">
        <x:v>确认没有错误处罚交接</x:v>
      </x:c>
      <x:c r="D133" s="559" t="str">
        <x:v>通知后停止上报</x:v>
      </x:c>
      <x:c r="E133" s="560" t="str">
        <x:v>核对本事件是否产生了不该有的处罚通知或交接；查看保留的历史。</x:v>
      </x:c>
      <x:c r="F133" s="560" t="str">
        <x:v>飞离或失联本身不能触发设备处置或自动干扰完成交接。若事件已核实且符合人工交接条件，可以按当前业务权限移送；不能因为未反制就一律禁止交接。</x:v>
      </x:c>
      <x:c r="G133" s="535" t="str">
        <x:v>还没测</x:v>
      </x:c>
      <x:c r="H133" s="535" t="str"/>
      <x:c r="I133" s="535" t="str"/>
      <x:c r="J133" s="536" t="str"/>
      <x:c r="K133" s="535" t="str"/>
      <x:c r="L133" s="535" t="str"/>
    </x:row>
    <x:row r="134" ht="88" customHeight="1">
      <x:c r="A134" s="559" t="str">
        <x:v>F13</x:v>
      </x:c>
      <x:c r="B134" s="559" t="n">
        <x:v>9</x:v>
      </x:c>
      <x:c r="C134" s="559" t="str">
        <x:v>证据统计与跨页一致</x:v>
      </x:c>
      <x:c r="D134" s="559" t="str">
        <x:v>通知后停止上报</x:v>
      </x:c>
      <x:c r="E134" s="560" t="str">
        <x:v>在证据、统计、告警、计划和移送页按同一事件核对。记录所有关联编号和重要时间。</x:v>
      </x:c>
      <x:c r="F134" s="560" t="str">
        <x:v>原始与冻结材料完整；事件、授权、命令、通知、交接能互相对应；统计按真实事实计数，不把签收当结案。</x:v>
      </x:c>
      <x:c r="G134" s="535" t="str">
        <x:v>还没测</x:v>
      </x:c>
      <x:c r="H134" s="535" t="str"/>
      <x:c r="I134" s="535" t="str"/>
      <x:c r="J134" s="536" t="str"/>
      <x:c r="K134" s="535" t="str"/>
      <x:c r="L134" s="535" t="str"/>
    </x:row>
    <x:row r="135" ht="88" customHeight="1">
      <x:c r="A135" s="559" t="str">
        <x:v>F13</x:v>
      </x:c>
      <x:c r="B135" s="559" t="n">
        <x:v>10</x:v>
      </x:c>
      <x:c r="C135" s="559" t="str">
        <x:v>关闭页面与重登复查</x:v>
      </x:c>
      <x:c r="D135" s="559" t="str">
        <x:v>通知后停止上报</x:v>
      </x:c>
      <x:c r="E135" s="560" t="str">
        <x:v>本轮适用的自动等待阶段关闭页面再打开；结束后刷新、退出重登。核对动作次数并停止模拟。</x:v>
      </x:c>
      <x:c r="F135" s="560" t="str">
        <x:v>自动办理不依赖页面打开；刷新重登不重复动作；最终结果稳定，历史保留，模拟任务已明确停止。</x:v>
      </x:c>
      <x:c r="G135" s="535" t="str">
        <x:v>还没测</x:v>
      </x:c>
      <x:c r="H135" s="535" t="str"/>
      <x:c r="I135" s="535" t="str"/>
      <x:c r="J135" s="536" t="str"/>
      <x:c r="K135" s="535" t="str"/>
      <x:c r="L135" s="535" t="str"/>
    </x:row>
    <x:row r="136" ht="88" customHeight="1">
      <x:c r="A136" s="561" t="str">
        <x:v>F14</x:v>
      </x:c>
      <x:c r="B136" s="561" t="n">
        <x:v>1</x:v>
      </x:c>
      <x:c r="C136" s="561" t="str">
        <x:v>后台配置与测试准备</x:v>
      </x:c>
      <x:c r="D136" s="561" t="str">
        <x:v>没有核验飞手或渠道不可用</x:v>
      </x:c>
      <x:c r="E136" s="562" t="str">
        <x:v>按M8设置三类规则，并保存回读。记录有效时长、账号、范围、设备、通道和规则版本。</x:v>
      </x:c>
      <x:c r="F136" s="562" t="str">
        <x:v>实际运行设置与本轮相符；模拟通道可用。分别测试无核验飞手、短信不可用、电话不可用三个子批次。</x:v>
      </x:c>
      <x:c r="G136" s="563" t="str">
        <x:v>还没测</x:v>
      </x:c>
      <x:c r="H136" s="563" t="str"/>
      <x:c r="I136" s="563" t="str"/>
      <x:c r="J136" s="564" t="str"/>
      <x:c r="K136" s="563" t="str"/>
      <x:c r="L136" s="563" t="str"/>
    </x:row>
    <x:row r="137" ht="88" customHeight="1">
      <x:c r="A137" s="565" t="str">
        <x:v>F14</x:v>
      </x:c>
      <x:c r="B137" s="565" t="n">
        <x:v>2</x:v>
      </x:c>
      <x:c r="C137" s="565" t="str">
        <x:v>输入数据并识别目标</x:v>
      </x:c>
      <x:c r="D137" s="565" t="str">
        <x:v>没有核验飞手或渠道不可用</x:v>
      </x:c>
      <x:c r="E137" s="566" t="str">
        <x:v>启动新批次，通过获准入口输入计划和目标数据；记录唯一目标、计划和设备编号。</x:v>
      </x:c>
      <x:c r="F137" s="566" t="str">
        <x:v>能在融合感知查到同一目标，位置、时间和模拟标记正确；发送成功不代替平台已接收。</x:v>
      </x:c>
      <x:c r="G137" s="535" t="str">
        <x:v>还没测</x:v>
      </x:c>
      <x:c r="H137" s="535" t="str"/>
      <x:c r="I137" s="535" t="str"/>
      <x:c r="J137" s="536" t="str"/>
      <x:c r="K137" s="535" t="str"/>
      <x:c r="L137" s="535" t="str"/>
    </x:row>
    <x:row r="138" ht="88" customHeight="1">
      <x:c r="A138" s="565" t="str">
        <x:v>F14</x:v>
      </x:c>
      <x:c r="B138" s="565" t="n">
        <x:v>3</x:v>
      </x:c>
      <x:c r="C138" s="565" t="str">
        <x:v>研判和告警关联</x:v>
      </x:c>
      <x:c r="D138" s="565" t="str">
        <x:v>没有核验飞手或渠道不可用</x:v>
      </x:c>
      <x:c r="E138" s="566" t="str">
        <x:v>打开计划、合法性研判和告警，核对同一目标、计划、研判和事件关系。</x:v>
      </x:c>
      <x:c r="F138" s="566" t="str">
        <x:v>主链准备明确违规且证据充分的事件；各页同一事实。若本轮是合法或误报分支，按该分支正确阻止后续。</x:v>
      </x:c>
      <x:c r="G138" s="535" t="str">
        <x:v>还没测</x:v>
      </x:c>
      <x:c r="H138" s="535" t="str"/>
      <x:c r="I138" s="535" t="str"/>
      <x:c r="J138" s="536" t="str"/>
      <x:c r="K138" s="535" t="str"/>
      <x:c r="L138" s="535" t="str"/>
    </x:row>
    <x:row r="139" ht="88" customHeight="1">
      <x:c r="A139" s="565" t="str">
        <x:v>F14</x:v>
      </x:c>
      <x:c r="B139" s="565" t="n">
        <x:v>4</x:v>
      </x:c>
      <x:c r="C139" s="565" t="str">
        <x:v>核实告警</x:v>
      </x:c>
      <x:c r="D139" s="565" t="str">
        <x:v>没有核验飞手或渠道不可用</x:v>
      </x:c>
      <x:c r="E139" s="566" t="str">
        <x:v>不点击核实，等待已启用规则满足。</x:v>
      </x:c>
      <x:c r="F139" s="566" t="str">
        <x:v>系统按规则核实一次；留有系统处理身份、时间和判定依据。</x:v>
      </x:c>
      <x:c r="G139" s="535" t="str">
        <x:v>还没测</x:v>
      </x:c>
      <x:c r="H139" s="535" t="str"/>
      <x:c r="I139" s="535" t="str"/>
      <x:c r="J139" s="536" t="str"/>
      <x:c r="K139" s="535" t="str"/>
      <x:c r="L139" s="535" t="str"/>
    </x:row>
    <x:row r="140" ht="88" customHeight="1">
      <x:c r="A140" s="565" t="str">
        <x:v>F14</x:v>
      </x:c>
      <x:c r="B140" s="565" t="n">
        <x:v>5</x:v>
      </x:c>
      <x:c r="C140" s="565" t="str">
        <x:v>飞手通知和位置观察</x:v>
      </x:c>
      <x:c r="D140" s="565" t="str">
        <x:v>没有核验飞手或渠道不可用</x:v>
      </x:c>
      <x:c r="E140" s="566" t="str">
        <x:v>检查短信发送/送达、观察开始/结束、电话接通/播放与新位置；按本轮条件操作目标。 分别测试无核验飞手、短信不可用、电话不可用三个子批次。</x:v>
      </x:c>
      <x:c r="F140" s="566" t="str">
        <x:v>无飞手/无短信不假造通知；电话不可用仍先短信观察。符合其他条件时才进入后续反制。 三个子批次分开记录。</x:v>
      </x:c>
      <x:c r="G140" s="535" t="str">
        <x:v>还没测</x:v>
      </x:c>
      <x:c r="H140" s="535" t="str"/>
      <x:c r="I140" s="535" t="str"/>
      <x:c r="J140" s="536" t="str"/>
      <x:c r="K140" s="535" t="str"/>
      <x:c r="L140" s="535" t="str"/>
    </x:row>
    <x:row r="141" ht="88" customHeight="1">
      <x:c r="A141" s="565" t="str">
        <x:v>F14</x:v>
      </x:c>
      <x:c r="B141" s="565" t="n">
        <x:v>6</x:v>
      </x:c>
      <x:c r="C141" s="565" t="str">
        <x:v>反制发起和授权</x:v>
      </x:c>
      <x:c r="D141" s="565" t="str">
        <x:v>没有核验飞手或渠道不可用</x:v>
      </x:c>
      <x:c r="E141" s="566" t="str">
        <x:v>进入待反制后不点发起，等待规则满足；检查当前证据和唯一可用测试设备。</x:v>
      </x:c>
      <x:c r="F141" s="566" t="str">
        <x:v>符合条件才由系统发起；记录系统身份和实际授权依据，不伪造人工审批。</x:v>
      </x:c>
      <x:c r="G141" s="535" t="str">
        <x:v>还没测</x:v>
      </x:c>
      <x:c r="H141" s="535" t="str"/>
      <x:c r="I141" s="535" t="str"/>
      <x:c r="J141" s="536" t="str"/>
      <x:c r="K141" s="535" t="str"/>
      <x:c r="L141" s="535" t="str"/>
    </x:row>
    <x:row r="142" ht="88" customHeight="1">
      <x:c r="A142" s="565" t="str">
        <x:v>F14</x:v>
      </x:c>
      <x:c r="B142" s="565" t="n">
        <x:v>7</x:v>
      </x:c>
      <x:c r="C142" s="565" t="str">
        <x:v>两段设备动作及分支结果</x:v>
      </x:c>
      <x:c r="D142" s="565" t="str">
        <x:v>没有核验飞手或渠道不可用</x:v>
      </x:c>
      <x:c r="E142" s="566" t="str">
        <x:v>核对同一授权的设备、命令、受理和实际回执；失败、超时及急停分支分别留证。 对有条件接续干扰的批次，分别记录反制父授权和干扰子授权、两条命令及回执。</x:v>
      </x:c>
      <x:c r="F142" s="566" t="str">
        <x:v>主链取得明确测试执行结果；提交不等于成功，未知不盲目重发，急停不等于已经停机。</x:v>
      </x:c>
      <x:c r="G142" s="535" t="str">
        <x:v>还没测</x:v>
      </x:c>
      <x:c r="H142" s="535" t="str"/>
      <x:c r="I142" s="535" t="str"/>
      <x:c r="J142" s="536" t="str"/>
      <x:c r="K142" s="535" t="str"/>
      <x:c r="L142" s="535" t="str"/>
    </x:row>
    <x:row r="143" ht="88" customHeight="1">
      <x:c r="A143" s="565" t="str">
        <x:v>F14</x:v>
      </x:c>
      <x:c r="B143" s="565" t="n">
        <x:v>8</x:v>
      </x:c>
      <x:c r="C143" s="565" t="str">
        <x:v>移送送达签收与办理结果</x:v>
      </x:c>
      <x:c r="D143" s="565" t="str">
        <x:v>没有核验飞手或渠道不可用</x:v>
      </x:c>
      <x:c r="E143" s="566" t="str">
        <x:v>设备结果满足通知处罚条件后，不点击通知按钮，观察自动办理。 回读交接材料、送达、签收和办理结果。</x:v>
      </x:c>
      <x:c r="F143" s="566" t="str">
        <x:v>通知方式符合配置。发送、送达、签收分开；有正式办理结果才展示，没有就明确尚无结果，不能强行显示处罚完成。</x:v>
      </x:c>
      <x:c r="G143" s="535" t="str">
        <x:v>还没测</x:v>
      </x:c>
      <x:c r="H143" s="535" t="str"/>
      <x:c r="I143" s="535" t="str"/>
      <x:c r="J143" s="536" t="str"/>
      <x:c r="K143" s="535" t="str"/>
      <x:c r="L143" s="535" t="str"/>
    </x:row>
    <x:row r="144" ht="88" customHeight="1">
      <x:c r="A144" s="565" t="str">
        <x:v>F14</x:v>
      </x:c>
      <x:c r="B144" s="565" t="n">
        <x:v>9</x:v>
      </x:c>
      <x:c r="C144" s="565" t="str">
        <x:v>证据统计与跨页一致</x:v>
      </x:c>
      <x:c r="D144" s="565" t="str">
        <x:v>没有核验飞手或渠道不可用</x:v>
      </x:c>
      <x:c r="E144" s="566" t="str">
        <x:v>在证据、统计、告警、计划和移送页按同一事件核对。记录所有关联编号和重要时间。</x:v>
      </x:c>
      <x:c r="F144" s="566" t="str">
        <x:v>原始与冻结材料完整；事件、授权、命令、通知、交接能互相对应；统计按真实事实计数，不把签收当结案。</x:v>
      </x:c>
      <x:c r="G144" s="535" t="str">
        <x:v>还没测</x:v>
      </x:c>
      <x:c r="H144" s="535" t="str"/>
      <x:c r="I144" s="535" t="str"/>
      <x:c r="J144" s="536" t="str"/>
      <x:c r="K144" s="535" t="str"/>
      <x:c r="L144" s="535" t="str"/>
    </x:row>
    <x:row r="145" ht="88" customHeight="1">
      <x:c r="A145" s="565" t="str">
        <x:v>F14</x:v>
      </x:c>
      <x:c r="B145" s="565" t="n">
        <x:v>10</x:v>
      </x:c>
      <x:c r="C145" s="565" t="str">
        <x:v>关闭页面与重登复查</x:v>
      </x:c>
      <x:c r="D145" s="565" t="str">
        <x:v>没有核验飞手或渠道不可用</x:v>
      </x:c>
      <x:c r="E145" s="566" t="str">
        <x:v>本轮适用的自动等待阶段关闭页面再打开；结束后刷新、退出重登。核对动作次数并停止模拟。</x:v>
      </x:c>
      <x:c r="F145" s="566" t="str">
        <x:v>自动办理不依赖页面打开；刷新重登不重复动作；最终结果稳定，历史保留，模拟任务已明确停止。</x:v>
      </x:c>
      <x:c r="G145" s="535" t="str">
        <x:v>还没测</x:v>
      </x:c>
      <x:c r="H145" s="535" t="str"/>
      <x:c r="I145" s="535" t="str"/>
      <x:c r="J145" s="536" t="str"/>
      <x:c r="K145" s="535" t="str"/>
      <x:c r="L145" s="535" t="str"/>
    </x:row>
    <x:row r="146" ht="88" customHeight="1">
      <x:c r="A146" s="567" t="str">
        <x:v>F15</x:v>
      </x:c>
      <x:c r="B146" s="567" t="n">
        <x:v>1</x:v>
      </x:c>
      <x:c r="C146" s="567" t="str">
        <x:v>后台配置与测试准备</x:v>
      </x:c>
      <x:c r="D146" s="567" t="str">
        <x:v>自动改手动</x:v>
      </x:c>
      <x:c r="E146" s="568" t="str">
        <x:v>按M8→M1设置三类规则，并保存回读。记录有效时长、账号、范围、设备、通道和规则版本。</x:v>
      </x:c>
      <x:c r="F146" s="568" t="str">
        <x:v>实际运行设置与本轮相符；模拟通道可用。在核实前、反制排队未下发、通知处罚尚未发送三个节点，分别保存为手动。</x:v>
      </x:c>
      <x:c r="G146" s="569" t="str">
        <x:v>还没测</x:v>
      </x:c>
      <x:c r="H146" s="569" t="str"/>
      <x:c r="I146" s="569" t="str"/>
      <x:c r="J146" s="570" t="str"/>
      <x:c r="K146" s="569" t="str"/>
      <x:c r="L146" s="569" t="str"/>
    </x:row>
    <x:row r="147" ht="88" customHeight="1">
      <x:c r="A147" s="571" t="str">
        <x:v>F15</x:v>
      </x:c>
      <x:c r="B147" s="571" t="n">
        <x:v>2</x:v>
      </x:c>
      <x:c r="C147" s="571" t="str">
        <x:v>输入数据并识别目标</x:v>
      </x:c>
      <x:c r="D147" s="571" t="str">
        <x:v>自动改手动</x:v>
      </x:c>
      <x:c r="E147" s="572" t="str">
        <x:v>启动新批次，通过获准入口输入计划和目标数据；记录唯一目标、计划和设备编号。</x:v>
      </x:c>
      <x:c r="F147" s="572" t="str">
        <x:v>能在融合感知查到同一目标，位置、时间和模拟标记正确；发送成功不代替平台已接收。</x:v>
      </x:c>
      <x:c r="G147" s="535" t="str">
        <x:v>还没测</x:v>
      </x:c>
      <x:c r="H147" s="535" t="str"/>
      <x:c r="I147" s="535" t="str"/>
      <x:c r="J147" s="536" t="str"/>
      <x:c r="K147" s="535" t="str"/>
      <x:c r="L147" s="535" t="str"/>
    </x:row>
    <x:row r="148" ht="88" customHeight="1">
      <x:c r="A148" s="571" t="str">
        <x:v>F15</x:v>
      </x:c>
      <x:c r="B148" s="571" t="n">
        <x:v>3</x:v>
      </x:c>
      <x:c r="C148" s="571" t="str">
        <x:v>研判和告警关联</x:v>
      </x:c>
      <x:c r="D148" s="571" t="str">
        <x:v>自动改手动</x:v>
      </x:c>
      <x:c r="E148" s="572" t="str">
        <x:v>打开计划、合法性研判和告警，核对同一目标、计划、研判和事件关系。</x:v>
      </x:c>
      <x:c r="F148" s="572" t="str">
        <x:v>主链准备明确违规且证据充分的事件；各页同一事实。若本轮是合法或误报分支，按该分支正确阻止后续。</x:v>
      </x:c>
      <x:c r="G148" s="535" t="str">
        <x:v>还没测</x:v>
      </x:c>
      <x:c r="H148" s="535" t="str"/>
      <x:c r="I148" s="535" t="str"/>
      <x:c r="J148" s="536" t="str"/>
      <x:c r="K148" s="535" t="str"/>
      <x:c r="L148" s="535" t="str"/>
    </x:row>
    <x:row r="149" ht="88" customHeight="1">
      <x:c r="A149" s="571" t="str">
        <x:v>F15</x:v>
      </x:c>
      <x:c r="B149" s="571" t="n">
        <x:v>4</x:v>
      </x:c>
      <x:c r="C149" s="571" t="str">
        <x:v>核实告警</x:v>
      </x:c>
      <x:c r="D149" s="571" t="str">
        <x:v>自动改手动</x:v>
      </x:c>
      <x:c r="E149" s="572" t="str">
        <x:v>用值班账号核实属实；提交前先观察系统是否等待人工。 本节点另用独立子批次执行：在核实前、反制排队未下发、通知处罚尚未发送三个节点，分别保存为手动。</x:v>
      </x:c>
      <x:c r="F149" s="572" t="str">
        <x:v>手动模式不自动核实；有权人员提交后记录真实操作人并进入后续阶段。 保存生效后未发送动作停止自动推进，有权人员可接手；已发动作继续核对实际结果。</x:v>
      </x:c>
      <x:c r="G149" s="535" t="str">
        <x:v>还没测</x:v>
      </x:c>
      <x:c r="H149" s="535" t="str"/>
      <x:c r="I149" s="535" t="str"/>
      <x:c r="J149" s="536" t="str"/>
      <x:c r="K149" s="535" t="str"/>
      <x:c r="L149" s="535" t="str"/>
    </x:row>
    <x:row r="150" ht="88" customHeight="1">
      <x:c r="A150" s="571" t="str">
        <x:v>F15</x:v>
      </x:c>
      <x:c r="B150" s="571" t="n">
        <x:v>5</x:v>
      </x:c>
      <x:c r="C150" s="571" t="str">
        <x:v>飞手通知和位置观察</x:v>
      </x:c>
      <x:c r="D150" s="571" t="str">
        <x:v>自动改手动</x:v>
      </x:c>
      <x:c r="E150" s="572" t="str">
        <x:v>检查短信发送/送达、观察开始/结束、电话接通/播放与新位置；按本轮条件操作目标。</x:v>
      </x:c>
      <x:c r="F150" s="572" t="str">
        <x:v>主链持续在域时按已确认时长推进到待反制；短信、电话、飞离各凭自己的真实依据。</x:v>
      </x:c>
      <x:c r="G150" s="535" t="str">
        <x:v>还没测</x:v>
      </x:c>
      <x:c r="H150" s="535" t="str"/>
      <x:c r="I150" s="535" t="str"/>
      <x:c r="J150" s="536" t="str"/>
      <x:c r="K150" s="535" t="str"/>
      <x:c r="L150" s="535" t="str"/>
    </x:row>
    <x:row r="151" ht="88" customHeight="1">
      <x:c r="A151" s="571" t="str">
        <x:v>F15</x:v>
      </x:c>
      <x:c r="B151" s="571" t="n">
        <x:v>6</x:v>
      </x:c>
      <x:c r="C151" s="571" t="str">
        <x:v>反制发起和授权</x:v>
      </x:c>
      <x:c r="D151" s="571" t="str">
        <x:v>自动改手动</x:v>
      </x:c>
      <x:c r="E151" s="572" t="str">
        <x:v>等待人工接手，发起申请；换有权审批账号批准，再由执行账号操作测试设备。 本节点另用独立子批次执行：在核实前、反制排队未下发、通知处罚尚未发送三个节点，分别保存为手动。</x:v>
      </x:c>
      <x:c r="F151" s="572" t="str">
        <x:v>未人工办理不自动发起；审批、授权有效后才下发；人员权限与设备资格正确。 保存生效后未发送动作停止自动推进，有权人员可接手；已发动作继续核对实际结果。</x:v>
      </x:c>
      <x:c r="G151" s="535" t="str">
        <x:v>还没测</x:v>
      </x:c>
      <x:c r="H151" s="535" t="str"/>
      <x:c r="I151" s="535" t="str"/>
      <x:c r="J151" s="536" t="str"/>
      <x:c r="K151" s="535" t="str"/>
      <x:c r="L151" s="535" t="str"/>
    </x:row>
    <x:row r="152" ht="88" customHeight="1">
      <x:c r="A152" s="571" t="str">
        <x:v>F15</x:v>
      </x:c>
      <x:c r="B152" s="571" t="n">
        <x:v>7</x:v>
      </x:c>
      <x:c r="C152" s="571" t="str">
        <x:v>两段设备动作及分支结果</x:v>
      </x:c>
      <x:c r="D152" s="571" t="str">
        <x:v>自动改手动</x:v>
      </x:c>
      <x:c r="E152" s="572" t="str">
        <x:v>核对同一授权的设备、命令、受理和实际回执；失败、超时及急停分支分别留证。 对有条件接续干扰的批次，分别记录反制父授权和干扰子授权、两条命令及回执。</x:v>
      </x:c>
      <x:c r="F152" s="572" t="str">
        <x:v>主链取得明确测试执行结果；提交不等于成功，未知不盲目重发，急停不等于已经停机。</x:v>
      </x:c>
      <x:c r="G152" s="535" t="str">
        <x:v>还没测</x:v>
      </x:c>
      <x:c r="H152" s="535" t="str"/>
      <x:c r="I152" s="535" t="str"/>
      <x:c r="J152" s="536" t="str"/>
      <x:c r="K152" s="535" t="str"/>
      <x:c r="L152" s="535" t="str"/>
    </x:row>
    <x:row r="153" ht="90" customHeight="1">
      <x:c r="A153" s="571" t="str">
        <x:v>F15</x:v>
      </x:c>
      <x:c r="B153" s="571" t="n">
        <x:v>8</x:v>
      </x:c>
      <x:c r="C153" s="571" t="str">
        <x:v>移送送达签收与办理结果</x:v>
      </x:c>
      <x:c r="D153" s="571" t="str">
        <x:v>自动改手动</x:v>
      </x:c>
      <x:c r="E153" s="572" t="str">
        <x:v>设备结果满足条件后，先确认系统等待人工，再由有权人员通知处罚部门。 回读交接材料、送达、签收和办理结果。 本节点另用独立子批次执行：在核实前、反制排队未下发、通知处罚尚未发送三个节点，分别保存为手动。</x:v>
      </x:c>
      <x:c r="F153" s="572" t="str">
        <x:v>通知方式符合配置。发送、送达、签收分开；有正式办理结果才展示，没有就明确尚无结果，不能强行显示处罚完成。 保存生效后未发送动作停止自动推进，有权人员可接手；已发动作继续核对实际结果。</x:v>
      </x:c>
      <x:c r="G153" s="535" t="str">
        <x:v>还没测</x:v>
      </x:c>
      <x:c r="H153" s="535" t="str"/>
      <x:c r="I153" s="535" t="str"/>
      <x:c r="J153" s="536" t="str"/>
      <x:c r="K153" s="535" t="str"/>
      <x:c r="L153" s="535" t="str"/>
    </x:row>
    <x:row r="154" ht="88" customHeight="1">
      <x:c r="A154" s="571" t="str">
        <x:v>F15</x:v>
      </x:c>
      <x:c r="B154" s="571" t="n">
        <x:v>9</x:v>
      </x:c>
      <x:c r="C154" s="571" t="str">
        <x:v>证据统计与跨页一致</x:v>
      </x:c>
      <x:c r="D154" s="571" t="str">
        <x:v>自动改手动</x:v>
      </x:c>
      <x:c r="E154" s="572" t="str">
        <x:v>在证据、统计、告警、计划和移送页按同一事件核对。记录所有关联编号和重要时间。</x:v>
      </x:c>
      <x:c r="F154" s="572" t="str">
        <x:v>原始与冻结材料完整；事件、授权、命令、通知、交接能互相对应；统计按真实事实计数，不把签收当结案。</x:v>
      </x:c>
      <x:c r="G154" s="535" t="str">
        <x:v>还没测</x:v>
      </x:c>
      <x:c r="H154" s="535" t="str"/>
      <x:c r="I154" s="535" t="str"/>
      <x:c r="J154" s="536" t="str"/>
      <x:c r="K154" s="535" t="str"/>
      <x:c r="L154" s="535" t="str"/>
    </x:row>
    <x:row r="155" ht="88" customHeight="1">
      <x:c r="A155" s="571" t="str">
        <x:v>F15</x:v>
      </x:c>
      <x:c r="B155" s="571" t="n">
        <x:v>10</x:v>
      </x:c>
      <x:c r="C155" s="571" t="str">
        <x:v>关闭页面与重登复查</x:v>
      </x:c>
      <x:c r="D155" s="571" t="str">
        <x:v>自动改手动</x:v>
      </x:c>
      <x:c r="E155" s="572" t="str">
        <x:v>本轮适用的自动等待阶段关闭页面再打开；结束后刷新、退出重登。核对动作次数并停止模拟。</x:v>
      </x:c>
      <x:c r="F155" s="572" t="str">
        <x:v>自动办理不依赖页面打开；刷新重登不重复动作；最终结果稳定，历史保留，模拟任务已明确停止。</x:v>
      </x:c>
      <x:c r="G155" s="535" t="str">
        <x:v>还没测</x:v>
      </x:c>
      <x:c r="H155" s="535" t="str"/>
      <x:c r="I155" s="535" t="str"/>
      <x:c r="J155" s="536" t="str"/>
      <x:c r="K155" s="535" t="str"/>
      <x:c r="L155" s="535" t="str"/>
    </x:row>
    <x:row r="156" ht="88" customHeight="1">
      <x:c r="A156" s="573" t="str">
        <x:v>F16</x:v>
      </x:c>
      <x:c r="B156" s="573" t="n">
        <x:v>1</x:v>
      </x:c>
      <x:c r="C156" s="573" t="str">
        <x:v>后台配置与测试准备</x:v>
      </x:c>
      <x:c r="D156" s="573" t="str">
        <x:v>手动改自动</x:v>
      </x:c>
      <x:c r="E156" s="574" t="str">
        <x:v>按M1→M8设置三类规则，并保存回读。记录有效时长、账号、范围、设备、通道和规则版本。</x:v>
      </x:c>
      <x:c r="F156" s="574" t="str">
        <x:v>实际运行设置与本轮相符；模拟通道可用。分别在待核实、待反制、可通知处罚但尚未发送时改为自动。</x:v>
      </x:c>
      <x:c r="G156" s="575" t="str">
        <x:v>还没测</x:v>
      </x:c>
      <x:c r="H156" s="575" t="str"/>
      <x:c r="I156" s="575" t="str"/>
      <x:c r="J156" s="576" t="str"/>
      <x:c r="K156" s="575" t="str"/>
      <x:c r="L156" s="575" t="str"/>
    </x:row>
    <x:row r="157" ht="88" customHeight="1">
      <x:c r="A157" s="577" t="str">
        <x:v>F16</x:v>
      </x:c>
      <x:c r="B157" s="577" t="n">
        <x:v>2</x:v>
      </x:c>
      <x:c r="C157" s="577" t="str">
        <x:v>输入数据并识别目标</x:v>
      </x:c>
      <x:c r="D157" s="577" t="str">
        <x:v>手动改自动</x:v>
      </x:c>
      <x:c r="E157" s="578" t="str">
        <x:v>启动新批次，通过获准入口输入计划和目标数据；记录唯一目标、计划和设备编号。</x:v>
      </x:c>
      <x:c r="F157" s="578" t="str">
        <x:v>能在融合感知查到同一目标，位置、时间和模拟标记正确；发送成功不代替平台已接收。</x:v>
      </x:c>
      <x:c r="G157" s="535" t="str">
        <x:v>还没测</x:v>
      </x:c>
      <x:c r="H157" s="535" t="str"/>
      <x:c r="I157" s="535" t="str"/>
      <x:c r="J157" s="536" t="str"/>
      <x:c r="K157" s="535" t="str"/>
      <x:c r="L157" s="535" t="str"/>
    </x:row>
    <x:row r="158" ht="88" customHeight="1">
      <x:c r="A158" s="577" t="str">
        <x:v>F16</x:v>
      </x:c>
      <x:c r="B158" s="577" t="n">
        <x:v>3</x:v>
      </x:c>
      <x:c r="C158" s="577" t="str">
        <x:v>研判和告警关联</x:v>
      </x:c>
      <x:c r="D158" s="577" t="str">
        <x:v>手动改自动</x:v>
      </x:c>
      <x:c r="E158" s="578" t="str">
        <x:v>打开计划、合法性研判和告警，核对同一目标、计划、研判和事件关系。</x:v>
      </x:c>
      <x:c r="F158" s="578" t="str">
        <x:v>主链准备明确违规且证据充分的事件；各页同一事实。若本轮是合法或误报分支，按该分支正确阻止后续。</x:v>
      </x:c>
      <x:c r="G158" s="535" t="str">
        <x:v>还没测</x:v>
      </x:c>
      <x:c r="H158" s="535" t="str"/>
      <x:c r="I158" s="535" t="str"/>
      <x:c r="J158" s="536" t="str"/>
      <x:c r="K158" s="535" t="str"/>
      <x:c r="L158" s="535" t="str"/>
    </x:row>
    <x:row r="159" ht="88" customHeight="1">
      <x:c r="A159" s="577" t="str">
        <x:v>F16</x:v>
      </x:c>
      <x:c r="B159" s="577" t="n">
        <x:v>4</x:v>
      </x:c>
      <x:c r="C159" s="577" t="str">
        <x:v>核实告警</x:v>
      </x:c>
      <x:c r="D159" s="577" t="str">
        <x:v>手动改自动</x:v>
      </x:c>
      <x:c r="E159" s="578" t="str">
        <x:v>不点击核实，等待已启用规则满足。 本节点另用独立子批次执行：分别在待核实、待反制、可通知处罚但尚未发送时改为自动。</x:v>
      </x:c>
      <x:c r="F159" s="578" t="str">
        <x:v>系统按规则核实一次；留有系统处理身份、时间和判定依据。 生效后重新检查当前依据和条件，只执行尚未完成的动作；不会重办已完成步骤。</x:v>
      </x:c>
      <x:c r="G159" s="535" t="str">
        <x:v>还没测</x:v>
      </x:c>
      <x:c r="H159" s="535" t="str"/>
      <x:c r="I159" s="535" t="str"/>
      <x:c r="J159" s="536" t="str"/>
      <x:c r="K159" s="535" t="str"/>
      <x:c r="L159" s="535" t="str"/>
    </x:row>
    <x:row r="160" ht="88" customHeight="1">
      <x:c r="A160" s="577" t="str">
        <x:v>F16</x:v>
      </x:c>
      <x:c r="B160" s="577" t="n">
        <x:v>5</x:v>
      </x:c>
      <x:c r="C160" s="577" t="str">
        <x:v>飞手通知和位置观察</x:v>
      </x:c>
      <x:c r="D160" s="577" t="str">
        <x:v>手动改自动</x:v>
      </x:c>
      <x:c r="E160" s="578" t="str">
        <x:v>检查短信发送/送达、观察开始/结束、电话接通/播放与新位置；按本轮条件操作目标。</x:v>
      </x:c>
      <x:c r="F160" s="578" t="str">
        <x:v>主链持续在域时按已确认时长推进到待反制；短信、电话、飞离各凭自己的真实依据。</x:v>
      </x:c>
      <x:c r="G160" s="535" t="str">
        <x:v>还没测</x:v>
      </x:c>
      <x:c r="H160" s="535" t="str"/>
      <x:c r="I160" s="535" t="str"/>
      <x:c r="J160" s="536" t="str"/>
      <x:c r="K160" s="535" t="str"/>
      <x:c r="L160" s="535" t="str"/>
    </x:row>
    <x:row r="161" ht="88" customHeight="1">
      <x:c r="A161" s="577" t="str">
        <x:v>F16</x:v>
      </x:c>
      <x:c r="B161" s="577" t="n">
        <x:v>6</x:v>
      </x:c>
      <x:c r="C161" s="577" t="str">
        <x:v>反制发起和授权</x:v>
      </x:c>
      <x:c r="D161" s="577" t="str">
        <x:v>手动改自动</x:v>
      </x:c>
      <x:c r="E161" s="578" t="str">
        <x:v>进入待反制后不点发起，等待规则满足；检查当前证据和唯一可用测试设备。 本节点另用独立子批次执行：分别在待核实、待反制、可通知处罚但尚未发送时改为自动。</x:v>
      </x:c>
      <x:c r="F161" s="578" t="str">
        <x:v>符合条件才由系统发起；记录系统身份和实际授权依据，不伪造人工审批。 生效后重新检查当前依据和条件，只执行尚未完成的动作；不会重办已完成步骤。</x:v>
      </x:c>
      <x:c r="G161" s="535" t="str">
        <x:v>还没测</x:v>
      </x:c>
      <x:c r="H161" s="535" t="str"/>
      <x:c r="I161" s="535" t="str"/>
      <x:c r="J161" s="536" t="str"/>
      <x:c r="K161" s="535" t="str"/>
      <x:c r="L161" s="535" t="str"/>
    </x:row>
    <x:row r="162" ht="88" customHeight="1">
      <x:c r="A162" s="577" t="str">
        <x:v>F16</x:v>
      </x:c>
      <x:c r="B162" s="577" t="n">
        <x:v>7</x:v>
      </x:c>
      <x:c r="C162" s="577" t="str">
        <x:v>两段设备动作及分支结果</x:v>
      </x:c>
      <x:c r="D162" s="577" t="str">
        <x:v>手动改自动</x:v>
      </x:c>
      <x:c r="E162" s="578" t="str">
        <x:v>核对同一授权的设备、命令、受理和实际回执；失败、超时及急停分支分别留证。 对有条件接续干扰的批次，分别记录反制父授权和干扰子授权、两条命令及回执。</x:v>
      </x:c>
      <x:c r="F162" s="578" t="str">
        <x:v>主链取得明确测试执行结果；提交不等于成功，未知不盲目重发，急停不等于已经停机。</x:v>
      </x:c>
      <x:c r="G162" s="535" t="str">
        <x:v>还没测</x:v>
      </x:c>
      <x:c r="H162" s="535" t="str"/>
      <x:c r="I162" s="535" t="str"/>
      <x:c r="J162" s="536" t="str"/>
      <x:c r="K162" s="535" t="str"/>
      <x:c r="L162" s="535" t="str"/>
    </x:row>
    <x:row r="163" ht="90" customHeight="1">
      <x:c r="A163" s="577" t="str">
        <x:v>F16</x:v>
      </x:c>
      <x:c r="B163" s="577" t="n">
        <x:v>8</x:v>
      </x:c>
      <x:c r="C163" s="577" t="str">
        <x:v>移送送达签收与办理结果</x:v>
      </x:c>
      <x:c r="D163" s="577" t="str">
        <x:v>手动改自动</x:v>
      </x:c>
      <x:c r="E163" s="578" t="str">
        <x:v>设备结果满足通知处罚条件后，不点击通知按钮，观察自动办理。 回读交接材料、送达、签收和办理结果。 本节点另用独立子批次执行：分别在待核实、待反制、可通知处罚但尚未发送时改为自动。</x:v>
      </x:c>
      <x:c r="F163" s="578" t="str">
        <x:v>通知方式符合配置。发送、送达、签收分开；有正式办理结果才展示，没有就明确尚无结果，不能强行显示处罚完成。 生效后重新检查当前依据和条件，只执行尚未完成的动作；不会重办已完成步骤。</x:v>
      </x:c>
      <x:c r="G163" s="535" t="str">
        <x:v>还没测</x:v>
      </x:c>
      <x:c r="H163" s="535" t="str"/>
      <x:c r="I163" s="535" t="str"/>
      <x:c r="J163" s="536" t="str"/>
      <x:c r="K163" s="535" t="str"/>
      <x:c r="L163" s="535" t="str"/>
    </x:row>
    <x:row r="164" ht="88" customHeight="1">
      <x:c r="A164" s="577" t="str">
        <x:v>F16</x:v>
      </x:c>
      <x:c r="B164" s="577" t="n">
        <x:v>9</x:v>
      </x:c>
      <x:c r="C164" s="577" t="str">
        <x:v>证据统计与跨页一致</x:v>
      </x:c>
      <x:c r="D164" s="577" t="str">
        <x:v>手动改自动</x:v>
      </x:c>
      <x:c r="E164" s="578" t="str">
        <x:v>在证据、统计、告警、计划和移送页按同一事件核对。记录所有关联编号和重要时间。</x:v>
      </x:c>
      <x:c r="F164" s="578" t="str">
        <x:v>原始与冻结材料完整；事件、授权、命令、通知、交接能互相对应；统计按真实事实计数，不把签收当结案。</x:v>
      </x:c>
      <x:c r="G164" s="535" t="str">
        <x:v>还没测</x:v>
      </x:c>
      <x:c r="H164" s="535" t="str"/>
      <x:c r="I164" s="535" t="str"/>
      <x:c r="J164" s="536" t="str"/>
      <x:c r="K164" s="535" t="str"/>
      <x:c r="L164" s="535" t="str"/>
    </x:row>
    <x:row r="165" ht="88" customHeight="1">
      <x:c r="A165" s="577" t="str">
        <x:v>F16</x:v>
      </x:c>
      <x:c r="B165" s="577" t="n">
        <x:v>10</x:v>
      </x:c>
      <x:c r="C165" s="577" t="str">
        <x:v>关闭页面与重登复查</x:v>
      </x:c>
      <x:c r="D165" s="577" t="str">
        <x:v>手动改自动</x:v>
      </x:c>
      <x:c r="E165" s="578" t="str">
        <x:v>本轮适用的自动等待阶段关闭页面再打开；结束后刷新、退出重登。核对动作次数并停止模拟。</x:v>
      </x:c>
      <x:c r="F165" s="578" t="str">
        <x:v>自动办理不依赖页面打开；刷新重登不重复动作；最终结果稳定，历史保留，模拟任务已明确停止。</x:v>
      </x:c>
      <x:c r="G165" s="535" t="str">
        <x:v>还没测</x:v>
      </x:c>
      <x:c r="H165" s="535" t="str"/>
      <x:c r="I165" s="535" t="str"/>
      <x:c r="J165" s="536" t="str"/>
      <x:c r="K165" s="535" t="str"/>
      <x:c r="L165" s="535" t="str"/>
    </x:row>
    <x:row r="166" ht="88" customHeight="1">
      <x:c r="A166" s="529" t="str">
        <x:v>F17</x:v>
      </x:c>
      <x:c r="B166" s="529" t="n">
        <x:v>1</x:v>
      </x:c>
      <x:c r="C166" s="529" t="str">
        <x:v>后台配置与测试准备</x:v>
      </x:c>
      <x:c r="D166" s="529" t="str">
        <x:v>自动与人员同时操作</x:v>
      </x:c>
      <x:c r="E166" s="530" t="str">
        <x:v>按M8设置三类规则，并保存回读。记录有效时长、账号、范围、设备、通道和规则版本。</x:v>
      </x:c>
      <x:c r="F166" s="530" t="str">
        <x:v>实际运行设置与本轮相符；模拟通道可用。自动条件即将满足时，另一账号同时点击对应核实、反制或通知按钮。</x:v>
      </x:c>
      <x:c r="G166" s="531" t="str">
        <x:v>还没测</x:v>
      </x:c>
      <x:c r="H166" s="531" t="str"/>
      <x:c r="I166" s="531" t="str"/>
      <x:c r="J166" s="532" t="str"/>
      <x:c r="K166" s="531" t="str"/>
      <x:c r="L166" s="531" t="str"/>
    </x:row>
    <x:row r="167" ht="88" customHeight="1">
      <x:c r="A167" s="533" t="str">
        <x:v>F17</x:v>
      </x:c>
      <x:c r="B167" s="533" t="n">
        <x:v>2</x:v>
      </x:c>
      <x:c r="C167" s="533" t="str">
        <x:v>输入数据并识别目标</x:v>
      </x:c>
      <x:c r="D167" s="533" t="str">
        <x:v>自动与人员同时操作</x:v>
      </x:c>
      <x:c r="E167" s="534" t="str">
        <x:v>启动新批次，通过获准入口输入计划和目标数据；记录唯一目标、计划和设备编号。</x:v>
      </x:c>
      <x:c r="F167" s="534" t="str">
        <x:v>能在融合感知查到同一目标，位置、时间和模拟标记正确；发送成功不代替平台已接收。</x:v>
      </x:c>
      <x:c r="G167" s="535" t="str">
        <x:v>还没测</x:v>
      </x:c>
      <x:c r="H167" s="535" t="str"/>
      <x:c r="I167" s="535" t="str"/>
      <x:c r="J167" s="536" t="str"/>
      <x:c r="K167" s="535" t="str"/>
      <x:c r="L167" s="535" t="str"/>
    </x:row>
    <x:row r="168" ht="88" customHeight="1">
      <x:c r="A168" s="533" t="str">
        <x:v>F17</x:v>
      </x:c>
      <x:c r="B168" s="533" t="n">
        <x:v>3</x:v>
      </x:c>
      <x:c r="C168" s="533" t="str">
        <x:v>研判和告警关联</x:v>
      </x:c>
      <x:c r="D168" s="533" t="str">
        <x:v>自动与人员同时操作</x:v>
      </x:c>
      <x:c r="E168" s="534" t="str">
        <x:v>打开计划、合法性研判和告警，核对同一目标、计划、研判和事件关系。</x:v>
      </x:c>
      <x:c r="F168" s="534" t="str">
        <x:v>主链准备明确违规且证据充分的事件；各页同一事实。若本轮是合法或误报分支，按该分支正确阻止后续。</x:v>
      </x:c>
      <x:c r="G168" s="535" t="str">
        <x:v>还没测</x:v>
      </x:c>
      <x:c r="H168" s="535" t="str"/>
      <x:c r="I168" s="535" t="str"/>
      <x:c r="J168" s="536" t="str"/>
      <x:c r="K168" s="535" t="str"/>
      <x:c r="L168" s="535" t="str"/>
    </x:row>
    <x:row r="169" ht="88" customHeight="1">
      <x:c r="A169" s="533" t="str">
        <x:v>F17</x:v>
      </x:c>
      <x:c r="B169" s="533" t="n">
        <x:v>4</x:v>
      </x:c>
      <x:c r="C169" s="533" t="str">
        <x:v>核实告警</x:v>
      </x:c>
      <x:c r="D169" s="533" t="str">
        <x:v>自动与人员同时操作</x:v>
      </x:c>
      <x:c r="E169" s="534" t="str">
        <x:v>不点击核实，等待已启用规则满足。 本节点另用独立子批次执行：自动条件即将满足时，另一账号同时点击对应核实、反制或通知按钮。</x:v>
      </x:c>
      <x:c r="F169" s="534" t="str">
        <x:v>系统按规则核实一次；留有系统处理身份、时间和判定依据。 同一事件同一步只产生一次有效动作；冲突有提示，不重复发设备命令或通知。</x:v>
      </x:c>
      <x:c r="G169" s="535" t="str">
        <x:v>还没测</x:v>
      </x:c>
      <x:c r="H169" s="535" t="str"/>
      <x:c r="I169" s="535" t="str"/>
      <x:c r="J169" s="536" t="str"/>
      <x:c r="K169" s="535" t="str"/>
      <x:c r="L169" s="535" t="str"/>
    </x:row>
    <x:row r="170" ht="88" customHeight="1">
      <x:c r="A170" s="533" t="str">
        <x:v>F17</x:v>
      </x:c>
      <x:c r="B170" s="533" t="n">
        <x:v>5</x:v>
      </x:c>
      <x:c r="C170" s="533" t="str">
        <x:v>飞手通知和位置观察</x:v>
      </x:c>
      <x:c r="D170" s="533" t="str">
        <x:v>自动与人员同时操作</x:v>
      </x:c>
      <x:c r="E170" s="534" t="str">
        <x:v>检查短信发送/送达、观察开始/结束、电话接通/播放与新位置；按本轮条件操作目标。</x:v>
      </x:c>
      <x:c r="F170" s="534" t="str">
        <x:v>主链持续在域时按已确认时长推进到待反制；短信、电话、飞离各凭自己的真实依据。</x:v>
      </x:c>
      <x:c r="G170" s="535" t="str">
        <x:v>还没测</x:v>
      </x:c>
      <x:c r="H170" s="535" t="str"/>
      <x:c r="I170" s="535" t="str"/>
      <x:c r="J170" s="536" t="str"/>
      <x:c r="K170" s="535" t="str"/>
      <x:c r="L170" s="535" t="str"/>
    </x:row>
    <x:row r="171" ht="88" customHeight="1">
      <x:c r="A171" s="533" t="str">
        <x:v>F17</x:v>
      </x:c>
      <x:c r="B171" s="533" t="n">
        <x:v>6</x:v>
      </x:c>
      <x:c r="C171" s="533" t="str">
        <x:v>反制发起和授权</x:v>
      </x:c>
      <x:c r="D171" s="533" t="str">
        <x:v>自动与人员同时操作</x:v>
      </x:c>
      <x:c r="E171" s="534" t="str">
        <x:v>进入待反制后不点发起，等待规则满足；检查当前证据和唯一可用测试设备。 本节点另用独立子批次执行：自动条件即将满足时，另一账号同时点击对应核实、反制或通知按钮。</x:v>
      </x:c>
      <x:c r="F171" s="534" t="str">
        <x:v>符合条件才由系统发起；记录系统身份和实际授权依据，不伪造人工审批。 同一事件同一步只产生一次有效动作；冲突有提示，不重复发设备命令或通知。</x:v>
      </x:c>
      <x:c r="G171" s="535" t="str">
        <x:v>还没测</x:v>
      </x:c>
      <x:c r="H171" s="535" t="str"/>
      <x:c r="I171" s="535" t="str"/>
      <x:c r="J171" s="536" t="str"/>
      <x:c r="K171" s="535" t="str"/>
      <x:c r="L171" s="535" t="str"/>
    </x:row>
    <x:row r="172" ht="88" customHeight="1">
      <x:c r="A172" s="533" t="str">
        <x:v>F17</x:v>
      </x:c>
      <x:c r="B172" s="533" t="n">
        <x:v>7</x:v>
      </x:c>
      <x:c r="C172" s="533" t="str">
        <x:v>两段设备动作及分支结果</x:v>
      </x:c>
      <x:c r="D172" s="533" t="str">
        <x:v>自动与人员同时操作</x:v>
      </x:c>
      <x:c r="E172" s="534" t="str">
        <x:v>核对同一授权的设备、命令、受理和实际回执；失败、超时及急停分支分别留证。 对有条件接续干扰的批次，分别记录反制父授权和干扰子授权、两条命令及回执。</x:v>
      </x:c>
      <x:c r="F172" s="534" t="str">
        <x:v>主链取得明确测试执行结果；提交不等于成功，未知不盲目重发，急停不等于已经停机。</x:v>
      </x:c>
      <x:c r="G172" s="535" t="str">
        <x:v>还没测</x:v>
      </x:c>
      <x:c r="H172" s="535" t="str"/>
      <x:c r="I172" s="535" t="str"/>
      <x:c r="J172" s="536" t="str"/>
      <x:c r="K172" s="535" t="str"/>
      <x:c r="L172" s="535" t="str"/>
    </x:row>
    <x:row r="173" ht="90" customHeight="1">
      <x:c r="A173" s="533" t="str">
        <x:v>F17</x:v>
      </x:c>
      <x:c r="B173" s="533" t="n">
        <x:v>8</x:v>
      </x:c>
      <x:c r="C173" s="533" t="str">
        <x:v>移送送达签收与办理结果</x:v>
      </x:c>
      <x:c r="D173" s="533" t="str">
        <x:v>自动与人员同时操作</x:v>
      </x:c>
      <x:c r="E173" s="534" t="str">
        <x:v>设备结果满足通知处罚条件后，不点击通知按钮，观察自动办理。 回读交接材料、送达、签收和办理结果。 本节点另用独立子批次执行：自动条件即将满足时，另一账号同时点击对应核实、反制或通知按钮。</x:v>
      </x:c>
      <x:c r="F173" s="534" t="str">
        <x:v>通知方式符合配置。发送、送达、签收分开；有正式办理结果才展示，没有就明确尚无结果，不能强行显示处罚完成。 同一事件同一步只产生一次有效动作；冲突有提示，不重复发设备命令或通知。</x:v>
      </x:c>
      <x:c r="G173" s="535" t="str">
        <x:v>还没测</x:v>
      </x:c>
      <x:c r="H173" s="535" t="str"/>
      <x:c r="I173" s="535" t="str"/>
      <x:c r="J173" s="536" t="str"/>
      <x:c r="K173" s="535" t="str"/>
      <x:c r="L173" s="535" t="str"/>
    </x:row>
    <x:row r="174" ht="88" customHeight="1">
      <x:c r="A174" s="533" t="str">
        <x:v>F17</x:v>
      </x:c>
      <x:c r="B174" s="533" t="n">
        <x:v>9</x:v>
      </x:c>
      <x:c r="C174" s="533" t="str">
        <x:v>证据统计与跨页一致</x:v>
      </x:c>
      <x:c r="D174" s="533" t="str">
        <x:v>自动与人员同时操作</x:v>
      </x:c>
      <x:c r="E174" s="534" t="str">
        <x:v>在证据、统计、告警、计划和移送页按同一事件核对。记录所有关联编号和重要时间。</x:v>
      </x:c>
      <x:c r="F174" s="534" t="str">
        <x:v>原始与冻结材料完整；事件、授权、命令、通知、交接能互相对应；统计按真实事实计数，不把签收当结案。</x:v>
      </x:c>
      <x:c r="G174" s="535" t="str">
        <x:v>还没测</x:v>
      </x:c>
      <x:c r="H174" s="535" t="str"/>
      <x:c r="I174" s="535" t="str"/>
      <x:c r="J174" s="536" t="str"/>
      <x:c r="K174" s="535" t="str"/>
      <x:c r="L174" s="535" t="str"/>
    </x:row>
    <x:row r="175" ht="88" customHeight="1">
      <x:c r="A175" s="533" t="str">
        <x:v>F17</x:v>
      </x:c>
      <x:c r="B175" s="533" t="n">
        <x:v>10</x:v>
      </x:c>
      <x:c r="C175" s="533" t="str">
        <x:v>关闭页面与重登复查</x:v>
      </x:c>
      <x:c r="D175" s="533" t="str">
        <x:v>自动与人员同时操作</x:v>
      </x:c>
      <x:c r="E175" s="534" t="str">
        <x:v>本轮适用的自动等待阶段关闭页面再打开；结束后刷新、退出重登。核对动作次数并停止模拟。</x:v>
      </x:c>
      <x:c r="F175" s="534" t="str">
        <x:v>自动办理不依赖页面打开；刷新重登不重复动作；最终结果稳定，历史保留，模拟任务已明确停止。</x:v>
      </x:c>
      <x:c r="G175" s="535" t="str">
        <x:v>还没测</x:v>
      </x:c>
      <x:c r="H175" s="535" t="str"/>
      <x:c r="I175" s="535" t="str"/>
      <x:c r="J175" s="536" t="str"/>
      <x:c r="K175" s="535" t="str"/>
      <x:c r="L175" s="535" t="str"/>
    </x:row>
    <x:row r="176" ht="88" customHeight="1">
      <x:c r="A176" s="537" t="str">
        <x:v>F18</x:v>
      </x:c>
      <x:c r="B176" s="537" t="n">
        <x:v>1</x:v>
      </x:c>
      <x:c r="C176" s="537" t="str">
        <x:v>后台配置与测试准备</x:v>
      </x:c>
      <x:c r="D176" s="537" t="str">
        <x:v>规则不满足后再满足</x:v>
      </x:c>
      <x:c r="E176" s="538" t="str">
        <x:v>按M8设置三类规则，并保存回读。记录有效时长、账号、范围、设备、通道和规则版本。 配好不满足/未知/时段外等子批次。</x:v>
      </x:c>
      <x:c r="F176" s="538" t="str">
        <x:v>实际运行设置与本轮相符；模拟通道可用。逐项测试一条不满足、未知、持续时间不足、范围外、时间窗外；再满足。</x:v>
      </x:c>
      <x:c r="G176" s="539" t="str">
        <x:v>还没测</x:v>
      </x:c>
      <x:c r="H176" s="539" t="str"/>
      <x:c r="I176" s="539" t="str"/>
      <x:c r="J176" s="540" t="str"/>
      <x:c r="K176" s="539" t="str"/>
      <x:c r="L176" s="539" t="str"/>
    </x:row>
    <x:row r="177" ht="88" customHeight="1">
      <x:c r="A177" s="541" t="str">
        <x:v>F18</x:v>
      </x:c>
      <x:c r="B177" s="541" t="n">
        <x:v>2</x:v>
      </x:c>
      <x:c r="C177" s="541" t="str">
        <x:v>输入数据并识别目标</x:v>
      </x:c>
      <x:c r="D177" s="541" t="str">
        <x:v>规则不满足后再满足</x:v>
      </x:c>
      <x:c r="E177" s="542" t="str">
        <x:v>启动新批次，通过获准入口输入计划和目标数据；记录唯一目标、计划和设备编号。</x:v>
      </x:c>
      <x:c r="F177" s="542" t="str">
        <x:v>能在融合感知查到同一目标，位置、时间和模拟标记正确；发送成功不代替平台已接收。</x:v>
      </x:c>
      <x:c r="G177" s="535" t="str">
        <x:v>还没测</x:v>
      </x:c>
      <x:c r="H177" s="535" t="str"/>
      <x:c r="I177" s="535" t="str"/>
      <x:c r="J177" s="536" t="str"/>
      <x:c r="K177" s="535" t="str"/>
      <x:c r="L177" s="535" t="str"/>
    </x:row>
    <x:row r="178" ht="88" customHeight="1">
      <x:c r="A178" s="541" t="str">
        <x:v>F18</x:v>
      </x:c>
      <x:c r="B178" s="541" t="n">
        <x:v>3</x:v>
      </x:c>
      <x:c r="C178" s="541" t="str">
        <x:v>研判和告警关联</x:v>
      </x:c>
      <x:c r="D178" s="541" t="str">
        <x:v>规则不满足后再满足</x:v>
      </x:c>
      <x:c r="E178" s="542" t="str">
        <x:v>打开计划、合法性研判和告警，核对同一目标、计划、研判和事件关系。</x:v>
      </x:c>
      <x:c r="F178" s="542" t="str">
        <x:v>主链准备明确违规且证据充分的事件；各页同一事实。若本轮是合法或误报分支，按该分支正确阻止后续。</x:v>
      </x:c>
      <x:c r="G178" s="535" t="str">
        <x:v>还没测</x:v>
      </x:c>
      <x:c r="H178" s="535" t="str"/>
      <x:c r="I178" s="535" t="str"/>
      <x:c r="J178" s="536" t="str"/>
      <x:c r="K178" s="535" t="str"/>
      <x:c r="L178" s="535" t="str"/>
    </x:row>
    <x:row r="179" ht="88" customHeight="1">
      <x:c r="A179" s="541" t="str">
        <x:v>F18</x:v>
      </x:c>
      <x:c r="B179" s="541" t="n">
        <x:v>4</x:v>
      </x:c>
      <x:c r="C179" s="541" t="str">
        <x:v>核实告警</x:v>
      </x:c>
      <x:c r="D179" s="541" t="str">
        <x:v>规则不满足后再满足</x:v>
      </x:c>
      <x:c r="E179" s="542" t="str">
        <x:v>不点击核实，等待已启用规则满足。 先观察条件不满足，再补足当前有效条件。</x:v>
      </x:c>
      <x:c r="F179" s="542" t="str">
        <x:v>系统按规则核实一次；留有系统处理身份、时间和判定依据。 先停在对应步骤并说明原因，不能自动通过；有效条件满足后只继续一次。</x:v>
      </x:c>
      <x:c r="G179" s="535" t="str">
        <x:v>还没测</x:v>
      </x:c>
      <x:c r="H179" s="535" t="str"/>
      <x:c r="I179" s="535" t="str"/>
      <x:c r="J179" s="536" t="str"/>
      <x:c r="K179" s="535" t="str"/>
      <x:c r="L179" s="535" t="str"/>
    </x:row>
    <x:row r="180" ht="88" customHeight="1">
      <x:c r="A180" s="541" t="str">
        <x:v>F18</x:v>
      </x:c>
      <x:c r="B180" s="541" t="n">
        <x:v>5</x:v>
      </x:c>
      <x:c r="C180" s="541" t="str">
        <x:v>飞手通知和位置观察</x:v>
      </x:c>
      <x:c r="D180" s="541" t="str">
        <x:v>规则不满足后再满足</x:v>
      </x:c>
      <x:c r="E180" s="542" t="str">
        <x:v>检查短信发送/送达、观察开始/结束、电话接通/播放与新位置；按本轮条件操作目标。</x:v>
      </x:c>
      <x:c r="F180" s="542" t="str">
        <x:v>主链持续在域时按已确认时长推进到待反制；短信、电话、飞离各凭自己的真实依据。</x:v>
      </x:c>
      <x:c r="G180" s="535" t="str">
        <x:v>还没测</x:v>
      </x:c>
      <x:c r="H180" s="535" t="str"/>
      <x:c r="I180" s="535" t="str"/>
      <x:c r="J180" s="536" t="str"/>
      <x:c r="K180" s="535" t="str"/>
      <x:c r="L180" s="535" t="str"/>
    </x:row>
    <x:row r="181" ht="88" customHeight="1">
      <x:c r="A181" s="541" t="str">
        <x:v>F18</x:v>
      </x:c>
      <x:c r="B181" s="541" t="n">
        <x:v>6</x:v>
      </x:c>
      <x:c r="C181" s="541" t="str">
        <x:v>反制发起和授权</x:v>
      </x:c>
      <x:c r="D181" s="541" t="str">
        <x:v>规则不满足后再满足</x:v>
      </x:c>
      <x:c r="E181" s="542" t="str">
        <x:v>进入待反制后不点发起，等待规则满足；检查当前证据和唯一可用测试设备。 先观察条件不满足，再补足当前有效条件。</x:v>
      </x:c>
      <x:c r="F181" s="542" t="str">
        <x:v>符合条件才由系统发起；记录系统身份和实际授权依据，不伪造人工审批。 先停在对应步骤并说明原因，不能自动通过；有效条件满足后只继续一次。</x:v>
      </x:c>
      <x:c r="G181" s="535" t="str">
        <x:v>还没测</x:v>
      </x:c>
      <x:c r="H181" s="535" t="str"/>
      <x:c r="I181" s="535" t="str"/>
      <x:c r="J181" s="536" t="str"/>
      <x:c r="K181" s="535" t="str"/>
      <x:c r="L181" s="535" t="str"/>
    </x:row>
    <x:row r="182" ht="88" customHeight="1">
      <x:c r="A182" s="541" t="str">
        <x:v>F18</x:v>
      </x:c>
      <x:c r="B182" s="541" t="n">
        <x:v>7</x:v>
      </x:c>
      <x:c r="C182" s="541" t="str">
        <x:v>两段设备动作及分支结果</x:v>
      </x:c>
      <x:c r="D182" s="541" t="str">
        <x:v>规则不满足后再满足</x:v>
      </x:c>
      <x:c r="E182" s="542" t="str">
        <x:v>核对同一授权的设备、命令、受理和实际回执；失败、超时及急停分支分别留证。 对有条件接续干扰的批次，分别记录反制父授权和干扰子授权、两条命令及回执。</x:v>
      </x:c>
      <x:c r="F182" s="542" t="str">
        <x:v>主链取得明确测试执行结果；提交不等于成功，未知不盲目重发，急停不等于已经停机。</x:v>
      </x:c>
      <x:c r="G182" s="535" t="str">
        <x:v>还没测</x:v>
      </x:c>
      <x:c r="H182" s="535" t="str"/>
      <x:c r="I182" s="535" t="str"/>
      <x:c r="J182" s="536" t="str"/>
      <x:c r="K182" s="535" t="str"/>
      <x:c r="L182" s="535" t="str"/>
    </x:row>
    <x:row r="183" ht="88" customHeight="1">
      <x:c r="A183" s="541" t="str">
        <x:v>F18</x:v>
      </x:c>
      <x:c r="B183" s="541" t="n">
        <x:v>8</x:v>
      </x:c>
      <x:c r="C183" s="541" t="str">
        <x:v>移送送达签收与办理结果</x:v>
      </x:c>
      <x:c r="D183" s="541" t="str">
        <x:v>规则不满足后再满足</x:v>
      </x:c>
      <x:c r="E183" s="542" t="str">
        <x:v>设备结果满足通知处罚条件后，不点击通知按钮，观察自动办理。 回读交接材料、送达、签收和办理结果。 先观察条件不满足，再补足当前有效条件。</x:v>
      </x:c>
      <x:c r="F183" s="542" t="str">
        <x:v>通知方式符合配置。发送、送达、签收分开；有正式办理结果才展示，没有就明确尚无结果，不能强行显示处罚完成。 先停在对应步骤并说明原因，不能自动通过；有效条件满足后只继续一次。</x:v>
      </x:c>
      <x:c r="G183" s="535" t="str">
        <x:v>还没测</x:v>
      </x:c>
      <x:c r="H183" s="535" t="str"/>
      <x:c r="I183" s="535" t="str"/>
      <x:c r="J183" s="536" t="str"/>
      <x:c r="K183" s="535" t="str"/>
      <x:c r="L183" s="535" t="str"/>
    </x:row>
    <x:row r="184" ht="88" customHeight="1">
      <x:c r="A184" s="541" t="str">
        <x:v>F18</x:v>
      </x:c>
      <x:c r="B184" s="541" t="n">
        <x:v>9</x:v>
      </x:c>
      <x:c r="C184" s="541" t="str">
        <x:v>证据统计与跨页一致</x:v>
      </x:c>
      <x:c r="D184" s="541" t="str">
        <x:v>规则不满足后再满足</x:v>
      </x:c>
      <x:c r="E184" s="542" t="str">
        <x:v>在证据、统计、告警、计划和移送页按同一事件核对。记录所有关联编号和重要时间。</x:v>
      </x:c>
      <x:c r="F184" s="542" t="str">
        <x:v>原始与冻结材料完整；事件、授权、命令、通知、交接能互相对应；统计按真实事实计数，不把签收当结案。</x:v>
      </x:c>
      <x:c r="G184" s="535" t="str">
        <x:v>还没测</x:v>
      </x:c>
      <x:c r="H184" s="535" t="str"/>
      <x:c r="I184" s="535" t="str"/>
      <x:c r="J184" s="536" t="str"/>
      <x:c r="K184" s="535" t="str"/>
      <x:c r="L184" s="535" t="str"/>
    </x:row>
    <x:row r="185" ht="88" customHeight="1">
      <x:c r="A185" s="541" t="str">
        <x:v>F18</x:v>
      </x:c>
      <x:c r="B185" s="541" t="n">
        <x:v>10</x:v>
      </x:c>
      <x:c r="C185" s="541" t="str">
        <x:v>关闭页面与重登复查</x:v>
      </x:c>
      <x:c r="D185" s="541" t="str">
        <x:v>规则不满足后再满足</x:v>
      </x:c>
      <x:c r="E185" s="542" t="str">
        <x:v>本轮适用的自动等待阶段关闭页面再打开；结束后刷新、退出重登。核对动作次数并停止模拟。</x:v>
      </x:c>
      <x:c r="F185" s="542" t="str">
        <x:v>自动办理不依赖页面打开；刷新重登不重复动作；最终结果稳定，历史保留，模拟任务已明确停止。</x:v>
      </x:c>
      <x:c r="G185" s="535" t="str">
        <x:v>还没测</x:v>
      </x:c>
      <x:c r="H185" s="535" t="str"/>
      <x:c r="I185" s="535" t="str"/>
      <x:c r="J185" s="536" t="str"/>
      <x:c r="K185" s="535" t="str"/>
      <x:c r="L185" s="535" t="str"/>
    </x:row>
    <x:row r="186" ht="88" customHeight="1">
      <x:c r="A186" s="543" t="str">
        <x:v>F19</x:v>
      </x:c>
      <x:c r="B186" s="543" t="n">
        <x:v>1</x:v>
      </x:c>
      <x:c r="C186" s="543" t="str">
        <x:v>后台配置与测试准备</x:v>
      </x:c>
      <x:c r="D186" s="543" t="str">
        <x:v>服务暂停或断网后恢复</x:v>
      </x:c>
      <x:c r="E186" s="544" t="str">
        <x:v>按M8设置三类规则，并保存回读。记录有效时长、账号、范围、设备、通道和规则版本。</x:v>
      </x:c>
      <x:c r="F186" s="544" t="str">
        <x:v>实际运行设置与本轮相符；模拟通道可用。分别模拟执行服务未启用/异常、页面断网、后台处理重启，然后恢复。</x:v>
      </x:c>
      <x:c r="G186" s="545" t="str">
        <x:v>还没测</x:v>
      </x:c>
      <x:c r="H186" s="545" t="str"/>
      <x:c r="I186" s="545" t="str"/>
      <x:c r="J186" s="546" t="str"/>
      <x:c r="K186" s="545" t="str"/>
      <x:c r="L186" s="545" t="str"/>
    </x:row>
    <x:row r="187" ht="88" customHeight="1">
      <x:c r="A187" s="547" t="str">
        <x:v>F19</x:v>
      </x:c>
      <x:c r="B187" s="547" t="n">
        <x:v>2</x:v>
      </x:c>
      <x:c r="C187" s="547" t="str">
        <x:v>输入数据并识别目标</x:v>
      </x:c>
      <x:c r="D187" s="547" t="str">
        <x:v>服务暂停或断网后恢复</x:v>
      </x:c>
      <x:c r="E187" s="548" t="str">
        <x:v>启动新批次，通过获准入口输入计划和目标数据；记录唯一目标、计划和设备编号。</x:v>
      </x:c>
      <x:c r="F187" s="548" t="str">
        <x:v>能在融合感知查到同一目标，位置、时间和模拟标记正确；发送成功不代替平台已接收。</x:v>
      </x:c>
      <x:c r="G187" s="535" t="str">
        <x:v>还没测</x:v>
      </x:c>
      <x:c r="H187" s="535" t="str"/>
      <x:c r="I187" s="535" t="str"/>
      <x:c r="J187" s="536" t="str"/>
      <x:c r="K187" s="535" t="str"/>
      <x:c r="L187" s="535" t="str"/>
    </x:row>
    <x:row r="188" ht="88" customHeight="1">
      <x:c r="A188" s="547" t="str">
        <x:v>F19</x:v>
      </x:c>
      <x:c r="B188" s="547" t="n">
        <x:v>3</x:v>
      </x:c>
      <x:c r="C188" s="547" t="str">
        <x:v>研判和告警关联</x:v>
      </x:c>
      <x:c r="D188" s="547" t="str">
        <x:v>服务暂停或断网后恢复</x:v>
      </x:c>
      <x:c r="E188" s="548" t="str">
        <x:v>打开计划、合法性研判和告警，核对同一目标、计划、研判和事件关系。</x:v>
      </x:c>
      <x:c r="F188" s="548" t="str">
        <x:v>主链准备明确违规且证据充分的事件；各页同一事实。若本轮是合法或误报分支，按该分支正确阻止后续。</x:v>
      </x:c>
      <x:c r="G188" s="535" t="str">
        <x:v>还没测</x:v>
      </x:c>
      <x:c r="H188" s="535" t="str"/>
      <x:c r="I188" s="535" t="str"/>
      <x:c r="J188" s="536" t="str"/>
      <x:c r="K188" s="535" t="str"/>
      <x:c r="L188" s="535" t="str"/>
    </x:row>
    <x:row r="189" ht="88" customHeight="1">
      <x:c r="A189" s="547" t="str">
        <x:v>F19</x:v>
      </x:c>
      <x:c r="B189" s="547" t="n">
        <x:v>4</x:v>
      </x:c>
      <x:c r="C189" s="547" t="str">
        <x:v>核实告警</x:v>
      </x:c>
      <x:c r="D189" s="547" t="str">
        <x:v>服务暂停或断网后恢复</x:v>
      </x:c>
      <x:c r="E189" s="548" t="str">
        <x:v>不点击核实，等待已启用规则满足。 请开发在此等待阶段制造服务异常或断网并恢复。</x:v>
      </x:c>
      <x:c r="F189" s="548" t="str">
        <x:v>系统按规则核实一次；留有系统处理身份、时间和判定依据。 未启用或异常如实显示；恢复后对账，不重复核实、通知、下发或移送。</x:v>
      </x:c>
      <x:c r="G189" s="535" t="str">
        <x:v>还没测</x:v>
      </x:c>
      <x:c r="H189" s="535" t="str"/>
      <x:c r="I189" s="535" t="str"/>
      <x:c r="J189" s="536" t="str"/>
      <x:c r="K189" s="535" t="str"/>
      <x:c r="L189" s="535" t="str"/>
    </x:row>
    <x:row r="190" ht="88" customHeight="1">
      <x:c r="A190" s="547" t="str">
        <x:v>F19</x:v>
      </x:c>
      <x:c r="B190" s="547" t="n">
        <x:v>5</x:v>
      </x:c>
      <x:c r="C190" s="547" t="str">
        <x:v>飞手通知和位置观察</x:v>
      </x:c>
      <x:c r="D190" s="547" t="str">
        <x:v>服务暂停或断网后恢复</x:v>
      </x:c>
      <x:c r="E190" s="548" t="str">
        <x:v>检查短信发送/送达、观察开始/结束、电话接通/播放与新位置；按本轮条件操作目标。 请开发在此等待阶段制造服务异常或断网并恢复。</x:v>
      </x:c>
      <x:c r="F190" s="548" t="str">
        <x:v>主链持续在域时按已确认时长推进到待反制；短信、电话、飞离各凭自己的真实依据。 未启用或异常如实显示；恢复后对账，不重复核实、通知、下发或移送。</x:v>
      </x:c>
      <x:c r="G190" s="535" t="str">
        <x:v>还没测</x:v>
      </x:c>
      <x:c r="H190" s="535" t="str"/>
      <x:c r="I190" s="535" t="str"/>
      <x:c r="J190" s="536" t="str"/>
      <x:c r="K190" s="535" t="str"/>
      <x:c r="L190" s="535" t="str"/>
    </x:row>
    <x:row r="191" ht="88" customHeight="1">
      <x:c r="A191" s="547" t="str">
        <x:v>F19</x:v>
      </x:c>
      <x:c r="B191" s="547" t="n">
        <x:v>6</x:v>
      </x:c>
      <x:c r="C191" s="547" t="str">
        <x:v>反制发起和授权</x:v>
      </x:c>
      <x:c r="D191" s="547" t="str">
        <x:v>服务暂停或断网后恢复</x:v>
      </x:c>
      <x:c r="E191" s="548" t="str">
        <x:v>进入待反制后不点发起，等待规则满足；检查当前证据和唯一可用测试设备。</x:v>
      </x:c>
      <x:c r="F191" s="548" t="str">
        <x:v>符合条件才由系统发起；记录系统身份和实际授权依据，不伪造人工审批。</x:v>
      </x:c>
      <x:c r="G191" s="535" t="str">
        <x:v>还没测</x:v>
      </x:c>
      <x:c r="H191" s="535" t="str"/>
      <x:c r="I191" s="535" t="str"/>
      <x:c r="J191" s="536" t="str"/>
      <x:c r="K191" s="535" t="str"/>
      <x:c r="L191" s="535" t="str"/>
    </x:row>
    <x:row r="192" ht="90" customHeight="1">
      <x:c r="A192" s="547" t="str">
        <x:v>F19</x:v>
      </x:c>
      <x:c r="B192" s="547" t="n">
        <x:v>7</x:v>
      </x:c>
      <x:c r="C192" s="547" t="str">
        <x:v>两段设备动作及分支结果</x:v>
      </x:c>
      <x:c r="D192" s="547" t="str">
        <x:v>服务暂停或断网后恢复</x:v>
      </x:c>
      <x:c r="E192" s="548" t="str">
        <x:v>核对同一授权的设备、命令、受理和实际回执；失败、超时及急停分支分别留证。 请开发在此等待阶段制造服务异常或断网并恢复。 对有条件接续干扰的批次，分别记录反制父授权和干扰子授权、两条命令及回执。</x:v>
      </x:c>
      <x:c r="F192" s="548" t="str">
        <x:v>主链取得明确测试执行结果；提交不等于成功，未知不盲目重发，急停不等于已经停机。 未启用或异常如实显示；恢复后对账，不重复核实、通知、下发或移送。</x:v>
      </x:c>
      <x:c r="G192" s="535" t="str">
        <x:v>还没测</x:v>
      </x:c>
      <x:c r="H192" s="535" t="str"/>
      <x:c r="I192" s="535" t="str"/>
      <x:c r="J192" s="536" t="str"/>
      <x:c r="K192" s="535" t="str"/>
      <x:c r="L192" s="535" t="str"/>
    </x:row>
    <x:row r="193" ht="88" customHeight="1">
      <x:c r="A193" s="547" t="str">
        <x:v>F19</x:v>
      </x:c>
      <x:c r="B193" s="547" t="n">
        <x:v>8</x:v>
      </x:c>
      <x:c r="C193" s="547" t="str">
        <x:v>移送送达签收与办理结果</x:v>
      </x:c>
      <x:c r="D193" s="547" t="str">
        <x:v>服务暂停或断网后恢复</x:v>
      </x:c>
      <x:c r="E193" s="548" t="str">
        <x:v>设备结果满足通知处罚条件后，不点击通知按钮，观察自动办理。 回读交接材料、送达、签收和办理结果。 请开发在此等待阶段制造服务异常或断网并恢复。</x:v>
      </x:c>
      <x:c r="F193" s="548" t="str">
        <x:v>通知方式符合配置。发送、送达、签收分开；有正式办理结果才展示，没有就明确尚无结果，不能强行显示处罚完成。 未启用或异常如实显示；恢复后对账，不重复核实、通知、下发或移送。</x:v>
      </x:c>
      <x:c r="G193" s="535" t="str">
        <x:v>还没测</x:v>
      </x:c>
      <x:c r="H193" s="535" t="str"/>
      <x:c r="I193" s="535" t="str"/>
      <x:c r="J193" s="536" t="str"/>
      <x:c r="K193" s="535" t="str"/>
      <x:c r="L193" s="535" t="str"/>
    </x:row>
    <x:row r="194" ht="88" customHeight="1">
      <x:c r="A194" s="547" t="str">
        <x:v>F19</x:v>
      </x:c>
      <x:c r="B194" s="547" t="n">
        <x:v>9</x:v>
      </x:c>
      <x:c r="C194" s="547" t="str">
        <x:v>证据统计与跨页一致</x:v>
      </x:c>
      <x:c r="D194" s="547" t="str">
        <x:v>服务暂停或断网后恢复</x:v>
      </x:c>
      <x:c r="E194" s="548" t="str">
        <x:v>在证据、统计、告警、计划和移送页按同一事件核对。记录所有关联编号和重要时间。</x:v>
      </x:c>
      <x:c r="F194" s="548" t="str">
        <x:v>原始与冻结材料完整；事件、授权、命令、通知、交接能互相对应；统计按真实事实计数，不把签收当结案。</x:v>
      </x:c>
      <x:c r="G194" s="535" t="str">
        <x:v>还没测</x:v>
      </x:c>
      <x:c r="H194" s="535" t="str"/>
      <x:c r="I194" s="535" t="str"/>
      <x:c r="J194" s="536" t="str"/>
      <x:c r="K194" s="535" t="str"/>
      <x:c r="L194" s="535" t="str"/>
    </x:row>
    <x:row r="195" ht="88" customHeight="1">
      <x:c r="A195" s="547" t="str">
        <x:v>F19</x:v>
      </x:c>
      <x:c r="B195" s="547" t="n">
        <x:v>10</x:v>
      </x:c>
      <x:c r="C195" s="547" t="str">
        <x:v>关闭页面与重登复查</x:v>
      </x:c>
      <x:c r="D195" s="547" t="str">
        <x:v>服务暂停或断网后恢复</x:v>
      </x:c>
      <x:c r="E195" s="548" t="str">
        <x:v>本轮适用的自动等待阶段关闭页面再打开；结束后刷新、退出重登。核对动作次数并停止模拟。</x:v>
      </x:c>
      <x:c r="F195" s="548" t="str">
        <x:v>自动办理不依赖页面打开；刷新重登不重复动作；最终结果稳定，历史保留，模拟任务已明确停止。</x:v>
      </x:c>
      <x:c r="G195" s="535" t="str">
        <x:v>还没测</x:v>
      </x:c>
      <x:c r="H195" s="535" t="str"/>
      <x:c r="I195" s="535" t="str"/>
      <x:c r="J195" s="536" t="str"/>
      <x:c r="K195" s="535" t="str"/>
      <x:c r="L195" s="535" t="str"/>
    </x:row>
    <x:row r="196" ht="88" customHeight="1">
      <x:c r="A196" s="549" t="str">
        <x:v>F20</x:v>
      </x:c>
      <x:c r="B196" s="549" t="n">
        <x:v>1</x:v>
      </x:c>
      <x:c r="C196" s="549" t="str">
        <x:v>后台配置与测试准备</x:v>
      </x:c>
      <x:c r="D196" s="549" t="str">
        <x:v>设备失败并急停核查</x:v>
      </x:c>
      <x:c r="E196" s="550" t="str">
        <x:v>按M8设置三类规则，并保存回读。记录有效时长、账号、范围、设备、通道和规则版本。</x:v>
      </x:c>
      <x:c r="F196" s="550" t="str">
        <x:v>实际运行设置与本轮相符；模拟通道可用。分别模拟设备忙、命令失败、结果未知；另运行一批执行中急停。</x:v>
      </x:c>
      <x:c r="G196" s="551" t="str">
        <x:v>还没测</x:v>
      </x:c>
      <x:c r="H196" s="551" t="str"/>
      <x:c r="I196" s="551" t="str"/>
      <x:c r="J196" s="552" t="str"/>
      <x:c r="K196" s="551" t="str"/>
      <x:c r="L196" s="551" t="str"/>
    </x:row>
    <x:row r="197" ht="88" customHeight="1">
      <x:c r="A197" s="553" t="str">
        <x:v>F20</x:v>
      </x:c>
      <x:c r="B197" s="553" t="n">
        <x:v>2</x:v>
      </x:c>
      <x:c r="C197" s="553" t="str">
        <x:v>输入数据并识别目标</x:v>
      </x:c>
      <x:c r="D197" s="553" t="str">
        <x:v>设备失败并急停核查</x:v>
      </x:c>
      <x:c r="E197" s="554" t="str">
        <x:v>启动新批次，通过获准入口输入计划和目标数据；记录唯一目标、计划和设备编号。</x:v>
      </x:c>
      <x:c r="F197" s="554" t="str">
        <x:v>能在融合感知查到同一目标，位置、时间和模拟标记正确；发送成功不代替平台已接收。</x:v>
      </x:c>
      <x:c r="G197" s="535" t="str">
        <x:v>还没测</x:v>
      </x:c>
      <x:c r="H197" s="535" t="str"/>
      <x:c r="I197" s="535" t="str"/>
      <x:c r="J197" s="536" t="str"/>
      <x:c r="K197" s="535" t="str"/>
      <x:c r="L197" s="535" t="str"/>
    </x:row>
    <x:row r="198" ht="88" customHeight="1">
      <x:c r="A198" s="553" t="str">
        <x:v>F20</x:v>
      </x:c>
      <x:c r="B198" s="553" t="n">
        <x:v>3</x:v>
      </x:c>
      <x:c r="C198" s="553" t="str">
        <x:v>研判和告警关联</x:v>
      </x:c>
      <x:c r="D198" s="553" t="str">
        <x:v>设备失败并急停核查</x:v>
      </x:c>
      <x:c r="E198" s="554" t="str">
        <x:v>打开计划、合法性研判和告警，核对同一目标、计划、研判和事件关系。</x:v>
      </x:c>
      <x:c r="F198" s="554" t="str">
        <x:v>主链准备明确违规且证据充分的事件；各页同一事实。若本轮是合法或误报分支，按该分支正确阻止后续。</x:v>
      </x:c>
      <x:c r="G198" s="535" t="str">
        <x:v>还没测</x:v>
      </x:c>
      <x:c r="H198" s="535" t="str"/>
      <x:c r="I198" s="535" t="str"/>
      <x:c r="J198" s="536" t="str"/>
      <x:c r="K198" s="535" t="str"/>
      <x:c r="L198" s="535" t="str"/>
    </x:row>
    <x:row r="199" ht="88" customHeight="1">
      <x:c r="A199" s="553" t="str">
        <x:v>F20</x:v>
      </x:c>
      <x:c r="B199" s="553" t="n">
        <x:v>4</x:v>
      </x:c>
      <x:c r="C199" s="553" t="str">
        <x:v>核实告警</x:v>
      </x:c>
      <x:c r="D199" s="553" t="str">
        <x:v>设备失败并急停核查</x:v>
      </x:c>
      <x:c r="E199" s="554" t="str">
        <x:v>不点击核实，等待已启用规则满足。</x:v>
      </x:c>
      <x:c r="F199" s="554" t="str">
        <x:v>系统按规则核实一次；留有系统处理身份、时间和判定依据。</x:v>
      </x:c>
      <x:c r="G199" s="535" t="str">
        <x:v>还没测</x:v>
      </x:c>
      <x:c r="H199" s="535" t="str"/>
      <x:c r="I199" s="535" t="str"/>
      <x:c r="J199" s="536" t="str"/>
      <x:c r="K199" s="535" t="str"/>
      <x:c r="L199" s="535" t="str"/>
    </x:row>
    <x:row r="200" ht="88" customHeight="1">
      <x:c r="A200" s="553" t="str">
        <x:v>F20</x:v>
      </x:c>
      <x:c r="B200" s="553" t="n">
        <x:v>5</x:v>
      </x:c>
      <x:c r="C200" s="553" t="str">
        <x:v>飞手通知和位置观察</x:v>
      </x:c>
      <x:c r="D200" s="553" t="str">
        <x:v>设备失败并急停核查</x:v>
      </x:c>
      <x:c r="E200" s="554" t="str">
        <x:v>检查短信发送/送达、观察开始/结束、电话接通/播放与新位置；按本轮条件操作目标。</x:v>
      </x:c>
      <x:c r="F200" s="554" t="str">
        <x:v>主链持续在域时按已确认时长推进到待反制；短信、电话、飞离各凭自己的真实依据。</x:v>
      </x:c>
      <x:c r="G200" s="535" t="str">
        <x:v>还没测</x:v>
      </x:c>
      <x:c r="H200" s="535" t="str"/>
      <x:c r="I200" s="535" t="str"/>
      <x:c r="J200" s="536" t="str"/>
      <x:c r="K200" s="535" t="str"/>
      <x:c r="L200" s="535" t="str"/>
    </x:row>
    <x:row r="201" ht="88" customHeight="1">
      <x:c r="A201" s="553" t="str">
        <x:v>F20</x:v>
      </x:c>
      <x:c r="B201" s="553" t="n">
        <x:v>6</x:v>
      </x:c>
      <x:c r="C201" s="553" t="str">
        <x:v>反制发起和授权</x:v>
      </x:c>
      <x:c r="D201" s="553" t="str">
        <x:v>设备失败并急停核查</x:v>
      </x:c>
      <x:c r="E201" s="554" t="str">
        <x:v>进入待反制后不点发起，等待规则满足；检查当前证据和唯一可用测试设备。</x:v>
      </x:c>
      <x:c r="F201" s="554" t="str">
        <x:v>符合条件才由系统发起；记录系统身份和实际授权依据，不伪造人工审批。</x:v>
      </x:c>
      <x:c r="G201" s="535" t="str">
        <x:v>还没测</x:v>
      </x:c>
      <x:c r="H201" s="535" t="str"/>
      <x:c r="I201" s="535" t="str"/>
      <x:c r="J201" s="536" t="str"/>
      <x:c r="K201" s="535" t="str"/>
      <x:c r="L201" s="535" t="str"/>
    </x:row>
    <x:row r="202" ht="88" customHeight="1">
      <x:c r="A202" s="553" t="str">
        <x:v>F20</x:v>
      </x:c>
      <x:c r="B202" s="553" t="n">
        <x:v>7</x:v>
      </x:c>
      <x:c r="C202" s="553" t="str">
        <x:v>两段设备动作及分支结果</x:v>
      </x:c>
      <x:c r="D202" s="553" t="str">
        <x:v>设备失败并急停核查</x:v>
      </x:c>
      <x:c r="E202" s="554" t="str">
        <x:v>分别模拟设备忙、命令失败、结果未知；另运行一批执行中急停。 对有条件接续干扰的批次，分别记录反制父授权和干扰子授权、两条命令及回执。</x:v>
      </x:c>
      <x:c r="F202" s="554" t="str">
        <x:v>失败不能当成功，不虚构后续移送；急停需要回复与实际停机核查，切换模式不替代急停。</x:v>
      </x:c>
      <x:c r="G202" s="535" t="str">
        <x:v>还没测</x:v>
      </x:c>
      <x:c r="H202" s="535" t="str"/>
      <x:c r="I202" s="535" t="str"/>
      <x:c r="J202" s="536" t="str"/>
      <x:c r="K202" s="535" t="str"/>
      <x:c r="L202" s="535" t="str"/>
    </x:row>
    <x:row r="203" ht="88" customHeight="1">
      <x:c r="A203" s="553" t="str">
        <x:v>F20</x:v>
      </x:c>
      <x:c r="B203" s="553" t="n">
        <x:v>8</x:v>
      </x:c>
      <x:c r="C203" s="553" t="str">
        <x:v>移送送达签收与办理结果</x:v>
      </x:c>
      <x:c r="D203" s="553" t="str">
        <x:v>设备失败并急停核查</x:v>
      </x:c>
      <x:c r="E203" s="554" t="str">
        <x:v>设备结果满足通知处罚条件后，不点击通知按钮，观察自动办理。 回读交接材料、送达、签收和办理结果。</x:v>
      </x:c>
      <x:c r="F203" s="554" t="str">
        <x:v>设备失败、未知或停止不能伪装成已完成干扰并触发后续；每个子批次只按其实际结果办理。</x:v>
      </x:c>
      <x:c r="G203" s="535" t="str">
        <x:v>还没测</x:v>
      </x:c>
      <x:c r="H203" s="535" t="str"/>
      <x:c r="I203" s="535" t="str"/>
      <x:c r="J203" s="536" t="str"/>
      <x:c r="K203" s="535" t="str"/>
      <x:c r="L203" s="535" t="str"/>
    </x:row>
    <x:row r="204" ht="88" customHeight="1">
      <x:c r="A204" s="553" t="str">
        <x:v>F20</x:v>
      </x:c>
      <x:c r="B204" s="553" t="n">
        <x:v>9</x:v>
      </x:c>
      <x:c r="C204" s="553" t="str">
        <x:v>证据统计与跨页一致</x:v>
      </x:c>
      <x:c r="D204" s="553" t="str">
        <x:v>设备失败并急停核查</x:v>
      </x:c>
      <x:c r="E204" s="554" t="str">
        <x:v>在证据、统计、告警、计划和移送页按同一事件核对。记录所有关联编号和重要时间。</x:v>
      </x:c>
      <x:c r="F204" s="554" t="str">
        <x:v>原始与冻结材料完整；事件、授权、命令、通知、交接能互相对应；统计按真实事实计数，不把签收当结案。</x:v>
      </x:c>
      <x:c r="G204" s="535" t="str">
        <x:v>还没测</x:v>
      </x:c>
      <x:c r="H204" s="535" t="str"/>
      <x:c r="I204" s="535" t="str"/>
      <x:c r="J204" s="536" t="str"/>
      <x:c r="K204" s="535" t="str"/>
      <x:c r="L204" s="535" t="str"/>
    </x:row>
    <x:row r="205" ht="88" customHeight="1">
      <x:c r="A205" s="553" t="str">
        <x:v>F20</x:v>
      </x:c>
      <x:c r="B205" s="553" t="n">
        <x:v>10</x:v>
      </x:c>
      <x:c r="C205" s="553" t="str">
        <x:v>关闭页面与重登复查</x:v>
      </x:c>
      <x:c r="D205" s="553" t="str">
        <x:v>设备失败并急停核查</x:v>
      </x:c>
      <x:c r="E205" s="554" t="str">
        <x:v>本轮适用的自动等待阶段关闭页面再打开；结束后刷新、退出重登。核对动作次数并停止模拟。</x:v>
      </x:c>
      <x:c r="F205" s="554" t="str">
        <x:v>自动办理不依赖页面打开；刷新重登不重复动作；最终结果稳定，历史保留，模拟任务已明确停止。</x:v>
      </x:c>
      <x:c r="G205" s="535" t="str">
        <x:v>还没测</x:v>
      </x:c>
      <x:c r="H205" s="535" t="str"/>
      <x:c r="I205" s="535" t="str"/>
      <x:c r="J205" s="536" t="str"/>
      <x:c r="K205" s="535" t="str"/>
      <x:c r="L205" s="535" t="str"/>
    </x:row>
    <x:row r="206" ht="88" customHeight="1">
      <x:c r="A206" s="555" t="str">
        <x:v>F21</x:v>
      </x:c>
      <x:c r="B206" s="555" t="n">
        <x:v>1</x:v>
      </x:c>
      <x:c r="C206" s="555" t="str">
        <x:v>后台配置与测试准备</x:v>
      </x:c>
      <x:c r="D206" s="555" t="str">
        <x:v>排队后资格变化</x:v>
      </x:c>
      <x:c r="E206" s="556" t="str">
        <x:v>按M8设置三类规则，并保存回读。记录有效时长、账号、范围、设备、通道和规则版本。</x:v>
      </x:c>
      <x:c r="F206" s="556" t="str">
        <x:v>实际运行设置与本轮相符；模拟通道可用。在排队及续链前，让授权/规则时段到期、观测过期，或取消可执行资格。</x:v>
      </x:c>
      <x:c r="G206" s="557" t="str">
        <x:v>还没测</x:v>
      </x:c>
      <x:c r="H206" s="557" t="str"/>
      <x:c r="I206" s="557" t="str"/>
      <x:c r="J206" s="558" t="str"/>
      <x:c r="K206" s="557" t="str"/>
      <x:c r="L206" s="557" t="str"/>
    </x:row>
    <x:row r="207" ht="88" customHeight="1">
      <x:c r="A207" s="559" t="str">
        <x:v>F21</x:v>
      </x:c>
      <x:c r="B207" s="559" t="n">
        <x:v>2</x:v>
      </x:c>
      <x:c r="C207" s="559" t="str">
        <x:v>输入数据并识别目标</x:v>
      </x:c>
      <x:c r="D207" s="559" t="str">
        <x:v>排队后资格变化</x:v>
      </x:c>
      <x:c r="E207" s="560" t="str">
        <x:v>启动新批次，通过获准入口输入计划和目标数据；记录唯一目标、计划和设备编号。</x:v>
      </x:c>
      <x:c r="F207" s="560" t="str">
        <x:v>能在融合感知查到同一目标，位置、时间和模拟标记正确；发送成功不代替平台已接收。</x:v>
      </x:c>
      <x:c r="G207" s="535" t="str">
        <x:v>还没测</x:v>
      </x:c>
      <x:c r="H207" s="535" t="str"/>
      <x:c r="I207" s="535" t="str"/>
      <x:c r="J207" s="536" t="str"/>
      <x:c r="K207" s="535" t="str"/>
      <x:c r="L207" s="535" t="str"/>
    </x:row>
    <x:row r="208" ht="88" customHeight="1">
      <x:c r="A208" s="559" t="str">
        <x:v>F21</x:v>
      </x:c>
      <x:c r="B208" s="559" t="n">
        <x:v>3</x:v>
      </x:c>
      <x:c r="C208" s="559" t="str">
        <x:v>研判和告警关联</x:v>
      </x:c>
      <x:c r="D208" s="559" t="str">
        <x:v>排队后资格变化</x:v>
      </x:c>
      <x:c r="E208" s="560" t="str">
        <x:v>打开计划、合法性研判和告警，核对同一目标、计划、研判和事件关系。</x:v>
      </x:c>
      <x:c r="F208" s="560" t="str">
        <x:v>主链准备明确违规且证据充分的事件；各页同一事实。若本轮是合法或误报分支，按该分支正确阻止后续。</x:v>
      </x:c>
      <x:c r="G208" s="535" t="str">
        <x:v>还没测</x:v>
      </x:c>
      <x:c r="H208" s="535" t="str"/>
      <x:c r="I208" s="535" t="str"/>
      <x:c r="J208" s="536" t="str"/>
      <x:c r="K208" s="535" t="str"/>
      <x:c r="L208" s="535" t="str"/>
    </x:row>
    <x:row r="209" ht="88" customHeight="1">
      <x:c r="A209" s="559" t="str">
        <x:v>F21</x:v>
      </x:c>
      <x:c r="B209" s="559" t="n">
        <x:v>4</x:v>
      </x:c>
      <x:c r="C209" s="559" t="str">
        <x:v>核实告警</x:v>
      </x:c>
      <x:c r="D209" s="559" t="str">
        <x:v>排队后资格变化</x:v>
      </x:c>
      <x:c r="E209" s="560" t="str">
        <x:v>不点击核实，等待已启用规则满足。</x:v>
      </x:c>
      <x:c r="F209" s="560" t="str">
        <x:v>系统按规则核实一次；留有系统处理身份、时间和判定依据。</x:v>
      </x:c>
      <x:c r="G209" s="535" t="str">
        <x:v>还没测</x:v>
      </x:c>
      <x:c r="H209" s="535" t="str"/>
      <x:c r="I209" s="535" t="str"/>
      <x:c r="J209" s="536" t="str"/>
      <x:c r="K209" s="535" t="str"/>
      <x:c r="L209" s="535" t="str"/>
    </x:row>
    <x:row r="210" ht="88" customHeight="1">
      <x:c r="A210" s="559" t="str">
        <x:v>F21</x:v>
      </x:c>
      <x:c r="B210" s="559" t="n">
        <x:v>5</x:v>
      </x:c>
      <x:c r="C210" s="559" t="str">
        <x:v>飞手通知和位置观察</x:v>
      </x:c>
      <x:c r="D210" s="559" t="str">
        <x:v>排队后资格变化</x:v>
      </x:c>
      <x:c r="E210" s="560" t="str">
        <x:v>检查短信发送/送达、观察开始/结束、电话接通/播放与新位置；按本轮条件操作目标。</x:v>
      </x:c>
      <x:c r="F210" s="560" t="str">
        <x:v>主链持续在域时按已确认时长推进到待反制；短信、电话、飞离各凭自己的真实依据。</x:v>
      </x:c>
      <x:c r="G210" s="535" t="str">
        <x:v>还没测</x:v>
      </x:c>
      <x:c r="H210" s="535" t="str"/>
      <x:c r="I210" s="535" t="str"/>
      <x:c r="J210" s="536" t="str"/>
      <x:c r="K210" s="535" t="str"/>
      <x:c r="L210" s="535" t="str"/>
    </x:row>
    <x:row r="211" ht="88" customHeight="1">
      <x:c r="A211" s="559" t="str">
        <x:v>F21</x:v>
      </x:c>
      <x:c r="B211" s="559" t="n">
        <x:v>6</x:v>
      </x:c>
      <x:c r="C211" s="559" t="str">
        <x:v>反制发起和授权</x:v>
      </x:c>
      <x:c r="D211" s="559" t="str">
        <x:v>排队后资格变化</x:v>
      </x:c>
      <x:c r="E211" s="560" t="str">
        <x:v>进入待反制后不点发起，等待规则满足；检查当前证据和唯一可用测试设备。 在排队及续链前，让授权/规则时段到期、观测过期，或取消可执行资格。</x:v>
      </x:c>
      <x:c r="F211" s="560" t="str">
        <x:v>符合条件才由系统发起；记录系统身份和实际授权依据，不伪造人工审批。</x:v>
      </x:c>
      <x:c r="G211" s="535" t="str">
        <x:v>还没测</x:v>
      </x:c>
      <x:c r="H211" s="535" t="str"/>
      <x:c r="I211" s="535" t="str"/>
      <x:c r="J211" s="536" t="str"/>
      <x:c r="K211" s="535" t="str"/>
      <x:c r="L211" s="535" t="str"/>
    </x:row>
    <x:row r="212" ht="88" customHeight="1">
      <x:c r="A212" s="559" t="str">
        <x:v>F21</x:v>
      </x:c>
      <x:c r="B212" s="559" t="n">
        <x:v>7</x:v>
      </x:c>
      <x:c r="C212" s="559" t="str">
        <x:v>两段设备动作及分支结果</x:v>
      </x:c>
      <x:c r="D212" s="559" t="str">
        <x:v>排队后资格变化</x:v>
      </x:c>
      <x:c r="E212" s="560" t="str">
        <x:v>核对同一授权的设备、命令、受理和实际回执；失败、超时及急停分支分别留证。 对有条件接续干扰的批次，分别记录反制父授权和干扰子授权、两条命令及回执。</x:v>
      </x:c>
      <x:c r="F212" s="560" t="str">
        <x:v>真正发送前重新检查，不超范围或原授权窗口，不拿以前规则通过的结果继续下发。</x:v>
      </x:c>
      <x:c r="G212" s="535" t="str">
        <x:v>还没测</x:v>
      </x:c>
      <x:c r="H212" s="535" t="str"/>
      <x:c r="I212" s="535" t="str"/>
      <x:c r="J212" s="536" t="str"/>
      <x:c r="K212" s="535" t="str"/>
      <x:c r="L212" s="535" t="str"/>
    </x:row>
    <x:row r="213" ht="88" customHeight="1">
      <x:c r="A213" s="559" t="str">
        <x:v>F21</x:v>
      </x:c>
      <x:c r="B213" s="559" t="n">
        <x:v>8</x:v>
      </x:c>
      <x:c r="C213" s="559" t="str">
        <x:v>移送送达签收与办理结果</x:v>
      </x:c>
      <x:c r="D213" s="559" t="str">
        <x:v>排队后资格变化</x:v>
      </x:c>
      <x:c r="E213" s="560" t="str">
        <x:v>设备结果满足通知处罚条件后，不点击通知按钮，观察自动办理。 回读交接材料、送达、签收和办理结果。</x:v>
      </x:c>
      <x:c r="F213" s="560" t="str">
        <x:v>未取得允许的设备实际结果，不应冒充完成进入自动处罚通知。</x:v>
      </x:c>
      <x:c r="G213" s="535" t="str">
        <x:v>还没测</x:v>
      </x:c>
      <x:c r="H213" s="535" t="str"/>
      <x:c r="I213" s="535" t="str"/>
      <x:c r="J213" s="536" t="str"/>
      <x:c r="K213" s="535" t="str"/>
      <x:c r="L213" s="535" t="str"/>
    </x:row>
    <x:row r="214" ht="88" customHeight="1">
      <x:c r="A214" s="559" t="str">
        <x:v>F21</x:v>
      </x:c>
      <x:c r="B214" s="559" t="n">
        <x:v>9</x:v>
      </x:c>
      <x:c r="C214" s="559" t="str">
        <x:v>证据统计与跨页一致</x:v>
      </x:c>
      <x:c r="D214" s="559" t="str">
        <x:v>排队后资格变化</x:v>
      </x:c>
      <x:c r="E214" s="560" t="str">
        <x:v>在证据、统计、告警、计划和移送页按同一事件核对。记录所有关联编号和重要时间。</x:v>
      </x:c>
      <x:c r="F214" s="560" t="str">
        <x:v>原始与冻结材料完整；事件、授权、命令、通知、交接能互相对应；统计按真实事实计数，不把签收当结案。</x:v>
      </x:c>
      <x:c r="G214" s="535" t="str">
        <x:v>还没测</x:v>
      </x:c>
      <x:c r="H214" s="535" t="str"/>
      <x:c r="I214" s="535" t="str"/>
      <x:c r="J214" s="536" t="str"/>
      <x:c r="K214" s="535" t="str"/>
      <x:c r="L214" s="535" t="str"/>
    </x:row>
    <x:row r="215" ht="88" customHeight="1">
      <x:c r="A215" s="559" t="str">
        <x:v>F21</x:v>
      </x:c>
      <x:c r="B215" s="559" t="n">
        <x:v>10</x:v>
      </x:c>
      <x:c r="C215" s="559" t="str">
        <x:v>关闭页面与重登复查</x:v>
      </x:c>
      <x:c r="D215" s="559" t="str">
        <x:v>排队后资格变化</x:v>
      </x:c>
      <x:c r="E215" s="560" t="str">
        <x:v>本轮适用的自动等待阶段关闭页面再打开；结束后刷新、退出重登。核对动作次数并停止模拟。</x:v>
      </x:c>
      <x:c r="F215" s="560" t="str">
        <x:v>自动办理不依赖页面打开；刷新重登不重复动作；最终结果稳定，历史保留，模拟任务已明确停止。</x:v>
      </x:c>
      <x:c r="G215" s="535" t="str">
        <x:v>还没测</x:v>
      </x:c>
      <x:c r="H215" s="535" t="str"/>
      <x:c r="I215" s="535" t="str"/>
      <x:c r="J215" s="536" t="str"/>
      <x:c r="K215" s="535" t="str"/>
      <x:c r="L215" s="535" t="str"/>
    </x:row>
    <x:row r="216" ht="88" customHeight="1">
      <x:c r="A216" s="561" t="str">
        <x:v>F22</x:v>
      </x:c>
      <x:c r="B216" s="561" t="n">
        <x:v>1</x:v>
      </x:c>
      <x:c r="C216" s="561" t="str">
        <x:v>后台配置与测试准备</x:v>
      </x:c>
      <x:c r="D216" s="561" t="str">
        <x:v>权限不足人员尝试接手</x:v>
      </x:c>
      <x:c r="E216" s="562" t="str">
        <x:v>按M8设置三类规则，并保存回读。记录有效时长、账号、范围、设备、通道和规则版本。</x:v>
      </x:c>
      <x:c r="F216" s="562" t="str">
        <x:v>实际运行设置与本轮相符；模拟通道可用。系统自动条件暂未满足时，用只读和范围受限账号分别操作；再换有权账号。</x:v>
      </x:c>
      <x:c r="G216" s="563" t="str">
        <x:v>还没测</x:v>
      </x:c>
      <x:c r="H216" s="563" t="str"/>
      <x:c r="I216" s="563" t="str"/>
      <x:c r="J216" s="564" t="str"/>
      <x:c r="K216" s="563" t="str"/>
      <x:c r="L216" s="563" t="str"/>
    </x:row>
    <x:row r="217" ht="88" customHeight="1">
      <x:c r="A217" s="565" t="str">
        <x:v>F22</x:v>
      </x:c>
      <x:c r="B217" s="565" t="n">
        <x:v>2</x:v>
      </x:c>
      <x:c r="C217" s="565" t="str">
        <x:v>输入数据并识别目标</x:v>
      </x:c>
      <x:c r="D217" s="565" t="str">
        <x:v>权限不足人员尝试接手</x:v>
      </x:c>
      <x:c r="E217" s="566" t="str">
        <x:v>启动新批次，通过获准入口输入计划和目标数据；记录唯一目标、计划和设备编号。</x:v>
      </x:c>
      <x:c r="F217" s="566" t="str">
        <x:v>能在融合感知查到同一目标，位置、时间和模拟标记正确；发送成功不代替平台已接收。</x:v>
      </x:c>
      <x:c r="G217" s="535" t="str">
        <x:v>还没测</x:v>
      </x:c>
      <x:c r="H217" s="535" t="str"/>
      <x:c r="I217" s="535" t="str"/>
      <x:c r="J217" s="536" t="str"/>
      <x:c r="K217" s="535" t="str"/>
      <x:c r="L217" s="535" t="str"/>
    </x:row>
    <x:row r="218" ht="88" customHeight="1">
      <x:c r="A218" s="565" t="str">
        <x:v>F22</x:v>
      </x:c>
      <x:c r="B218" s="565" t="n">
        <x:v>3</x:v>
      </x:c>
      <x:c r="C218" s="565" t="str">
        <x:v>研判和告警关联</x:v>
      </x:c>
      <x:c r="D218" s="565" t="str">
        <x:v>权限不足人员尝试接手</x:v>
      </x:c>
      <x:c r="E218" s="566" t="str">
        <x:v>打开计划、合法性研判和告警，核对同一目标、计划、研判和事件关系。</x:v>
      </x:c>
      <x:c r="F218" s="566" t="str">
        <x:v>主链准备明确违规且证据充分的事件；各页同一事实。若本轮是合法或误报分支，按该分支正确阻止后续。</x:v>
      </x:c>
      <x:c r="G218" s="535" t="str">
        <x:v>还没测</x:v>
      </x:c>
      <x:c r="H218" s="535" t="str"/>
      <x:c r="I218" s="535" t="str"/>
      <x:c r="J218" s="536" t="str"/>
      <x:c r="K218" s="535" t="str"/>
      <x:c r="L218" s="535" t="str"/>
    </x:row>
    <x:row r="219" ht="88" customHeight="1">
      <x:c r="A219" s="565" t="str">
        <x:v>F22</x:v>
      </x:c>
      <x:c r="B219" s="565" t="n">
        <x:v>4</x:v>
      </x:c>
      <x:c r="C219" s="565" t="str">
        <x:v>核实告警</x:v>
      </x:c>
      <x:c r="D219" s="565" t="str">
        <x:v>权限不足人员尝试接手</x:v>
      </x:c>
      <x:c r="E219" s="566" t="str">
        <x:v>不点击核实，等待已启用规则满足。 本环节另用无权、范围受限账号尝试，再用有权账号。</x:v>
      </x:c>
      <x:c r="F219" s="566" t="str">
        <x:v>系统按规则核实一次；留有系统处理身份、时间和判定依据。 无权人员不能接手，自动模式不授予个人权限；换有权账号也须满足当前业务条件。</x:v>
      </x:c>
      <x:c r="G219" s="535" t="str">
        <x:v>还没测</x:v>
      </x:c>
      <x:c r="H219" s="535" t="str"/>
      <x:c r="I219" s="535" t="str"/>
      <x:c r="J219" s="536" t="str"/>
      <x:c r="K219" s="535" t="str"/>
      <x:c r="L219" s="535" t="str"/>
    </x:row>
    <x:row r="220" ht="88" customHeight="1">
      <x:c r="A220" s="565" t="str">
        <x:v>F22</x:v>
      </x:c>
      <x:c r="B220" s="565" t="n">
        <x:v>5</x:v>
      </x:c>
      <x:c r="C220" s="565" t="str">
        <x:v>飞手通知和位置观察</x:v>
      </x:c>
      <x:c r="D220" s="565" t="str">
        <x:v>权限不足人员尝试接手</x:v>
      </x:c>
      <x:c r="E220" s="566" t="str">
        <x:v>检查短信发送/送达、观察开始/结束、电话接通/播放与新位置；按本轮条件操作目标。</x:v>
      </x:c>
      <x:c r="F220" s="566" t="str">
        <x:v>主链持续在域时按已确认时长推进到待反制；短信、电话、飞离各凭自己的真实依据。</x:v>
      </x:c>
      <x:c r="G220" s="535" t="str">
        <x:v>还没测</x:v>
      </x:c>
      <x:c r="H220" s="535" t="str"/>
      <x:c r="I220" s="535" t="str"/>
      <x:c r="J220" s="536" t="str"/>
      <x:c r="K220" s="535" t="str"/>
      <x:c r="L220" s="535" t="str"/>
    </x:row>
    <x:row r="221" ht="88" customHeight="1">
      <x:c r="A221" s="565" t="str">
        <x:v>F22</x:v>
      </x:c>
      <x:c r="B221" s="565" t="n">
        <x:v>6</x:v>
      </x:c>
      <x:c r="C221" s="565" t="str">
        <x:v>反制发起和授权</x:v>
      </x:c>
      <x:c r="D221" s="565" t="str">
        <x:v>权限不足人员尝试接手</x:v>
      </x:c>
      <x:c r="E221" s="566" t="str">
        <x:v>进入待反制后不点发起，等待规则满足；检查当前证据和唯一可用测试设备。 本环节另用无权、范围受限账号尝试，再用有权账号。</x:v>
      </x:c>
      <x:c r="F221" s="566" t="str">
        <x:v>符合条件才由系统发起；记录系统身份和实际授权依据，不伪造人工审批。 无权人员不能接手，自动模式不授予个人权限；换有权账号也须满足当前业务条件。</x:v>
      </x:c>
      <x:c r="G221" s="535" t="str">
        <x:v>还没测</x:v>
      </x:c>
      <x:c r="H221" s="535" t="str"/>
      <x:c r="I221" s="535" t="str"/>
      <x:c r="J221" s="536" t="str"/>
      <x:c r="K221" s="535" t="str"/>
      <x:c r="L221" s="535" t="str"/>
    </x:row>
    <x:row r="222" ht="88" customHeight="1">
      <x:c r="A222" s="565" t="str">
        <x:v>F22</x:v>
      </x:c>
      <x:c r="B222" s="565" t="n">
        <x:v>7</x:v>
      </x:c>
      <x:c r="C222" s="565" t="str">
        <x:v>两段设备动作及分支结果</x:v>
      </x:c>
      <x:c r="D222" s="565" t="str">
        <x:v>权限不足人员尝试接手</x:v>
      </x:c>
      <x:c r="E222" s="566" t="str">
        <x:v>核对同一授权的设备、命令、受理和实际回执；失败、超时及急停分支分别留证。 对有条件接续干扰的批次，分别记录反制父授权和干扰子授权、两条命令及回执。</x:v>
      </x:c>
      <x:c r="F222" s="566" t="str">
        <x:v>主链取得明确测试执行结果；提交不等于成功，未知不盲目重发，急停不等于已经停机。</x:v>
      </x:c>
      <x:c r="G222" s="535" t="str">
        <x:v>还没测</x:v>
      </x:c>
      <x:c r="H222" s="535" t="str"/>
      <x:c r="I222" s="535" t="str"/>
      <x:c r="J222" s="536" t="str"/>
      <x:c r="K222" s="535" t="str"/>
      <x:c r="L222" s="535" t="str"/>
    </x:row>
    <x:row r="223" ht="88" customHeight="1">
      <x:c r="A223" s="565" t="str">
        <x:v>F22</x:v>
      </x:c>
      <x:c r="B223" s="565" t="n">
        <x:v>8</x:v>
      </x:c>
      <x:c r="C223" s="565" t="str">
        <x:v>移送送达签收与办理结果</x:v>
      </x:c>
      <x:c r="D223" s="565" t="str">
        <x:v>权限不足人员尝试接手</x:v>
      </x:c>
      <x:c r="E223" s="566" t="str">
        <x:v>设备结果满足通知处罚条件后，不点击通知按钮，观察自动办理。 回读交接材料、送达、签收和办理结果。 本环节另用无权、范围受限账号尝试，再用有权账号。</x:v>
      </x:c>
      <x:c r="F223" s="566" t="str">
        <x:v>通知方式符合配置。发送、送达、签收分开；有正式办理结果才展示，没有就明确尚无结果，不能强行显示处罚完成。 无权人员不能接手，自动模式不授予个人权限；换有权账号也须满足当前业务条件。</x:v>
      </x:c>
      <x:c r="G223" s="535" t="str">
        <x:v>还没测</x:v>
      </x:c>
      <x:c r="H223" s="535" t="str"/>
      <x:c r="I223" s="535" t="str"/>
      <x:c r="J223" s="536" t="str"/>
      <x:c r="K223" s="535" t="str"/>
      <x:c r="L223" s="535" t="str"/>
    </x:row>
    <x:row r="224" ht="88" customHeight="1">
      <x:c r="A224" s="565" t="str">
        <x:v>F22</x:v>
      </x:c>
      <x:c r="B224" s="565" t="n">
        <x:v>9</x:v>
      </x:c>
      <x:c r="C224" s="565" t="str">
        <x:v>证据统计与跨页一致</x:v>
      </x:c>
      <x:c r="D224" s="565" t="str">
        <x:v>权限不足人员尝试接手</x:v>
      </x:c>
      <x:c r="E224" s="566" t="str">
        <x:v>在证据、统计、告警、计划和移送页按同一事件核对。记录所有关联编号和重要时间。</x:v>
      </x:c>
      <x:c r="F224" s="566" t="str">
        <x:v>原始与冻结材料完整；事件、授权、命令、通知、交接能互相对应；统计按真实事实计数，不把签收当结案。</x:v>
      </x:c>
      <x:c r="G224" s="535" t="str">
        <x:v>还没测</x:v>
      </x:c>
      <x:c r="H224" s="535" t="str"/>
      <x:c r="I224" s="535" t="str"/>
      <x:c r="J224" s="536" t="str"/>
      <x:c r="K224" s="535" t="str"/>
      <x:c r="L224" s="535" t="str"/>
    </x:row>
    <x:row r="225" ht="88" customHeight="1">
      <x:c r="A225" s="565" t="str">
        <x:v>F22</x:v>
      </x:c>
      <x:c r="B225" s="565" t="n">
        <x:v>10</x:v>
      </x:c>
      <x:c r="C225" s="565" t="str">
        <x:v>关闭页面与重登复查</x:v>
      </x:c>
      <x:c r="D225" s="565" t="str">
        <x:v>权限不足人员尝试接手</x:v>
      </x:c>
      <x:c r="E225" s="566" t="str">
        <x:v>本轮适用的自动等待阶段关闭页面再打开；结束后刷新、退出重登。核对动作次数并停止模拟。</x:v>
      </x:c>
      <x:c r="F225" s="566" t="str">
        <x:v>自动办理不依赖页面打开；刷新重登不重复动作；最终结果稳定，历史保留，模拟任务已明确停止。</x:v>
      </x:c>
      <x:c r="G225" s="535" t="str">
        <x:v>还没测</x:v>
      </x:c>
      <x:c r="H225" s="535" t="str"/>
      <x:c r="I225" s="535" t="str"/>
      <x:c r="J225" s="536" t="str"/>
      <x:c r="K225" s="535" t="str"/>
      <x:c r="L225" s="535" t="str"/>
    </x:row>
    <x:row r="226" ht="88" customHeight="1">
      <x:c r="A226" s="567" t="str">
        <x:v>F23</x:v>
      </x:c>
      <x:c r="B226" s="567" t="n">
        <x:v>1</x:v>
      </x:c>
      <x:c r="C226" s="567" t="str">
        <x:v>后台配置与测试准备</x:v>
      </x:c>
      <x:c r="D226" s="567" t="str">
        <x:v>人员直接反制完整链路</x:v>
      </x:c>
      <x:c r="E226" s="568" t="str">
        <x:v>按M1设置三类规则，并保存回读。记录有效时长、账号、范围、设备、通道和规则版本。</x:v>
      </x:c>
      <x:c r="F226" s="568" t="str">
        <x:v>实际运行设置与本轮相符；模拟通道可用。换显式直接授权账号人工发起；另用未授直接权限的管理员尝试。</x:v>
      </x:c>
      <x:c r="G226" s="569" t="str">
        <x:v>还没测</x:v>
      </x:c>
      <x:c r="H226" s="569" t="str"/>
      <x:c r="I226" s="569" t="str"/>
      <x:c r="J226" s="570" t="str"/>
      <x:c r="K226" s="569" t="str"/>
      <x:c r="L226" s="569" t="str"/>
    </x:row>
    <x:row r="227" ht="88" customHeight="1">
      <x:c r="A227" s="571" t="str">
        <x:v>F23</x:v>
      </x:c>
      <x:c r="B227" s="571" t="n">
        <x:v>2</x:v>
      </x:c>
      <x:c r="C227" s="571" t="str">
        <x:v>输入数据并识别目标</x:v>
      </x:c>
      <x:c r="D227" s="571" t="str">
        <x:v>人员直接反制完整链路</x:v>
      </x:c>
      <x:c r="E227" s="572" t="str">
        <x:v>启动新批次，通过获准入口输入计划和目标数据；记录唯一目标、计划和设备编号。</x:v>
      </x:c>
      <x:c r="F227" s="572" t="str">
        <x:v>能在融合感知查到同一目标，位置、时间和模拟标记正确；发送成功不代替平台已接收。</x:v>
      </x:c>
      <x:c r="G227" s="535" t="str">
        <x:v>还没测</x:v>
      </x:c>
      <x:c r="H227" s="535" t="str"/>
      <x:c r="I227" s="535" t="str"/>
      <x:c r="J227" s="536" t="str"/>
      <x:c r="K227" s="535" t="str"/>
      <x:c r="L227" s="535" t="str"/>
    </x:row>
    <x:row r="228" ht="88" customHeight="1">
      <x:c r="A228" s="571" t="str">
        <x:v>F23</x:v>
      </x:c>
      <x:c r="B228" s="571" t="n">
        <x:v>3</x:v>
      </x:c>
      <x:c r="C228" s="571" t="str">
        <x:v>研判和告警关联</x:v>
      </x:c>
      <x:c r="D228" s="571" t="str">
        <x:v>人员直接反制完整链路</x:v>
      </x:c>
      <x:c r="E228" s="572" t="str">
        <x:v>打开计划、合法性研判和告警，核对同一目标、计划、研判和事件关系。</x:v>
      </x:c>
      <x:c r="F228" s="572" t="str">
        <x:v>主链准备明确违规且证据充分的事件；各页同一事实。若本轮是合法或误报分支，按该分支正确阻止后续。</x:v>
      </x:c>
      <x:c r="G228" s="535" t="str">
        <x:v>还没测</x:v>
      </x:c>
      <x:c r="H228" s="535" t="str"/>
      <x:c r="I228" s="535" t="str"/>
      <x:c r="J228" s="536" t="str"/>
      <x:c r="K228" s="535" t="str"/>
      <x:c r="L228" s="535" t="str"/>
    </x:row>
    <x:row r="229" ht="88" customHeight="1">
      <x:c r="A229" s="571" t="str">
        <x:v>F23</x:v>
      </x:c>
      <x:c r="B229" s="571" t="n">
        <x:v>4</x:v>
      </x:c>
      <x:c r="C229" s="571" t="str">
        <x:v>核实告警</x:v>
      </x:c>
      <x:c r="D229" s="571" t="str">
        <x:v>人员直接反制完整链路</x:v>
      </x:c>
      <x:c r="E229" s="572" t="str">
        <x:v>用值班账号核实属实；提交前先观察系统是否等待人工。</x:v>
      </x:c>
      <x:c r="F229" s="572" t="str">
        <x:v>手动模式不自动核实；有权人员提交后记录真实操作人并进入后续阶段。</x:v>
      </x:c>
      <x:c r="G229" s="535" t="str">
        <x:v>还没测</x:v>
      </x:c>
      <x:c r="H229" s="535" t="str"/>
      <x:c r="I229" s="535" t="str"/>
      <x:c r="J229" s="536" t="str"/>
      <x:c r="K229" s="535" t="str"/>
      <x:c r="L229" s="535" t="str"/>
    </x:row>
    <x:row r="230" ht="88" customHeight="1">
      <x:c r="A230" s="571" t="str">
        <x:v>F23</x:v>
      </x:c>
      <x:c r="B230" s="571" t="n">
        <x:v>5</x:v>
      </x:c>
      <x:c r="C230" s="571" t="str">
        <x:v>飞手通知和位置观察</x:v>
      </x:c>
      <x:c r="D230" s="571" t="str">
        <x:v>人员直接反制完整链路</x:v>
      </x:c>
      <x:c r="E230" s="572" t="str">
        <x:v>检查短信发送/送达、观察开始/结束、电话接通/播放与新位置；按本轮条件操作目标。</x:v>
      </x:c>
      <x:c r="F230" s="572" t="str">
        <x:v>主链持续在域时按已确认时长推进到待反制；短信、电话、飞离各凭自己的真实依据。</x:v>
      </x:c>
      <x:c r="G230" s="535" t="str">
        <x:v>还没测</x:v>
      </x:c>
      <x:c r="H230" s="535" t="str"/>
      <x:c r="I230" s="535" t="str"/>
      <x:c r="J230" s="536" t="str"/>
      <x:c r="K230" s="535" t="str"/>
      <x:c r="L230" s="535" t="str"/>
    </x:row>
    <x:row r="231" ht="88" customHeight="1">
      <x:c r="A231" s="571" t="str">
        <x:v>F23</x:v>
      </x:c>
      <x:c r="B231" s="571" t="n">
        <x:v>6</x:v>
      </x:c>
      <x:c r="C231" s="571" t="str">
        <x:v>人工直接反制与对照账号</x:v>
      </x:c>
      <x:c r="D231" s="571" t="str">
        <x:v>人员直接反制完整链路</x:v>
      </x:c>
      <x:c r="E231" s="572" t="str">
        <x:v>被明确授予直接权限的人员手动发起；另一子批次用没有direct的管理员尝试。</x:v>
      </x:c>
      <x:c r="F231" s="572" t="str">
        <x:v>有权限且条件满足才免逐次审批；真实发起人保留；对照账号被拒绝且未下发。</x:v>
      </x:c>
      <x:c r="G231" s="535" t="str">
        <x:v>还没测</x:v>
      </x:c>
      <x:c r="H231" s="535" t="str"/>
      <x:c r="I231" s="535" t="str"/>
      <x:c r="J231" s="536" t="str"/>
      <x:c r="K231" s="535" t="str"/>
      <x:c r="L231" s="535" t="str"/>
    </x:row>
    <x:row r="232" ht="88" customHeight="1">
      <x:c r="A232" s="571" t="str">
        <x:v>F23</x:v>
      </x:c>
      <x:c r="B232" s="571" t="n">
        <x:v>7</x:v>
      </x:c>
      <x:c r="C232" s="571" t="str">
        <x:v>两段设备动作及分支结果</x:v>
      </x:c>
      <x:c r="D232" s="571" t="str">
        <x:v>人员直接反制完整链路</x:v>
      </x:c>
      <x:c r="E232" s="572" t="str">
        <x:v>核对同一授权的设备、命令、受理和实际回执；失败、超时及急停分支分别留证。 对有条件接续干扰的批次，分别记录反制父授权和干扰子授权、两条命令及回执。</x:v>
      </x:c>
      <x:c r="F232" s="572" t="str">
        <x:v>主链取得明确测试执行结果；提交不等于成功，未知不盲目重发，急停不等于已经停机。</x:v>
      </x:c>
      <x:c r="G232" s="535" t="str">
        <x:v>还没测</x:v>
      </x:c>
      <x:c r="H232" s="535" t="str"/>
      <x:c r="I232" s="535" t="str"/>
      <x:c r="J232" s="536" t="str"/>
      <x:c r="K232" s="535" t="str"/>
      <x:c r="L232" s="535" t="str"/>
    </x:row>
    <x:row r="233" ht="88" customHeight="1">
      <x:c r="A233" s="571" t="str">
        <x:v>F23</x:v>
      </x:c>
      <x:c r="B233" s="571" t="n">
        <x:v>8</x:v>
      </x:c>
      <x:c r="C233" s="571" t="str">
        <x:v>移送送达签收与办理结果</x:v>
      </x:c>
      <x:c r="D233" s="571" t="str">
        <x:v>人员直接反制完整链路</x:v>
      </x:c>
      <x:c r="E233" s="572" t="str">
        <x:v>设备结果满足条件后，先确认系统等待人工，再由有权人员通知处罚部门。 回读交接材料、送达、签收和办理结果。</x:v>
      </x:c>
      <x:c r="F233" s="572" t="str">
        <x:v>通知方式符合配置。发送、送达、签收分开；有正式办理结果才展示，没有就明确尚无结果，不能强行显示处罚完成。</x:v>
      </x:c>
      <x:c r="G233" s="535" t="str">
        <x:v>还没测</x:v>
      </x:c>
      <x:c r="H233" s="535" t="str"/>
      <x:c r="I233" s="535" t="str"/>
      <x:c r="J233" s="536" t="str"/>
      <x:c r="K233" s="535" t="str"/>
      <x:c r="L233" s="535" t="str"/>
    </x:row>
    <x:row r="234" ht="88" customHeight="1">
      <x:c r="A234" s="571" t="str">
        <x:v>F23</x:v>
      </x:c>
      <x:c r="B234" s="571" t="n">
        <x:v>9</x:v>
      </x:c>
      <x:c r="C234" s="571" t="str">
        <x:v>证据统计与跨页一致</x:v>
      </x:c>
      <x:c r="D234" s="571" t="str">
        <x:v>人员直接反制完整链路</x:v>
      </x:c>
      <x:c r="E234" s="572" t="str">
        <x:v>在证据、统计、告警、计划和移送页按同一事件核对。记录所有关联编号和重要时间。</x:v>
      </x:c>
      <x:c r="F234" s="572" t="str">
        <x:v>原始与冻结材料完整；事件、授权、命令、通知、交接能互相对应；统计按真实事实计数，不把签收当结案。</x:v>
      </x:c>
      <x:c r="G234" s="535" t="str">
        <x:v>还没测</x:v>
      </x:c>
      <x:c r="H234" s="535" t="str"/>
      <x:c r="I234" s="535" t="str"/>
      <x:c r="J234" s="536" t="str"/>
      <x:c r="K234" s="535" t="str"/>
      <x:c r="L234" s="535" t="str"/>
    </x:row>
    <x:row r="235" ht="88" customHeight="1">
      <x:c r="A235" s="571" t="str">
        <x:v>F23</x:v>
      </x:c>
      <x:c r="B235" s="571" t="n">
        <x:v>10</x:v>
      </x:c>
      <x:c r="C235" s="571" t="str">
        <x:v>关闭页面与重登复查</x:v>
      </x:c>
      <x:c r="D235" s="571" t="str">
        <x:v>人员直接反制完整链路</x:v>
      </x:c>
      <x:c r="E235" s="572" t="str">
        <x:v>本轮适用的自动等待阶段关闭页面再打开；结束后刷新、退出重登。核对动作次数并停止模拟。</x:v>
      </x:c>
      <x:c r="F235" s="572" t="str">
        <x:v>自动办理不依赖页面打开；刷新重登不重复动作；最终结果稳定，历史保留，模拟任务已明确停止。</x:v>
      </x:c>
      <x:c r="G235" s="535" t="str">
        <x:v>还没测</x:v>
      </x:c>
      <x:c r="H235" s="535" t="str"/>
      <x:c r="I235" s="535" t="str"/>
      <x:c r="J235" s="536" t="str"/>
      <x:c r="K235" s="535" t="str"/>
      <x:c r="L235" s="535" t="str"/>
    </x:row>
    <x:row r="236" ht="88" customHeight="1">
      <x:c r="A236" s="573" t="str">
        <x:v>F24</x:v>
      </x:c>
      <x:c r="B236" s="573" t="n">
        <x:v>1</x:v>
      </x:c>
      <x:c r="C236" s="573" t="str">
        <x:v>后台配置与测试准备</x:v>
      </x:c>
      <x:c r="D236" s="573" t="str">
        <x:v>处罚通知失败及迟到回执</x:v>
      </x:c>
      <x:c r="E236" s="574" t="str">
        <x:v>按M8设置三类规则，并保存回读。记录有效时长、账号、范围、设备、通道和规则版本。</x:v>
      </x:c>
      <x:c r="F236" s="574" t="str">
        <x:v>实际运行设置与本轮相符；模拟通道可用。设备执行完成后模拟移送发送失败、送达未知、签收超时，再补迟到/重复回复。</x:v>
      </x:c>
      <x:c r="G236" s="575" t="str">
        <x:v>还没测</x:v>
      </x:c>
      <x:c r="H236" s="575" t="str"/>
      <x:c r="I236" s="575" t="str"/>
      <x:c r="J236" s="576" t="str"/>
      <x:c r="K236" s="575" t="str"/>
      <x:c r="L236" s="575" t="str"/>
    </x:row>
    <x:row r="237" ht="88" customHeight="1">
      <x:c r="A237" s="577" t="str">
        <x:v>F24</x:v>
      </x:c>
      <x:c r="B237" s="577" t="n">
        <x:v>2</x:v>
      </x:c>
      <x:c r="C237" s="577" t="str">
        <x:v>输入数据并识别目标</x:v>
      </x:c>
      <x:c r="D237" s="577" t="str">
        <x:v>处罚通知失败及迟到回执</x:v>
      </x:c>
      <x:c r="E237" s="578" t="str">
        <x:v>启动新批次，通过获准入口输入计划和目标数据；记录唯一目标、计划和设备编号。</x:v>
      </x:c>
      <x:c r="F237" s="578" t="str">
        <x:v>能在融合感知查到同一目标，位置、时间和模拟标记正确；发送成功不代替平台已接收。</x:v>
      </x:c>
      <x:c r="G237" s="535" t="str">
        <x:v>还没测</x:v>
      </x:c>
      <x:c r="H237" s="535" t="str"/>
      <x:c r="I237" s="535" t="str"/>
      <x:c r="J237" s="536" t="str"/>
      <x:c r="K237" s="535" t="str"/>
      <x:c r="L237" s="535" t="str"/>
    </x:row>
    <x:row r="238" ht="88" customHeight="1">
      <x:c r="A238" s="577" t="str">
        <x:v>F24</x:v>
      </x:c>
      <x:c r="B238" s="577" t="n">
        <x:v>3</x:v>
      </x:c>
      <x:c r="C238" s="577" t="str">
        <x:v>研判和告警关联</x:v>
      </x:c>
      <x:c r="D238" s="577" t="str">
        <x:v>处罚通知失败及迟到回执</x:v>
      </x:c>
      <x:c r="E238" s="578" t="str">
        <x:v>打开计划、合法性研判和告警，核对同一目标、计划、研判和事件关系。</x:v>
      </x:c>
      <x:c r="F238" s="578" t="str">
        <x:v>主链准备明确违规且证据充分的事件；各页同一事实。若本轮是合法或误报分支，按该分支正确阻止后续。</x:v>
      </x:c>
      <x:c r="G238" s="535" t="str">
        <x:v>还没测</x:v>
      </x:c>
      <x:c r="H238" s="535" t="str"/>
      <x:c r="I238" s="535" t="str"/>
      <x:c r="J238" s="536" t="str"/>
      <x:c r="K238" s="535" t="str"/>
      <x:c r="L238" s="535" t="str"/>
    </x:row>
    <x:row r="239" ht="88" customHeight="1">
      <x:c r="A239" s="577" t="str">
        <x:v>F24</x:v>
      </x:c>
      <x:c r="B239" s="577" t="n">
        <x:v>4</x:v>
      </x:c>
      <x:c r="C239" s="577" t="str">
        <x:v>核实告警</x:v>
      </x:c>
      <x:c r="D239" s="577" t="str">
        <x:v>处罚通知失败及迟到回执</x:v>
      </x:c>
      <x:c r="E239" s="578" t="str">
        <x:v>不点击核实，等待已启用规则满足。</x:v>
      </x:c>
      <x:c r="F239" s="578" t="str">
        <x:v>系统按规则核实一次；留有系统处理身份、时间和判定依据。</x:v>
      </x:c>
      <x:c r="G239" s="535" t="str">
        <x:v>还没测</x:v>
      </x:c>
      <x:c r="H239" s="535" t="str"/>
      <x:c r="I239" s="535" t="str"/>
      <x:c r="J239" s="536" t="str"/>
      <x:c r="K239" s="535" t="str"/>
      <x:c r="L239" s="535" t="str"/>
    </x:row>
    <x:row r="240" ht="88" customHeight="1">
      <x:c r="A240" s="577" t="str">
        <x:v>F24</x:v>
      </x:c>
      <x:c r="B240" s="577" t="n">
        <x:v>5</x:v>
      </x:c>
      <x:c r="C240" s="577" t="str">
        <x:v>飞手通知和位置观察</x:v>
      </x:c>
      <x:c r="D240" s="577" t="str">
        <x:v>处罚通知失败及迟到回执</x:v>
      </x:c>
      <x:c r="E240" s="578" t="str">
        <x:v>检查短信发送/送达、观察开始/结束、电话接通/播放与新位置；按本轮条件操作目标。</x:v>
      </x:c>
      <x:c r="F240" s="578" t="str">
        <x:v>主链持续在域时按已确认时长推进到待反制；短信、电话、飞离各凭自己的真实依据。</x:v>
      </x:c>
      <x:c r="G240" s="535" t="str">
        <x:v>还没测</x:v>
      </x:c>
      <x:c r="H240" s="535" t="str"/>
      <x:c r="I240" s="535" t="str"/>
      <x:c r="J240" s="536" t="str"/>
      <x:c r="K240" s="535" t="str"/>
      <x:c r="L240" s="535" t="str"/>
    </x:row>
    <x:row r="241" ht="88" customHeight="1">
      <x:c r="A241" s="577" t="str">
        <x:v>F24</x:v>
      </x:c>
      <x:c r="B241" s="577" t="n">
        <x:v>6</x:v>
      </x:c>
      <x:c r="C241" s="577" t="str">
        <x:v>反制发起和授权</x:v>
      </x:c>
      <x:c r="D241" s="577" t="str">
        <x:v>处罚通知失败及迟到回执</x:v>
      </x:c>
      <x:c r="E241" s="578" t="str">
        <x:v>进入待反制后不点发起，等待规则满足；检查当前证据和唯一可用测试设备。</x:v>
      </x:c>
      <x:c r="F241" s="578" t="str">
        <x:v>符合条件才由系统发起；记录系统身份和实际授权依据，不伪造人工审批。</x:v>
      </x:c>
      <x:c r="G241" s="535" t="str">
        <x:v>还没测</x:v>
      </x:c>
      <x:c r="H241" s="535" t="str"/>
      <x:c r="I241" s="535" t="str"/>
      <x:c r="J241" s="536" t="str"/>
      <x:c r="K241" s="535" t="str"/>
      <x:c r="L241" s="535" t="str"/>
    </x:row>
    <x:row r="242" ht="88" customHeight="1">
      <x:c r="A242" s="577" t="str">
        <x:v>F24</x:v>
      </x:c>
      <x:c r="B242" s="577" t="n">
        <x:v>7</x:v>
      </x:c>
      <x:c r="C242" s="577" t="str">
        <x:v>两段设备动作及分支结果</x:v>
      </x:c>
      <x:c r="D242" s="577" t="str">
        <x:v>处罚通知失败及迟到回执</x:v>
      </x:c>
      <x:c r="E242" s="578" t="str">
        <x:v>核对同一授权的设备、命令、受理和实际回执；失败、超时及急停分支分别留证。 对有条件接续干扰的批次，分别记录反制父授权和干扰子授权、两条命令及回执。</x:v>
      </x:c>
      <x:c r="F242" s="578" t="str">
        <x:v>主链取得明确测试执行结果；提交不等于成功，未知不盲目重发，急停不等于已经停机。</x:v>
      </x:c>
      <x:c r="G242" s="535" t="str">
        <x:v>还没测</x:v>
      </x:c>
      <x:c r="H242" s="535" t="str"/>
      <x:c r="I242" s="535" t="str"/>
      <x:c r="J242" s="536" t="str"/>
      <x:c r="K242" s="535" t="str"/>
      <x:c r="L242" s="535" t="str"/>
    </x:row>
    <x:row r="243" ht="90" customHeight="1">
      <x:c r="A243" s="577" t="str">
        <x:v>F24</x:v>
      </x:c>
      <x:c r="B243" s="577" t="n">
        <x:v>8</x:v>
      </x:c>
      <x:c r="C243" s="577" t="str">
        <x:v>移送送达签收与办理结果</x:v>
      </x:c>
      <x:c r="D243" s="577" t="str">
        <x:v>处罚通知失败及迟到回执</x:v>
      </x:c>
      <x:c r="E243" s="578" t="str">
        <x:v>设备结果满足通知处罚条件后，不点击通知按钮，观察自动办理。 回读交接材料、送达、签收和办理结果。 设备执行完成后模拟移送发送失败、送达未知、签收超时，再补迟到/重复回复。</x:v>
      </x:c>
      <x:c r="F243" s="578" t="str">
        <x:v>失败与未知明确；先对账再决定补发；只更新同一交接，不重复移送、不把签收当处罚办结。</x:v>
      </x:c>
      <x:c r="G243" s="535" t="str">
        <x:v>还没测</x:v>
      </x:c>
      <x:c r="H243" s="535" t="str"/>
      <x:c r="I243" s="535" t="str"/>
      <x:c r="J243" s="536" t="str"/>
      <x:c r="K243" s="535" t="str"/>
      <x:c r="L243" s="535" t="str"/>
    </x:row>
    <x:row r="244" ht="88" customHeight="1">
      <x:c r="A244" s="577" t="str">
        <x:v>F24</x:v>
      </x:c>
      <x:c r="B244" s="577" t="n">
        <x:v>9</x:v>
      </x:c>
      <x:c r="C244" s="577" t="str">
        <x:v>证据统计与跨页一致</x:v>
      </x:c>
      <x:c r="D244" s="577" t="str">
        <x:v>处罚通知失败及迟到回执</x:v>
      </x:c>
      <x:c r="E244" s="578" t="str">
        <x:v>在证据、统计、告警、计划和移送页按同一事件核对。记录所有关联编号和重要时间。</x:v>
      </x:c>
      <x:c r="F244" s="578" t="str">
        <x:v>原始与冻结材料完整；事件、授权、命令、通知、交接能互相对应；统计按真实事实计数，不把签收当结案。</x:v>
      </x:c>
      <x:c r="G244" s="535" t="str">
        <x:v>还没测</x:v>
      </x:c>
      <x:c r="H244" s="535" t="str"/>
      <x:c r="I244" s="535" t="str"/>
      <x:c r="J244" s="536" t="str"/>
      <x:c r="K244" s="535" t="str"/>
      <x:c r="L244" s="535" t="str"/>
    </x:row>
    <x:row r="245" ht="88" customHeight="1">
      <x:c r="A245" s="577" t="str">
        <x:v>F24</x:v>
      </x:c>
      <x:c r="B245" s="577" t="n">
        <x:v>10</x:v>
      </x:c>
      <x:c r="C245" s="577" t="str">
        <x:v>关闭页面与重登复查</x:v>
      </x:c>
      <x:c r="D245" s="577" t="str">
        <x:v>处罚通知失败及迟到回执</x:v>
      </x:c>
      <x:c r="E245" s="578" t="str">
        <x:v>本轮适用的自动等待阶段关闭页面再打开；结束后刷新、退出重登。核对动作次数并停止模拟。</x:v>
      </x:c>
      <x:c r="F245" s="578" t="str">
        <x:v>自动办理不依赖页面打开；刷新重登不重复动作；最终结果稳定，历史保留，模拟任务已明确停止。</x:v>
      </x:c>
      <x:c r="G245" s="535" t="str">
        <x:v>还没测</x:v>
      </x:c>
      <x:c r="H245" s="535" t="str"/>
      <x:c r="I245" s="535" t="str"/>
      <x:c r="J245" s="536" t="str"/>
      <x:c r="K245" s="535" t="str"/>
      <x:c r="L245" s="535" t="str"/>
    </x:row>
    <x:row r="246" ht="88" customHeight="1">
      <x:c r="A246" s="529" t="str">
        <x:v>F25</x:v>
      </x:c>
      <x:c r="B246" s="529" t="n">
        <x:v>1</x:v>
      </x:c>
      <x:c r="C246" s="529" t="str">
        <x:v>准备计划和天气</x:v>
      </x:c>
      <x:c r="D246" s="529" t="str">
        <x:v>计划天气风险与通知上级</x:v>
      </x:c>
      <x:c r="E246" s="530" t="str">
        <x:v>经获准入口录入计划、空域和覆盖飞行时段的有效测试预报。</x:v>
      </x:c>
      <x:c r="F246" s="530" t="str">
        <x:v>计划资料、预报来源和时段正确；与无人机告警到处罚的三类自动开关分开记录。</x:v>
      </x:c>
      <x:c r="G246" s="531" t="str">
        <x:v>还没测</x:v>
      </x:c>
      <x:c r="H246" s="531" t="str"/>
      <x:c r="I246" s="531" t="str"/>
      <x:c r="J246" s="532" t="str"/>
      <x:c r="K246" s="531" t="str"/>
      <x:c r="L246" s="531" t="str"/>
    </x:row>
    <x:row r="247" ht="88" customHeight="1">
      <x:c r="A247" s="533" t="str">
        <x:v>F25</x:v>
      </x:c>
      <x:c r="B247" s="533" t="n">
        <x:v>2</x:v>
      </x:c>
      <x:c r="C247" s="533" t="str">
        <x:v>风险进入计划</x:v>
      </x:c>
      <x:c r="D247" s="533" t="str">
        <x:v>计划天气风险与通知上级</x:v>
      </x:c>
      <x:c r="E247" s="534" t="str">
        <x:v>运行已接入的风险判断，查看本计划当前风险及全部风险事件。</x:v>
      </x:c>
      <x:c r="F247" s="534" t="str">
        <x:v>同一计划出现对应风险；缺依据或未接入如实显示，不能人工把结果表改成成功。</x:v>
      </x:c>
      <x:c r="G247" s="535" t="str">
        <x:v>还没测</x:v>
      </x:c>
      <x:c r="H247" s="535" t="str"/>
      <x:c r="I247" s="535" t="str"/>
      <x:c r="J247" s="536" t="str"/>
      <x:c r="K247" s="535" t="str"/>
      <x:c r="L247" s="535" t="str"/>
    </x:row>
    <x:row r="248" ht="88" customHeight="1">
      <x:c r="A248" s="533" t="str">
        <x:v>F25</x:v>
      </x:c>
      <x:c r="B248" s="533" t="n">
        <x:v>3</x:v>
      </x:c>
      <x:c r="C248" s="533" t="str">
        <x:v>跨页面定位</x:v>
      </x:c>
      <x:c r="D248" s="533" t="str">
        <x:v>计划天气风险与通知上级</x:v>
      </x:c>
      <x:c r="E248" s="534" t="str">
        <x:v>从计划进入风险详情，再到空域查看同一风险。</x:v>
      </x:c>
      <x:c r="F248" s="534" t="str">
        <x:v>计划、空域、风险编号及生效时间一致，不打开其他风险替代。</x:v>
      </x:c>
      <x:c r="G248" s="535" t="str">
        <x:v>还没测</x:v>
      </x:c>
      <x:c r="H248" s="535" t="str"/>
      <x:c r="I248" s="535" t="str"/>
      <x:c r="J248" s="536" t="str"/>
      <x:c r="K248" s="535" t="str"/>
      <x:c r="L248" s="535" t="str"/>
    </x:row>
    <x:row r="249" ht="88" customHeight="1">
      <x:c r="A249" s="533" t="str">
        <x:v>F25</x:v>
      </x:c>
      <x:c r="B249" s="533" t="n">
        <x:v>4</x:v>
      </x:c>
      <x:c r="C249" s="533" t="str">
        <x:v>核验风险</x:v>
      </x:c>
      <x:c r="D249" s="533" t="str">
        <x:v>计划天气风险与通知上级</x:v>
      </x:c>
      <x:c r="E249" s="534" t="str">
        <x:v>在风险详情用有权账号核验属实；另测排除分支。</x:v>
      </x:c>
      <x:c r="F249" s="534" t="str">
        <x:v>记录真实核验结论；通知与回执页签不重复核验，排除分支没有误通知。</x:v>
      </x:c>
      <x:c r="G249" s="535" t="str">
        <x:v>还没测</x:v>
      </x:c>
      <x:c r="H249" s="535" t="str"/>
      <x:c r="I249" s="535" t="str"/>
      <x:c r="J249" s="536" t="str"/>
      <x:c r="K249" s="535" t="str"/>
      <x:c r="L249" s="535" t="str"/>
    </x:row>
    <x:row r="250" ht="88" customHeight="1">
      <x:c r="A250" s="533" t="str">
        <x:v>F25</x:v>
      </x:c>
      <x:c r="B250" s="533" t="n">
        <x:v>5</x:v>
      </x:c>
      <x:c r="C250" s="533" t="str">
        <x:v>通知上级</x:v>
      </x:c>
      <x:c r="D250" s="533" t="str">
        <x:v>计划天气风险与通知上级</x:v>
      </x:c>
      <x:c r="E250" s="534" t="str">
        <x:v>按实际允许的入口通知上级，记录发送结果。</x:v>
      </x:c>
      <x:c r="F250" s="534" t="str">
        <x:v>接收对象为上级；不额外要求选职责单位，不因配置通知处罚而发错收件人。</x:v>
      </x:c>
      <x:c r="G250" s="535" t="str">
        <x:v>还没测</x:v>
      </x:c>
      <x:c r="H250" s="535" t="str"/>
      <x:c r="I250" s="535" t="str"/>
      <x:c r="J250" s="536" t="str"/>
      <x:c r="K250" s="535" t="str"/>
      <x:c r="L250" s="535" t="str"/>
    </x:row>
    <x:row r="251" ht="88" customHeight="1">
      <x:c r="A251" s="533" t="str">
        <x:v>F25</x:v>
      </x:c>
      <x:c r="B251" s="533" t="n">
        <x:v>6</x:v>
      </x:c>
      <x:c r="C251" s="533" t="str">
        <x:v>送达和签收</x:v>
      </x:c>
      <x:c r="D251" s="533" t="str">
        <x:v>计划天气风险与通知上级</x:v>
      </x:c>
      <x:c r="E251" s="534" t="str">
        <x:v>查看已发送、送达未知、成功、失败及签收；各异常子批次分开记录。</x:v>
      </x:c>
      <x:c r="F251" s="534" t="str">
        <x:v>阶段清楚，未知先对账；重复或迟到回复不能串风险或重复通知。</x:v>
      </x:c>
      <x:c r="G251" s="535" t="str">
        <x:v>还没测</x:v>
      </x:c>
      <x:c r="H251" s="535" t="str"/>
      <x:c r="I251" s="535" t="str"/>
      <x:c r="J251" s="536" t="str"/>
      <x:c r="K251" s="535" t="str"/>
      <x:c r="L251" s="535" t="str"/>
    </x:row>
    <x:row r="252" ht="88" customHeight="1">
      <x:c r="A252" s="533" t="str">
        <x:v>F25</x:v>
      </x:c>
      <x:c r="B252" s="533" t="n">
        <x:v>7</x:v>
      </x:c>
      <x:c r="C252" s="533" t="str">
        <x:v>签收后风险仍在</x:v>
      </x:c>
      <x:c r="D252" s="533" t="str">
        <x:v>计划天气风险与通知上级</x:v>
      </x:c>
      <x:c r="E252" s="534" t="str">
        <x:v>保持风险有效，刷新计划当前风险与地图。</x:v>
      </x:c>
      <x:c r="F252" s="534" t="str">
        <x:v>送达或签收不会自动解除风险；当前数量与列表一致。</x:v>
      </x:c>
      <x:c r="G252" s="535" t="str">
        <x:v>还没测</x:v>
      </x:c>
      <x:c r="H252" s="535" t="str"/>
      <x:c r="I252" s="535" t="str"/>
      <x:c r="J252" s="536" t="str"/>
      <x:c r="K252" s="535" t="str"/>
      <x:c r="L252" s="535" t="str"/>
    </x:row>
    <x:row r="253" ht="88" customHeight="1">
      <x:c r="A253" s="533" t="str">
        <x:v>F25</x:v>
      </x:c>
      <x:c r="B253" s="533" t="n">
        <x:v>8</x:v>
      </x:c>
      <x:c r="C253" s="533" t="str">
        <x:v>风险解除及待确认</x:v>
      </x:c>
      <x:c r="D253" s="533" t="str">
        <x:v>计划天气风险与通知上级</x:v>
      </x:c>
      <x:c r="E253" s="534" t="str">
        <x:v>提供有效解除依据；另一子批次只停止更新而不提供依据。</x:v>
      </x:c>
      <x:c r="F253" s="534" t="str">
        <x:v>有依据才按规则解除；无法确认的单独标记，不因失联当解除。</x:v>
      </x:c>
      <x:c r="G253" s="535" t="str">
        <x:v>还没测</x:v>
      </x:c>
      <x:c r="H253" s="535" t="str"/>
      <x:c r="I253" s="535" t="str"/>
      <x:c r="J253" s="536" t="str"/>
      <x:c r="K253" s="535" t="str"/>
      <x:c r="L253" s="535" t="str"/>
    </x:row>
    <x:row r="254" ht="88" customHeight="1">
      <x:c r="A254" s="533" t="str">
        <x:v>F25</x:v>
      </x:c>
      <x:c r="B254" s="533" t="n">
        <x:v>9</x:v>
      </x:c>
      <x:c r="C254" s="533" t="str">
        <x:v>历史证据和统计</x:v>
      </x:c>
      <x:c r="D254" s="533" t="str">
        <x:v>计划天气风险与通知上级</x:v>
      </x:c>
      <x:c r="E254" s="534" t="str">
        <x:v>核对风险历史、通知内容、接收方和同范围统计。</x:v>
      </x:c>
      <x:c r="F254" s="534" t="str">
        <x:v>旧记录保留且关联同一计划；历史通知快照不随配置变化重写。</x:v>
      </x:c>
      <x:c r="G254" s="535" t="str">
        <x:v>还没测</x:v>
      </x:c>
      <x:c r="H254" s="535" t="str"/>
      <x:c r="I254" s="535" t="str"/>
      <x:c r="J254" s="536" t="str"/>
      <x:c r="K254" s="535" t="str"/>
      <x:c r="L254" s="535" t="str"/>
    </x:row>
    <x:row r="255" ht="88" customHeight="1">
      <x:c r="A255" s="533" t="str">
        <x:v>F25</x:v>
      </x:c>
      <x:c r="B255" s="533" t="n">
        <x:v>10</x:v>
      </x:c>
      <x:c r="C255" s="533" t="str">
        <x:v>刷新重登检查</x:v>
      </x:c>
      <x:c r="D255" s="533" t="str">
        <x:v>计划天气风险与通知上级</x:v>
      </x:c>
      <x:c r="E255" s="534" t="str">
        <x:v>重新登录，从计划与空域分别回查本风险并停止模拟。</x:v>
      </x:c>
      <x:c r="F255" s="534" t="str">
        <x:v>处理结果一致，无重复通知；受限账号看不到范围外数据。</x:v>
      </x:c>
      <x:c r="G255" s="535" t="str">
        <x:v>还没测</x:v>
      </x:c>
      <x:c r="H255" s="535" t="str"/>
      <x:c r="I255" s="535" t="str"/>
      <x:c r="J255" s="536" t="str"/>
      <x:c r="K255" s="535" t="str"/>
      <x:c r="L255" s="535" t="str"/>
    </x:row>
    <x:row r="256" ht="88" customHeight="1">
      <x:c r="A256" s="537" t="str">
        <x:v>F26</x:v>
      </x:c>
      <x:c r="B256" s="537" t="n">
        <x:v>1</x:v>
      </x:c>
      <x:c r="C256" s="537" t="str">
        <x:v>准备计划与测试设备</x:v>
      </x:c>
      <x:c r="D256" s="537" t="str">
        <x:v>计划未见目标与设备恢复</x:v>
      </x:c>
      <x:c r="E256" s="538" t="str">
        <x:v>准备已到计划起飞时间但未收到目标的计划；设备异常、正常、信息不足三个子批次。</x:v>
      </x:c>
      <x:c r="F256" s="538" t="str">
        <x:v>设备与计划范围匹配，独立编号可追溯；只用测试设备。</x:v>
      </x:c>
      <x:c r="G256" s="539" t="str">
        <x:v>还没测</x:v>
      </x:c>
      <x:c r="H256" s="539" t="str"/>
      <x:c r="I256" s="539" t="str"/>
      <x:c r="J256" s="540" t="str"/>
      <x:c r="K256" s="539" t="str"/>
      <x:c r="L256" s="539" t="str"/>
    </x:row>
    <x:row r="257" ht="88" customHeight="1">
      <x:c r="A257" s="541" t="str">
        <x:v>F26</x:v>
      </x:c>
      <x:c r="B257" s="541" t="n">
        <x:v>2</x:v>
      </x:c>
      <x:c r="C257" s="541" t="str">
        <x:v>前台发现未见目标</x:v>
      </x:c>
      <x:c r="D257" s="541" t="str">
        <x:v>计划未见目标与设备恢复</x:v>
      </x:c>
      <x:c r="E257" s="542" t="str">
        <x:v>打开飞行计划检查结果和最近观测。</x:v>
      </x:c>
      <x:c r="F257" s="542" t="str">
        <x:v>未见目标不直接当作没有起飞；说明当前设备和观测依据。</x:v>
      </x:c>
      <x:c r="G257" s="535" t="str">
        <x:v>还没测</x:v>
      </x:c>
      <x:c r="H257" s="535" t="str"/>
      <x:c r="I257" s="535" t="str"/>
      <x:c r="J257" s="536" t="str"/>
      <x:c r="K257" s="535" t="str"/>
      <x:c r="L257" s="535" t="str"/>
    </x:row>
    <x:row r="258" ht="88" customHeight="1">
      <x:c r="A258" s="541" t="str">
        <x:v>F26</x:v>
      </x:c>
      <x:c r="B258" s="541" t="n">
        <x:v>3</x:v>
      </x:c>
      <x:c r="C258" s="541" t="str">
        <x:v>检查附近设备</x:v>
      </x:c>
      <x:c r="D258" s="541" t="str">
        <x:v>计划未见目标与设备恢复</x:v>
      </x:c>
      <x:c r="E258" s="542" t="str">
        <x:v>按已有规则读取设备检查；对照实际设备异常及最近上报。</x:v>
      </x:c>
      <x:c r="F258" s="542" t="str">
        <x:v>设备异常、设备正常、资料不足分开；缺依据不造出检查通过。</x:v>
      </x:c>
      <x:c r="G258" s="535" t="str">
        <x:v>还没测</x:v>
      </x:c>
      <x:c r="H258" s="535" t="str"/>
      <x:c r="I258" s="535" t="str"/>
      <x:c r="J258" s="536" t="str"/>
      <x:c r="K258" s="535" t="str"/>
      <x:c r="L258" s="535" t="str"/>
    </x:row>
    <x:row r="259" ht="88" customHeight="1">
      <x:c r="A259" s="541" t="str">
        <x:v>F26</x:v>
      </x:c>
      <x:c r="B259" s="541" t="n">
        <x:v>4</x:v>
      </x:c>
      <x:c r="C259" s="541" t="str">
        <x:v>发送设备异常通知</x:v>
      </x:c>
      <x:c r="D259" s="541" t="str">
        <x:v>计划未见目标与设备恢复</x:v>
      </x:c>
      <x:c r="E259" s="542" t="str">
        <x:v>对实际异常用有权账号通知，重复点击并记录操作结果。</x:v>
      </x:c>
      <x:c r="F259" s="542" t="str">
        <x:v>通知对应同一设备/计划；无权账号被拒；不重复创建处理事项。</x:v>
      </x:c>
      <x:c r="G259" s="535" t="str">
        <x:v>还没测</x:v>
      </x:c>
      <x:c r="H259" s="535" t="str"/>
      <x:c r="I259" s="535" t="str"/>
      <x:c r="J259" s="536" t="str"/>
      <x:c r="K259" s="535" t="str"/>
      <x:c r="L259" s="535" t="str"/>
    </x:row>
    <x:row r="260" ht="88" customHeight="1">
      <x:c r="A260" s="541" t="str">
        <x:v>F26</x:v>
      </x:c>
      <x:c r="B260" s="541" t="n">
        <x:v>5</x:v>
      </x:c>
      <x:c r="C260" s="541" t="str">
        <x:v>后台接到处理事项</x:v>
      </x:c>
      <x:c r="D260" s="541" t="str">
        <x:v>计划未见目标与设备恢复</x:v>
      </x:c>
      <x:c r="E260" s="542" t="str">
        <x:v>在管理后台找到前台产生的同一事项，核对设备、时间及异常原因。</x:v>
      </x:c>
      <x:c r="F260" s="542" t="str">
        <x:v>前后台同一件事；不是拿另一条历史待办替代。</x:v>
      </x:c>
      <x:c r="G260" s="535" t="str">
        <x:v>还没测</x:v>
      </x:c>
      <x:c r="H260" s="535" t="str"/>
      <x:c r="I260" s="535" t="str"/>
      <x:c r="J260" s="536" t="str"/>
      <x:c r="K260" s="535" t="str"/>
      <x:c r="L260" s="535" t="str"/>
    </x:row>
    <x:row r="261" ht="88" customHeight="1">
      <x:c r="A261" s="541" t="str">
        <x:v>F26</x:v>
      </x:c>
      <x:c r="B261" s="541" t="n">
        <x:v>6</x:v>
      </x:c>
      <x:c r="C261" s="541" t="str">
        <x:v>后台办理并记录结果</x:v>
      </x:c>
      <x:c r="D261" s="541" t="str">
        <x:v>计划未见目标与设备恢复</x:v>
      </x:c>
      <x:c r="E261" s="542" t="str">
        <x:v>按已有流程处理测试设备异常；分别模拟处理成功、失败及回复未知。</x:v>
      </x:c>
      <x:c r="F261" s="542" t="str">
        <x:v>操作提交、设备回复和后台办理状态分开；未知不标成功。</x:v>
      </x:c>
      <x:c r="G261" s="535" t="str">
        <x:v>还没测</x:v>
      </x:c>
      <x:c r="H261" s="535" t="str"/>
      <x:c r="I261" s="535" t="str"/>
      <x:c r="J261" s="536" t="str"/>
      <x:c r="K261" s="535" t="str"/>
      <x:c r="L261" s="535" t="str"/>
    </x:row>
    <x:row r="262" ht="88" customHeight="1">
      <x:c r="A262" s="541" t="str">
        <x:v>F26</x:v>
      </x:c>
      <x:c r="B262" s="541" t="n">
        <x:v>7</x:v>
      </x:c>
      <x:c r="C262" s="541" t="str">
        <x:v>验证实际恢复</x:v>
      </x:c>
      <x:c r="D262" s="541" t="str">
        <x:v>计划未见目标与设备恢复</x:v>
      </x:c>
      <x:c r="E262" s="542" t="str">
        <x:v>恢复设备上报和健康数据；另一子批次仅完成后台处理但不恢复设备。</x:v>
      </x:c>
      <x:c r="F262" s="542" t="str">
        <x:v>实际恢复需真实依据；工单处理完、收到命令、设备心跳恢复不能互相替代。</x:v>
      </x:c>
      <x:c r="G262" s="535" t="str">
        <x:v>还没测</x:v>
      </x:c>
      <x:c r="H262" s="535" t="str"/>
      <x:c r="I262" s="535" t="str"/>
      <x:c r="J262" s="536" t="str"/>
      <x:c r="K262" s="535" t="str"/>
      <x:c r="L262" s="535" t="str"/>
    </x:row>
    <x:row r="263" ht="88" customHeight="1">
      <x:c r="A263" s="541" t="str">
        <x:v>F26</x:v>
      </x:c>
      <x:c r="B263" s="541" t="n">
        <x:v>8</x:v>
      </x:c>
      <x:c r="C263" s="541" t="str">
        <x:v>前台回读检查结果</x:v>
      </x:c>
      <x:c r="D263" s="541" t="str">
        <x:v>计划未见目标与设备恢复</x:v>
      </x:c>
      <x:c r="E263" s="542" t="str">
        <x:v>回到原计划和融合感知查看设备状态、异常提示及检查依据。</x:v>
      </x:c>
      <x:c r="F263" s="542" t="str">
        <x:v>已验证恢复才更新对应异常；未恢复继续提示，计划和设备仍正确关联。</x:v>
      </x:c>
      <x:c r="G263" s="535" t="str">
        <x:v>还没测</x:v>
      </x:c>
      <x:c r="H263" s="535" t="str"/>
      <x:c r="I263" s="535" t="str"/>
      <x:c r="J263" s="536" t="str"/>
      <x:c r="K263" s="535" t="str"/>
      <x:c r="L263" s="535" t="str"/>
    </x:row>
    <x:row r="264" ht="88" customHeight="1">
      <x:c r="A264" s="541" t="str">
        <x:v>F26</x:v>
      </x:c>
      <x:c r="B264" s="541" t="n">
        <x:v>9</x:v>
      </x:c>
      <x:c r="C264" s="541" t="str">
        <x:v>计划与历史一致</x:v>
      </x:c>
      <x:c r="D264" s="541" t="str">
        <x:v>计划未见目标与设备恢复</x:v>
      </x:c>
      <x:c r="E264" s="542" t="str">
        <x:v>核对计划未见目标提示、处理历史及异常通知记录。</x:v>
      </x:c>
      <x:c r="F264" s="542" t="str">
        <x:v>设备恢复不等于无人机已起飞或计划获准；历史异常与通知不删除。</x:v>
      </x:c>
      <x:c r="G264" s="535" t="str">
        <x:v>还没测</x:v>
      </x:c>
      <x:c r="H264" s="535" t="str"/>
      <x:c r="I264" s="535" t="str"/>
      <x:c r="J264" s="536" t="str"/>
      <x:c r="K264" s="535" t="str"/>
      <x:c r="L264" s="535" t="str"/>
    </x:row>
    <x:row r="265" ht="88" customHeight="1">
      <x:c r="A265" s="541" t="str">
        <x:v>F26</x:v>
      </x:c>
      <x:c r="B265" s="541" t="n">
        <x:v>10</x:v>
      </x:c>
      <x:c r="C265" s="541" t="str">
        <x:v>刷新重登检查</x:v>
      </x:c>
      <x:c r="D265" s="541" t="str">
        <x:v>计划未见目标与设备恢复</x:v>
      </x:c>
      <x:c r="E265" s="542" t="str">
        <x:v>重新登录回查同一计划和设备；结束模拟并核对停止。</x:v>
      </x:c>
      <x:c r="F265" s="542" t="str">
        <x:v>数据一致、不重复生成待办；权限范围依旧有效。</x:v>
      </x:c>
      <x:c r="G265" s="535" t="str">
        <x:v>还没测</x:v>
      </x:c>
      <x:c r="H265" s="535" t="str"/>
      <x:c r="I265" s="535" t="str"/>
      <x:c r="J265" s="536" t="str"/>
      <x:c r="K265" s="535" t="str"/>
      <x:c r="L265" s="535" t="str"/>
    </x:row>
    <x:row r="266" ht="88" customHeight="1">
      <x:c r="A266" s="581" t="str">
        <x:v>F27</x:v>
      </x:c>
      <x:c r="B266" s="581" t="n">
        <x:v>1</x:v>
      </x:c>
      <x:c r="C266" s="581" t="str">
        <x:v>准备鸟群和重点区域</x:v>
      </x:c>
      <x:c r="D266" s="581" t="str">
        <x:v>鸟群风险独立闭环</x:v>
      </x:c>
      <x:c r="E266" s="581" t="str">
        <x:v>准备鸟群原始输入、重点区域、核验账号及模拟上级通道。</x:v>
      </x:c>
      <x:c r="F266" s="581" t="str">
        <x:v>记录来源、分类依据、范围、时段与批次；缺风险生成能力如实记暂时测不了。</x:v>
      </x:c>
      <x:c r="G266" s="521" t="str">
        <x:v>还没测</x:v>
      </x:c>
      <x:c r="H266" s="521" t="str"/>
      <x:c r="I266" s="521" t="str"/>
      <x:c r="J266" s="528" t="str"/>
      <x:c r="K266" s="521" t="str"/>
      <x:c r="L266" s="521" t="str"/>
    </x:row>
    <x:row r="267" ht="88" customHeight="1">
      <x:c r="A267" s="581" t="str">
        <x:v>F27</x:v>
      </x:c>
      <x:c r="B267" s="581" t="n">
        <x:v>2</x:v>
      </x:c>
      <x:c r="C267" s="581" t="str">
        <x:v>发出鸟群数据</x:v>
      </x:c>
      <x:c r="D267" s="581" t="str">
        <x:v>鸟群风险独立闭环</x:v>
      </x:c>
      <x:c r="E267" s="581" t="str">
        <x:v>经真实测试接入发原始样本，记录平台统一目标。</x:v>
      </x:c>
      <x:c r="F267" s="581" t="str">
        <x:v>可追到原始来源；不是直接写已生成风险结果。</x:v>
      </x:c>
      <x:c r="G267" s="521" t="str">
        <x:v>还没测</x:v>
      </x:c>
      <x:c r="H267" s="521" t="str"/>
      <x:c r="I267" s="521" t="str"/>
      <x:c r="J267" s="528" t="str"/>
      <x:c r="K267" s="521" t="str"/>
      <x:c r="L267" s="521" t="str"/>
    </x:row>
    <x:row r="268" ht="88" customHeight="1">
      <x:c r="A268" s="581" t="str">
        <x:v>F27</x:v>
      </x:c>
      <x:c r="B268" s="581" t="n">
        <x:v>3</x:v>
      </x:c>
      <x:c r="C268" s="581" t="str">
        <x:v>核对风险发现</x:v>
      </x:c>
      <x:c r="D268" s="581" t="str">
        <x:v>鸟群风险独立闭环</x:v>
      </x:c>
      <x:c r="E268" s="581" t="str">
        <x:v>在空域或飞行计划全部风险中找到本次风险。</x:v>
      </x:c>
      <x:c r="F268" s="581" t="str">
        <x:v>同一鸟群、位置、时段和风险原因对应。</x:v>
      </x:c>
      <x:c r="G268" s="521" t="str">
        <x:v>还没测</x:v>
      </x:c>
      <x:c r="H268" s="521" t="str"/>
      <x:c r="I268" s="521" t="str"/>
      <x:c r="J268" s="528" t="str"/>
      <x:c r="K268" s="521" t="str"/>
      <x:c r="L268" s="521" t="str"/>
    </x:row>
    <x:row r="269" ht="88" customHeight="1">
      <x:c r="A269" s="581" t="str">
        <x:v>F27</x:v>
      </x:c>
      <x:c r="B269" s="581" t="n">
        <x:v>4</x:v>
      </x:c>
      <x:c r="C269" s="581" t="str">
        <x:v>核对业务分流</x:v>
      </x:c>
      <x:c r="D269" s="581" t="str">
        <x:v>鸟群风险独立闭环</x:v>
      </x:c>
      <x:c r="E269" s="581" t="str">
        <x:v>查看合法性及无人机反制记录。</x:v>
      </x:c>
      <x:c r="F269" s="581" t="str">
        <x:v>鸟群不因没有飞行计划被判黑飞，不进无人机反制。</x:v>
      </x:c>
      <x:c r="G269" s="521" t="str">
        <x:v>还没测</x:v>
      </x:c>
      <x:c r="H269" s="521" t="str"/>
      <x:c r="I269" s="521" t="str"/>
      <x:c r="J269" s="528" t="str"/>
      <x:c r="K269" s="521" t="str"/>
      <x:c r="L269" s="521" t="str"/>
    </x:row>
    <x:row r="270" ht="88" customHeight="1">
      <x:c r="A270" s="581" t="str">
        <x:v>F27</x:v>
      </x:c>
      <x:c r="B270" s="581" t="n">
        <x:v>5</x:v>
      </x:c>
      <x:c r="C270" s="581" t="str">
        <x:v>人员核验风险</x:v>
      </x:c>
      <x:c r="D270" s="581" t="str">
        <x:v>鸟群风险独立闭环</x:v>
      </x:c>
      <x:c r="E270" s="581" t="str">
        <x:v>有权账号在风险详情核验属实。</x:v>
      </x:c>
      <x:c r="F270" s="581" t="str">
        <x:v>核验依据与历史保存；只读通知页不重复核验。</x:v>
      </x:c>
      <x:c r="G270" s="521" t="str">
        <x:v>还没测</x:v>
      </x:c>
      <x:c r="H270" s="521" t="str"/>
      <x:c r="I270" s="521" t="str"/>
      <x:c r="J270" s="528" t="str"/>
      <x:c r="K270" s="521" t="str"/>
      <x:c r="L270" s="521" t="str"/>
    </x:row>
    <x:row r="271" ht="88" customHeight="1">
      <x:c r="A271" s="581" t="str">
        <x:v>F27</x:v>
      </x:c>
      <x:c r="B271" s="581" t="n">
        <x:v>6</x:v>
      </x:c>
      <x:c r="C271" s="581" t="str">
        <x:v>通知上级</x:v>
      </x:c>
      <x:c r="D271" s="581" t="str">
        <x:v>鸟群风险独立闭环</x:v>
      </x:c>
      <x:c r="E271" s="581" t="str">
        <x:v>发送本风险通知并核对接收对象。</x:v>
      </x:c>
      <x:c r="F271" s="581" t="str">
        <x:v>提交、送达分开；接收人来自当前有效配置。</x:v>
      </x:c>
      <x:c r="G271" s="521" t="str">
        <x:v>还没测</x:v>
      </x:c>
      <x:c r="H271" s="521" t="str"/>
      <x:c r="I271" s="521" t="str"/>
      <x:c r="J271" s="528" t="str"/>
      <x:c r="K271" s="521" t="str"/>
      <x:c r="L271" s="521" t="str"/>
    </x:row>
    <x:row r="272" ht="88" customHeight="1">
      <x:c r="A272" s="581" t="str">
        <x:v>F27</x:v>
      </x:c>
      <x:c r="B272" s="581" t="n">
        <x:v>7</x:v>
      </x:c>
      <x:c r="C272" s="581" t="str">
        <x:v>签收但风险仍在</x:v>
      </x:c>
      <x:c r="D272" s="581" t="str">
        <x:v>鸟群风险独立闭环</x:v>
      </x:c>
      <x:c r="E272" s="581" t="str">
        <x:v>返回签收回执，同时保持鸟群有效观测。</x:v>
      </x:c>
      <x:c r="F272" s="581" t="str">
        <x:v>风险仍显示存在，签收不能代替解除。</x:v>
      </x:c>
      <x:c r="G272" s="521" t="str">
        <x:v>还没测</x:v>
      </x:c>
      <x:c r="H272" s="521" t="str"/>
      <x:c r="I272" s="521" t="str"/>
      <x:c r="J272" s="528" t="str"/>
      <x:c r="K272" s="521" t="str"/>
      <x:c r="L272" s="521" t="str"/>
    </x:row>
    <x:row r="273" ht="88" customHeight="1">
      <x:c r="A273" s="581" t="str">
        <x:v>F27</x:v>
      </x:c>
      <x:c r="B273" s="581" t="n">
        <x:v>8</x:v>
      </x:c>
      <x:c r="C273" s="581" t="str">
        <x:v>处置反馈与解除</x:v>
      </x:c>
      <x:c r="D273" s="581" t="str">
        <x:v>鸟群风险独立闭环</x:v>
      </x:c>
      <x:c r="E273" s="581" t="str">
        <x:v>按现有接口提供明确反馈及当前解除依据。</x:v>
      </x:c>
      <x:c r="F273" s="581" t="str">
        <x:v>区分处置回复与真实风险状态；依据不足保留待确认。</x:v>
      </x:c>
      <x:c r="G273" s="521" t="str">
        <x:v>还没测</x:v>
      </x:c>
      <x:c r="H273" s="521" t="str"/>
      <x:c r="I273" s="521" t="str"/>
      <x:c r="J273" s="528" t="str"/>
      <x:c r="K273" s="521" t="str"/>
      <x:c r="L273" s="521" t="str"/>
    </x:row>
    <x:row r="274" ht="88" customHeight="1">
      <x:c r="A274" s="581" t="str">
        <x:v>F27</x:v>
      </x:c>
      <x:c r="B274" s="581" t="n">
        <x:v>9</x:v>
      </x:c>
      <x:c r="C274" s="581" t="str">
        <x:v>历史证据与统计</x:v>
      </x:c>
      <x:c r="D274" s="581" t="str">
        <x:v>鸟群风险独立闭环</x:v>
      </x:c>
      <x:c r="E274" s="581" t="str">
        <x:v>核对风险、通知、回执、证据及相关统计。</x:v>
      </x:c>
      <x:c r="F274" s="581" t="str">
        <x:v>同一组ID和事实；不把鸟群计入无人机违法数。</x:v>
      </x:c>
      <x:c r="G274" s="521" t="str">
        <x:v>还没测</x:v>
      </x:c>
      <x:c r="H274" s="521" t="str"/>
      <x:c r="I274" s="521" t="str"/>
      <x:c r="J274" s="528" t="str"/>
      <x:c r="K274" s="521" t="str"/>
      <x:c r="L274" s="521" t="str"/>
    </x:row>
    <x:row r="275" ht="88" customHeight="1">
      <x:c r="A275" s="581" t="str">
        <x:v>F27</x:v>
      </x:c>
      <x:c r="B275" s="581" t="n">
        <x:v>10</x:v>
      </x:c>
      <x:c r="C275" s="581" t="str">
        <x:v>重登复查与结束</x:v>
      </x:c>
      <x:c r="D275" s="581" t="str">
        <x:v>鸟群风险独立闭环</x:v>
      </x:c>
      <x:c r="E275" s="581" t="str">
        <x:v>刷新重登，查历史并结束模拟。</x:v>
      </x:c>
      <x:c r="F275" s="581" t="str">
        <x:v>无重复风险通知，历史完整，模拟明确停止。</x:v>
      </x:c>
      <x:c r="G275" s="521" t="str">
        <x:v>还没测</x:v>
      </x:c>
      <x:c r="H275" s="521" t="str"/>
      <x:c r="I275" s="521" t="str"/>
      <x:c r="J275" s="528" t="str"/>
      <x:c r="K275" s="521" t="str"/>
      <x:c r="L275" s="521" t="str"/>
    </x:row>
    <x:row r="276" ht="88" customHeight="1">
      <x:c r="A276" s="524" t="str">
        <x:v>F28</x:v>
      </x:c>
      <x:c r="B276" s="524" t="n">
        <x:v>1</x:v>
      </x:c>
      <x:c r="C276" s="524" t="str">
        <x:v>冻结来源与数据真值</x:v>
      </x:c>
      <x:c r="D276" s="524" t="str">
        <x:v>三路融合及降级恢复</x:v>
      </x:c>
      <x:c r="E276" s="524" t="str">
        <x:v>登记三路协议版本、设备、目标真值和坐标时间。</x:v>
      </x:c>
      <x:c r="F276" s="524" t="str">
        <x:v>三路输入可独立追溯；模拟标签明确。</x:v>
      </x:c>
      <x:c r="G276" s="521" t="str">
        <x:v>还没测</x:v>
      </x:c>
      <x:c r="H276" s="521" t="str"/>
      <x:c r="I276" s="521" t="str"/>
      <x:c r="J276" s="528" t="str"/>
      <x:c r="K276" s="521" t="str"/>
      <x:c r="L276" s="521" t="str"/>
    </x:row>
    <x:row r="277" ht="88" customHeight="1">
      <x:c r="A277" s="524" t="str">
        <x:v>F28</x:v>
      </x:c>
      <x:c r="B277" s="524" t="n">
        <x:v>2</x:v>
      </x:c>
      <x:c r="C277" s="524" t="str">
        <x:v>启动雷达所在融合箱</x:v>
      </x:c>
      <x:c r="D277" s="524" t="str">
        <x:v>三路融合及降级恢复</x:v>
      </x:c>
      <x:c r="E277" s="524" t="str">
        <x:v>先只发送融合箱雷达帧。</x:v>
      </x:c>
      <x:c r="F277" s="524" t="str">
        <x:v>有有效点和轨迹，不以TDOA缺失否定雷达存在。</x:v>
      </x:c>
      <x:c r="G277" s="521" t="str">
        <x:v>还没测</x:v>
      </x:c>
      <x:c r="H277" s="521" t="str"/>
      <x:c r="I277" s="521" t="str"/>
      <x:c r="J277" s="528" t="str"/>
      <x:c r="K277" s="521" t="str"/>
      <x:c r="L277" s="521" t="str"/>
    </x:row>
    <x:row r="278" ht="88" customHeight="1">
      <x:c r="A278" s="524" t="str">
        <x:v>F28</x:v>
      </x:c>
      <x:c r="B278" s="524" t="n">
        <x:v>3</x:v>
      </x:c>
      <x:c r="C278" s="524" t="str">
        <x:v>接入5G-A同目标</x:v>
      </x:c>
      <x:c r="D278" s="524" t="str">
        <x:v>三路融合及降级恢复</x:v>
      </x:c>
      <x:c r="E278" s="524" t="str">
        <x:v>发送相同时空的5G-A目标。</x:v>
      </x:c>
      <x:c r="F278" s="524" t="str">
        <x:v>按已确认融合规则关联，保留原始来源ID。</x:v>
      </x:c>
      <x:c r="G278" s="521" t="str">
        <x:v>还没测</x:v>
      </x:c>
      <x:c r="H278" s="521" t="str"/>
      <x:c r="I278" s="521" t="str"/>
      <x:c r="J278" s="528" t="str"/>
      <x:c r="K278" s="521" t="str"/>
      <x:c r="L278" s="521" t="str"/>
    </x:row>
    <x:row r="279" ht="88" customHeight="1">
      <x:c r="A279" s="524" t="str">
        <x:v>F28</x:v>
      </x:c>
      <x:c r="B279" s="524" t="n">
        <x:v>4</x:v>
      </x:c>
      <x:c r="C279" s="524" t="str">
        <x:v>接入TDOA同目标</x:v>
      </x:c>
      <x:c r="D279" s="524" t="str">
        <x:v>三路融合及降级恢复</x:v>
      </x:c>
      <x:c r="E279" s="524" t="str">
        <x:v>补入同目标TDOA及遥控器位置。</x:v>
      </x:c>
      <x:c r="F279" s="524" t="str">
        <x:v>统一目标稳定，遥控器单独关联不多算无人机。</x:v>
      </x:c>
      <x:c r="G279" s="521" t="str">
        <x:v>还没测</x:v>
      </x:c>
      <x:c r="H279" s="521" t="str"/>
      <x:c r="I279" s="521" t="str"/>
      <x:c r="J279" s="528" t="str"/>
      <x:c r="K279" s="521" t="str"/>
      <x:c r="L279" s="521" t="str"/>
    </x:row>
    <x:row r="280" ht="88" customHeight="1">
      <x:c r="A280" s="524" t="str">
        <x:v>F28</x:v>
      </x:c>
      <x:c r="B280" s="524" t="n">
        <x:v>5</x:v>
      </x:c>
      <x:c r="C280" s="524" t="str">
        <x:v>加入相邻目标</x:v>
      </x:c>
      <x:c r="D280" s="524" t="str">
        <x:v>三路融合及降级恢复</x:v>
      </x:c>
      <x:c r="E280" s="524" t="str">
        <x:v>加入第二架交叉飞行目标。</x:v>
      </x:c>
      <x:c r="F280" s="524" t="str">
        <x:v>两目标身份不交换、不错误合并。</x:v>
      </x:c>
      <x:c r="G280" s="521" t="str">
        <x:v>还没测</x:v>
      </x:c>
      <x:c r="H280" s="521" t="str"/>
      <x:c r="I280" s="521" t="str"/>
      <x:c r="J280" s="528" t="str"/>
      <x:c r="K280" s="521" t="str"/>
      <x:c r="L280" s="521" t="str"/>
    </x:row>
    <x:row r="281" ht="88" customHeight="1">
      <x:c r="A281" s="524" t="str">
        <x:v>F28</x:v>
      </x:c>
      <x:c r="B281" s="524" t="n">
        <x:v>6</x:v>
      </x:c>
      <x:c r="C281" s="524" t="str">
        <x:v>核对业务研判</x:v>
      </x:c>
      <x:c r="D281" s="524" t="str">
        <x:v>三路融合及降级恢复</x:v>
      </x:c>
      <x:c r="E281" s="524" t="str">
        <x:v>关联有效计划，核对合法性及告警。</x:v>
      </x:c>
      <x:c r="F281" s="524" t="str">
        <x:v>业务消费统一目标；证据不足明确未知。</x:v>
      </x:c>
      <x:c r="G281" s="521" t="str">
        <x:v>还没测</x:v>
      </x:c>
      <x:c r="H281" s="521" t="str"/>
      <x:c r="I281" s="521" t="str"/>
      <x:c r="J281" s="528" t="str"/>
      <x:c r="K281" s="521" t="str"/>
      <x:c r="L281" s="521" t="str"/>
    </x:row>
    <x:row r="282" ht="88" customHeight="1">
      <x:c r="A282" s="524" t="str">
        <x:v>F28</x:v>
      </x:c>
      <x:c r="B282" s="524" t="n">
        <x:v>7</x:v>
      </x:c>
      <x:c r="C282" s="524" t="str">
        <x:v>中断一路</x:v>
      </x:c>
      <x:c r="D282" s="524" t="str">
        <x:v>三路融合及降级恢复</x:v>
      </x:c>
      <x:c r="E282" s="524" t="str">
        <x:v>停止TDOA，其他两路持续。</x:v>
      </x:c>
      <x:c r="F282" s="524" t="str">
        <x:v>降级说明可见，目标不因一路掉线飞离。</x:v>
      </x:c>
      <x:c r="G282" s="521" t="str">
        <x:v>还没测</x:v>
      </x:c>
      <x:c r="H282" s="521" t="str"/>
      <x:c r="I282" s="521" t="str"/>
      <x:c r="J282" s="528" t="str"/>
      <x:c r="K282" s="521" t="str"/>
      <x:c r="L282" s="521" t="str"/>
    </x:row>
    <x:row r="283" ht="88" customHeight="1">
      <x:c r="A283" s="524" t="str">
        <x:v>F28</x:v>
      </x:c>
      <x:c r="B283" s="524" t="n">
        <x:v>8</x:v>
      </x:c>
      <x:c r="C283" s="524" t="str">
        <x:v>恢复并补传</x:v>
      </x:c>
      <x:c r="D283" s="524" t="str">
        <x:v>三路融合及降级恢复</x:v>
      </x:c>
      <x:c r="E283" s="524" t="str">
        <x:v>恢复当前数据，同时按协议补传旧数据。</x:v>
      </x:c>
      <x:c r="F283" s="524" t="str">
        <x:v>历史和实时区分，不因补传产生新的错误通知或反制。</x:v>
      </x:c>
      <x:c r="G283" s="521" t="str">
        <x:v>还没测</x:v>
      </x:c>
      <x:c r="H283" s="521" t="str"/>
      <x:c r="I283" s="521" t="str"/>
      <x:c r="J283" s="528" t="str"/>
      <x:c r="K283" s="521" t="str"/>
      <x:c r="L283" s="521" t="str"/>
    </x:row>
    <x:row r="284" ht="88" customHeight="1">
      <x:c r="A284" s="524" t="str">
        <x:v>F28</x:v>
      </x:c>
      <x:c r="B284" s="524" t="n">
        <x:v>9</x:v>
      </x:c>
      <x:c r="C284" s="524" t="str">
        <x:v>对照原始和融合轨迹</x:v>
      </x:c>
      <x:c r="D284" s="524" t="str">
        <x:v>三路融合及降级恢复</x:v>
      </x:c>
      <x:c r="E284" s="524" t="str">
        <x:v>查原始来源、轨迹、证据和统计。</x:v>
      </x:c>
      <x:c r="F284" s="524" t="str">
        <x:v>预测或弥合部分如实标记，不冒充实测点。</x:v>
      </x:c>
      <x:c r="G284" s="521" t="str">
        <x:v>还没测</x:v>
      </x:c>
      <x:c r="H284" s="521" t="str"/>
      <x:c r="I284" s="521" t="str"/>
      <x:c r="J284" s="528" t="str"/>
      <x:c r="K284" s="521" t="str"/>
      <x:c r="L284" s="521" t="str"/>
    </x:row>
    <x:row r="285" ht="88" customHeight="1">
      <x:c r="A285" s="524" t="str">
        <x:v>F28</x:v>
      </x:c>
      <x:c r="B285" s="524" t="n">
        <x:v>10</x:v>
      </x:c>
      <x:c r="C285" s="524" t="str">
        <x:v>记录指标并重登</x:v>
      </x:c>
      <x:c r="D285" s="524" t="str">
        <x:v>三路融合及降级恢复</x:v>
      </x:c>
      <x:c r="E285" s="524" t="str">
        <x:v>记录ID稳定、重复数、时延，重登核对并停模拟。</x:v>
      </x:c>
      <x:c r="F285" s="524" t="str">
        <x:v>只有功能观察值；算法精度未单独验收不能冒充正式精度。</x:v>
      </x:c>
      <x:c r="G285" s="521" t="str">
        <x:v>还没测</x:v>
      </x:c>
      <x:c r="H285" s="521" t="str"/>
      <x:c r="I285" s="521" t="str"/>
      <x:c r="J285" s="528" t="str"/>
      <x:c r="K285" s="521" t="str"/>
      <x:c r="L285" s="521" t="str"/>
    </x:row>
    <x:row r="286" ht="88" customHeight="1">
      <x:c r="A286" s="581" t="str">
        <x:v>F29</x:v>
      </x:c>
      <x:c r="B286" s="581" t="n">
        <x:v>1</x:v>
      </x:c>
      <x:c r="C286" s="581" t="str">
        <x:v>准备支持的测试能力</x:v>
      </x:c>
      <x:c r="D286" s="581" t="str">
        <x:v>雷达光电与授权处置</x:v>
      </x:c>
      <x:c r="E286" s="581" t="str">
        <x:v>读取光电与反制设备协议、账号、M1配置和授权范围。</x:v>
      </x:c>
      <x:c r="F286" s="581" t="str">
        <x:v>不要求协议尚不支持的点动或角度控制；只用测试设备。</x:v>
      </x:c>
      <x:c r="G286" s="521" t="str">
        <x:v>还没测</x:v>
      </x:c>
      <x:c r="H286" s="521" t="str"/>
      <x:c r="I286" s="521" t="str"/>
      <x:c r="J286" s="528" t="str"/>
      <x:c r="K286" s="521" t="str"/>
      <x:c r="L286" s="521" t="str"/>
    </x:row>
    <x:row r="287" ht="88" customHeight="1">
      <x:c r="A287" s="581" t="str">
        <x:v>F29</x:v>
      </x:c>
      <x:c r="B287" s="581" t="n">
        <x:v>2</x:v>
      </x:c>
      <x:c r="C287" s="581" t="str">
        <x:v>雷达发现违规目标</x:v>
      </x:c>
      <x:c r="D287" s="581" t="str">
        <x:v>雷达光电与授权处置</x:v>
      </x:c>
      <x:c r="E287" s="581" t="str">
        <x:v>输入持续有效的无人机观测与违规依据。</x:v>
      </x:c>
      <x:c r="F287" s="581" t="str">
        <x:v>目标与告警可对应，身份尚未明确时不强行反制。</x:v>
      </x:c>
      <x:c r="G287" s="521" t="str">
        <x:v>还没测</x:v>
      </x:c>
      <x:c r="H287" s="521" t="str"/>
      <x:c r="I287" s="521" t="str"/>
      <x:c r="J287" s="528" t="str"/>
      <x:c r="K287" s="521" t="str"/>
      <x:c r="L287" s="521" t="str"/>
    </x:row>
    <x:row r="288" ht="88" customHeight="1">
      <x:c r="A288" s="581" t="str">
        <x:v>F29</x:v>
      </x:c>
      <x:c r="B288" s="581" t="n">
        <x:v>3</x:v>
      </x:c>
      <x:c r="C288" s="581" t="str">
        <x:v>发起获准跟踪任务</x:v>
      </x:c>
      <x:c r="D288" s="581" t="str">
        <x:v>雷达光电与授权处置</x:v>
      </x:c>
      <x:c r="E288" s="581" t="str">
        <x:v>在已有业务入口选择目标和可用光电。</x:v>
      </x:c>
      <x:c r="F288" s="581" t="str">
        <x:v>任务绑定目标和位置；无权限不能发。</x:v>
      </x:c>
      <x:c r="G288" s="521" t="str">
        <x:v>还没测</x:v>
      </x:c>
      <x:c r="H288" s="521" t="str"/>
      <x:c r="I288" s="521" t="str"/>
      <x:c r="J288" s="528" t="str"/>
      <x:c r="K288" s="521" t="str"/>
      <x:c r="L288" s="521" t="str"/>
    </x:row>
    <x:row r="289" ht="88" customHeight="1">
      <x:c r="A289" s="581" t="str">
        <x:v>F29</x:v>
      </x:c>
      <x:c r="B289" s="581" t="n">
        <x:v>4</x:v>
      </x:c>
      <x:c r="C289" s="581" t="str">
        <x:v>核对光电执行回执</x:v>
      </x:c>
      <x:c r="D289" s="581" t="str">
        <x:v>雷达光电与授权处置</x:v>
      </x:c>
      <x:c r="E289" s="581" t="str">
        <x:v>查看受理、跟踪状态及视频可用状态。</x:v>
      </x:c>
      <x:c r="F289" s="581" t="str">
        <x:v>受理不等于跟踪成功，不拿旧画面凑成功。</x:v>
      </x:c>
      <x:c r="G289" s="521" t="str">
        <x:v>还没测</x:v>
      </x:c>
      <x:c r="H289" s="521" t="str"/>
      <x:c r="I289" s="521" t="str"/>
      <x:c r="J289" s="528" t="str"/>
      <x:c r="K289" s="521" t="str"/>
      <x:c r="L289" s="521" t="str"/>
    </x:row>
    <x:row r="290" ht="88" customHeight="1">
      <x:c r="A290" s="581" t="str">
        <x:v>F29</x:v>
      </x:c>
      <x:c r="B290" s="581" t="n">
        <x:v>5</x:v>
      </x:c>
      <x:c r="C290" s="581" t="str">
        <x:v>保存分类与画面证据</x:v>
      </x:c>
      <x:c r="D290" s="581" t="str">
        <x:v>雷达光电与授权处置</x:v>
      </x:c>
      <x:c r="E290" s="581" t="str">
        <x:v>核对光电类别、来源、截图与视频关联。</x:v>
      </x:c>
      <x:c r="F290" s="581" t="str">
        <x:v>归属同一目标；算法推断和设备原始结果分开。</x:v>
      </x:c>
      <x:c r="G290" s="521" t="str">
        <x:v>还没测</x:v>
      </x:c>
      <x:c r="H290" s="521" t="str"/>
      <x:c r="I290" s="521" t="str"/>
      <x:c r="J290" s="528" t="str"/>
      <x:c r="K290" s="521" t="str"/>
      <x:c r="L290" s="521" t="str"/>
    </x:row>
    <x:row r="291" ht="88" customHeight="1">
      <x:c r="A291" s="581" t="str">
        <x:v>F29</x:v>
      </x:c>
      <x:c r="B291" s="581" t="n">
        <x:v>6</x:v>
      </x:c>
      <x:c r="C291" s="581" t="str">
        <x:v>核实通知并申请审批</x:v>
      </x:c>
      <x:c r="D291" s="581" t="str">
        <x:v>雷达光电与授权处置</x:v>
      </x:c>
      <x:c r="E291" s="581" t="str">
        <x:v>核实后按通知计时推进，人员申请，另一账号审批。</x:v>
      </x:c>
      <x:c r="F291" s="581" t="str">
        <x:v>当前依据满足才可下发；光电画面本身不是授权。</x:v>
      </x:c>
      <x:c r="G291" s="521" t="str">
        <x:v>还没测</x:v>
      </x:c>
      <x:c r="H291" s="521" t="str"/>
      <x:c r="I291" s="521" t="str"/>
      <x:c r="J291" s="528" t="str"/>
      <x:c r="K291" s="521" t="str"/>
      <x:c r="L291" s="521" t="str"/>
    </x:row>
    <x:row r="292" ht="88" customHeight="1">
      <x:c r="A292" s="581" t="str">
        <x:v>F29</x:v>
      </x:c>
      <x:c r="B292" s="581" t="n">
        <x:v>7</x:v>
      </x:c>
      <x:c r="C292" s="581" t="str">
        <x:v>反制后接续干扰</x:v>
      </x:c>
      <x:c r="D292" s="581" t="str">
        <x:v>雷达光电与授权处置</x:v>
      </x:c>
      <x:c r="E292" s="581" t="str">
        <x:v>核对父授权反制结果，再核对干扰子授权与结果。</x:v>
      </x:c>
      <x:c r="F292" s="581" t="str">
        <x:v>续链检查当前资格与有效期，两个命令和结果分别记录。</x:v>
      </x:c>
      <x:c r="G292" s="521" t="str">
        <x:v>还没测</x:v>
      </x:c>
      <x:c r="H292" s="521" t="str"/>
      <x:c r="I292" s="521" t="str"/>
      <x:c r="J292" s="528" t="str"/>
      <x:c r="K292" s="521" t="str"/>
      <x:c r="L292" s="521" t="str"/>
    </x:row>
    <x:row r="293" ht="88" customHeight="1">
      <x:c r="A293" s="581" t="str">
        <x:v>F29</x:v>
      </x:c>
      <x:c r="B293" s="581" t="n">
        <x:v>8</x:v>
      </x:c>
      <x:c r="C293" s="581" t="str">
        <x:v>人工通知处罚部门</x:v>
      </x:c>
      <x:c r="D293" s="581" t="str">
        <x:v>雷达光电与授权处置</x:v>
      </x:c>
      <x:c r="E293" s="581" t="str">
        <x:v>干扰完成后查看已冻结交接，按M1由有权者通知。</x:v>
      </x:c>
      <x:c r="F293" s="581" t="str">
        <x:v>引擎开启但dispose停用时等待人工发送；不重建已有交接。</x:v>
      </x:c>
      <x:c r="G293" s="521" t="str">
        <x:v>还没测</x:v>
      </x:c>
      <x:c r="H293" s="521" t="str"/>
      <x:c r="I293" s="521" t="str"/>
      <x:c r="J293" s="528" t="str"/>
      <x:c r="K293" s="521" t="str"/>
      <x:c r="L293" s="521" t="str"/>
    </x:row>
    <x:row r="294" ht="88" customHeight="1">
      <x:c r="A294" s="581" t="str">
        <x:v>F29</x:v>
      </x:c>
      <x:c r="B294" s="581" t="n">
        <x:v>9</x:v>
      </x:c>
      <x:c r="C294" s="581" t="str">
        <x:v>证据与交接核对</x:v>
      </x:c>
      <x:c r="D294" s="581" t="str">
        <x:v>雷达光电与授权处置</x:v>
      </x:c>
      <x:c r="E294" s="581" t="str">
        <x:v>查看原始轨迹、光电证据、授权、回执及冻结材料。</x:v>
      </x:c>
      <x:c r="F294" s="581" t="str">
        <x:v>形成同一事件证据关系，缺文件或回执不能宣称完整。</x:v>
      </x:c>
      <x:c r="G294" s="521" t="str">
        <x:v>还没测</x:v>
      </x:c>
      <x:c r="H294" s="521" t="str"/>
      <x:c r="I294" s="521" t="str"/>
      <x:c r="J294" s="528" t="str"/>
      <x:c r="K294" s="521" t="str"/>
      <x:c r="L294" s="521" t="str"/>
    </x:row>
    <x:row r="295" ht="88" customHeight="1">
      <x:c r="A295" s="581" t="str">
        <x:v>F29</x:v>
      </x:c>
      <x:c r="B295" s="581" t="n">
        <x:v>10</x:v>
      </x:c>
      <x:c r="C295" s="581" t="str">
        <x:v>收尾与审计</x:v>
      </x:c>
      <x:c r="D295" s="581" t="str">
        <x:v>雷达光电与授权处置</x:v>
      </x:c>
      <x:c r="E295" s="581" t="str">
        <x:v>正常停止或确认结束，重登核对后台审计。</x:v>
      </x:c>
      <x:c r="F295" s="581" t="str">
        <x:v>操作人、设备、授权、指令、时刻、结果齐全。</x:v>
      </x:c>
      <x:c r="G295" s="521" t="str">
        <x:v>还没测</x:v>
      </x:c>
      <x:c r="H295" s="521" t="str"/>
      <x:c r="I295" s="521" t="str"/>
      <x:c r="J295" s="528" t="str"/>
      <x:c r="K295" s="521" t="str"/>
      <x:c r="L295" s="521" t="str"/>
    </x:row>
    <x:row r="296" ht="88" customHeight="1">
      <x:c r="A296" s="524" t="str">
        <x:v>F30</x:v>
      </x:c>
      <x:c r="B296" s="524" t="n">
        <x:v>1</x:v>
      </x:c>
      <x:c r="C296" s="524" t="str">
        <x:v>准备属实事件与接收方</x:v>
      </x:c>
      <x:c r="D296" s="524" t="str">
        <x:v>未反制事件的人工交接</x:v>
      </x:c>
      <x:c r="E296" s="524" t="str">
        <x:v>核实事件属实，确保没有反制或干扰记录，准备可用模拟处罚接收方。</x:v>
      </x:c>
      <x:c r="F296" s="524" t="str">
        <x:v>权限、范围、版本和接收方齐备。</x:v>
      </x:c>
      <x:c r="G296" s="521" t="str">
        <x:v>还没测</x:v>
      </x:c>
      <x:c r="H296" s="521" t="str"/>
      <x:c r="I296" s="521" t="str"/>
      <x:c r="J296" s="528" t="str"/>
      <x:c r="K296" s="521" t="str"/>
      <x:c r="L296" s="521" t="str"/>
    </x:row>
    <x:row r="297" ht="88" customHeight="1">
      <x:c r="A297" s="524" t="str">
        <x:v>F30</x:v>
      </x:c>
      <x:c r="B297" s="524" t="n">
        <x:v>2</x:v>
      </x:c>
      <x:c r="C297" s="524" t="str">
        <x:v>确认未走设备动作</x:v>
      </x:c>
      <x:c r="D297" s="524" t="str">
        <x:v>未反制事件的人工交接</x:v>
      </x:c>
      <x:c r="E297" s="524" t="str">
        <x:v>回查授权和设备命令清单。</x:v>
      </x:c>
      <x:c r="F297" s="524" t="str">
        <x:v>确实没有反制或干扰，不拿已有完成事件替代。</x:v>
      </x:c>
      <x:c r="G297" s="521" t="str">
        <x:v>还没测</x:v>
      </x:c>
      <x:c r="H297" s="521" t="str"/>
      <x:c r="I297" s="521" t="str"/>
      <x:c r="J297" s="528" t="str"/>
      <x:c r="K297" s="521" t="str"/>
      <x:c r="L297" s="521" t="str"/>
    </x:row>
    <x:row r="298" ht="88" customHeight="1">
      <x:c r="A298" s="524" t="str">
        <x:v>F30</x:v>
      </x:c>
      <x:c r="B298" s="524" t="n">
        <x:v>3</x:v>
      </x:c>
      <x:c r="C298" s="524" t="str">
        <x:v>检查前台交接入口</x:v>
      </x:c>
      <x:c r="D298" s="524" t="str">
        <x:v>未反制事件的人工交接</x:v>
      </x:c>
      <x:c r="E298" s="524" t="str">
        <x:v>从该事件查找现有允许的交接入口。</x:v>
      </x:c>
      <x:c r="F298" s="524" t="str">
        <x:v>能定位同事件；没有入口则记录缺口，本步填暂时测不了。</x:v>
      </x:c>
      <x:c r="G298" s="521" t="str">
        <x:v>还没测</x:v>
      </x:c>
      <x:c r="H298" s="521" t="str"/>
      <x:c r="I298" s="521" t="str"/>
      <x:c r="J298" s="528" t="str"/>
      <x:c r="K298" s="521" t="str"/>
      <x:c r="L298" s="521" t="str"/>
    </x:row>
    <x:row r="299" ht="88" customHeight="1">
      <x:c r="A299" s="524" t="str">
        <x:v>F30</x:v>
      </x:c>
      <x:c r="B299" s="524" t="n">
        <x:v>4</x:v>
      </x:c>
      <x:c r="C299" s="524" t="str">
        <x:v>提交或接口联验</x:v>
      </x:c>
      <x:c r="D299" s="524" t="str">
        <x:v>未反制事件的人工交接</x:v>
      </x:c>
      <x:c r="E299" s="524" t="str">
        <x:v>入口存在则由有权者提交；仅有接口时开发配合单独记录。</x:v>
      </x:c>
      <x:c r="F299" s="524" t="str">
        <x:v>服务端不因没有反制记录而拒绝；前台缺入口仍不能整条通过。</x:v>
      </x:c>
      <x:c r="G299" s="521" t="str">
        <x:v>还没测</x:v>
      </x:c>
      <x:c r="H299" s="521" t="str"/>
      <x:c r="I299" s="521" t="str"/>
      <x:c r="J299" s="528" t="str"/>
      <x:c r="K299" s="521" t="str"/>
      <x:c r="L299" s="521" t="str"/>
    </x:row>
    <x:row r="300" ht="88" customHeight="1">
      <x:c r="A300" s="524" t="str">
        <x:v>F30</x:v>
      </x:c>
      <x:c r="B300" s="524" t="n">
        <x:v>5</x:v>
      </x:c>
      <x:c r="C300" s="524" t="str">
        <x:v>核对冻结材料</x:v>
      </x:c>
      <x:c r="D300" s="524" t="str">
        <x:v>未反制事件的人工交接</x:v>
      </x:c>
      <x:c r="E300" s="524" t="str">
        <x:v>打开交接材料及事件版本。</x:v>
      </x:c>
      <x:c r="F300" s="524" t="str">
        <x:v>材料如实无设备完成记录，不伪造已反制或已干扰。</x:v>
      </x:c>
      <x:c r="G300" s="521" t="str">
        <x:v>还没测</x:v>
      </x:c>
      <x:c r="H300" s="521" t="str"/>
      <x:c r="I300" s="521" t="str"/>
      <x:c r="J300" s="528" t="str"/>
      <x:c r="K300" s="521" t="str"/>
      <x:c r="L300" s="521" t="str"/>
    </x:row>
    <x:row r="301" ht="88" customHeight="1">
      <x:c r="A301" s="524" t="str">
        <x:v>F30</x:v>
      </x:c>
      <x:c r="B301" s="524" t="n">
        <x:v>6</x:v>
      </x:c>
      <x:c r="C301" s="524" t="str">
        <x:v>核对发送事实</x:v>
      </x:c>
      <x:c r="D301" s="524" t="str">
        <x:v>未反制事件的人工交接</x:v>
      </x:c>
      <x:c r="E301" s="524" t="str">
        <x:v>按实际配置发模拟通知或处理待发送事项。</x:v>
      </x:c>
      <x:c r="F301" s="524" t="str">
        <x:v>按已有投递进度操作，不重复创建交接。</x:v>
      </x:c>
      <x:c r="G301" s="521" t="str">
        <x:v>还没测</x:v>
      </x:c>
      <x:c r="H301" s="521" t="str"/>
      <x:c r="I301" s="521" t="str"/>
      <x:c r="J301" s="528" t="str"/>
      <x:c r="K301" s="521" t="str"/>
      <x:c r="L301" s="521" t="str"/>
    </x:row>
    <x:row r="302" ht="88" customHeight="1">
      <x:c r="A302" s="524" t="str">
        <x:v>F30</x:v>
      </x:c>
      <x:c r="B302" s="524" t="n">
        <x:v>7</x:v>
      </x:c>
      <x:c r="C302" s="524" t="str">
        <x:v>核对送达签收</x:v>
      </x:c>
      <x:c r="D302" s="524" t="str">
        <x:v>未反制事件的人工交接</x:v>
      </x:c>
      <x:c r="E302" s="524" t="str">
        <x:v>模拟渠道返回对应送达和签收。</x:v>
      </x:c>
      <x:c r="F302" s="524" t="str">
        <x:v>同一交接关联回执；签收不是处罚决定。</x:v>
      </x:c>
      <x:c r="G302" s="521" t="str">
        <x:v>还没测</x:v>
      </x:c>
      <x:c r="H302" s="521" t="str"/>
      <x:c r="I302" s="521" t="str"/>
      <x:c r="J302" s="528" t="str"/>
      <x:c r="K302" s="521" t="str"/>
      <x:c r="L302" s="521" t="str"/>
    </x:row>
    <x:row r="303" ht="88" customHeight="1">
      <x:c r="A303" s="524" t="str">
        <x:v>F30</x:v>
      </x:c>
      <x:c r="B303" s="524" t="n">
        <x:v>8</x:v>
      </x:c>
      <x:c r="C303" s="524" t="str">
        <x:v>后续修改原事件</x:v>
      </x:c>
      <x:c r="D303" s="524" t="str">
        <x:v>未反制事件的人工交接</x:v>
      </x:c>
      <x:c r="E303" s="524" t="str">
        <x:v>在获准范围更新原事件资料，回看旧冻结材料。</x:v>
      </x:c>
      <x:c r="F303" s="524" t="str">
        <x:v>冻结材料不随当前资料悄悄改变。</x:v>
      </x:c>
      <x:c r="G303" s="521" t="str">
        <x:v>还没测</x:v>
      </x:c>
      <x:c r="H303" s="521" t="str"/>
      <x:c r="I303" s="521" t="str"/>
      <x:c r="J303" s="528" t="str"/>
      <x:c r="K303" s="521" t="str"/>
      <x:c r="L303" s="521" t="str"/>
    </x:row>
    <x:row r="304" ht="88" customHeight="1">
      <x:c r="A304" s="524" t="str">
        <x:v>F30</x:v>
      </x:c>
      <x:c r="B304" s="524" t="n">
        <x:v>9</x:v>
      </x:c>
      <x:c r="C304" s="524" t="str">
        <x:v>统计和证据复核</x:v>
      </x:c>
      <x:c r="D304" s="524" t="str">
        <x:v>未反制事件的人工交接</x:v>
      </x:c>
      <x:c r="E304" s="524" t="str">
        <x:v>在处罚、证据、统计页对照本事件。</x:v>
      </x:c>
      <x:c r="F304" s="524" t="str">
        <x:v>计数按真实事实，不能多算设备反制成功。</x:v>
      </x:c>
      <x:c r="G304" s="521" t="str">
        <x:v>还没测</x:v>
      </x:c>
      <x:c r="H304" s="521" t="str"/>
      <x:c r="I304" s="521" t="str"/>
      <x:c r="J304" s="528" t="str"/>
      <x:c r="K304" s="521" t="str"/>
      <x:c r="L304" s="521" t="str"/>
    </x:row>
    <x:row r="305" ht="88" customHeight="1">
      <x:c r="A305" s="524" t="str">
        <x:v>F30</x:v>
      </x:c>
      <x:c r="B305" s="524" t="n">
        <x:v>10</x:v>
      </x:c>
      <x:c r="C305" s="524" t="str">
        <x:v>重登并交付记录</x:v>
      </x:c>
      <x:c r="D305" s="524" t="str">
        <x:v>未反制事件的人工交接</x:v>
      </x:c>
      <x:c r="E305" s="524" t="str">
        <x:v>重登复查，留下入口缺口或完整证据。</x:v>
      </x:c>
      <x:c r="F305" s="524" t="str">
        <x:v>前台和接口验证结论分别清楚，未验证部分不填通过。</x:v>
      </x:c>
      <x:c r="G305" s="521" t="str">
        <x:v>还没测</x:v>
      </x:c>
      <x:c r="H305" s="521" t="str"/>
      <x:c r="I305" s="521" t="str"/>
      <x:c r="J305" s="528" t="str"/>
      <x:c r="K305" s="521" t="str"/>
      <x:c r="L305" s="521" t="str"/>
    </x:row>
    <x:row r="306" ht="93" customHeight="1">
      <x:c r="A306" s="613" t="str">
        <x:v>F31</x:v>
      </x:c>
      <x:c r="B306" s="613" t="n">
        <x:v>1</x:v>
      </x:c>
      <x:c r="C306" s="613" t="str">
        <x:v>准备设备与权限</x:v>
      </x:c>
      <x:c r="D306" s="613" t="str">
        <x:v>设备接入到前台感知</x:v>
      </x:c>
      <x:c r="E306" s="613" t="str">
        <x:v>准备专用测试TCP设备、接入范围、协议版本与账号。</x:v>
      </x:c>
      <x:c r="F306" s="613" t="str">
        <x:v>登记来源和模拟标记，不混入现场设备。</x:v>
      </x:c>
      <x:c r="G306" s="626" t="str">
        <x:v>暂时测不了</x:v>
      </x:c>
      <x:c r="H306" s="626" t="str">
        <x:v>BLOCK-001：未取得登录账号，尚不能核对运行规则/准备测试设备；后续步骤未执行。</x:v>
      </x:c>
      <x:c r="I306" s="626" t="str">
        <x:v>Codex</x:v>
      </x:c>
      <x:c r="J306" s="16" t="n">
        <x:v>46292.413194444445</x:v>
      </x:c>
      <x:c r="K306" s="626" t="str">
        <x:v>C:/Users/Admin（无密码）/.codex/visualizations/2026/09/27/01a0e0b7-3c23-7c00-aeba-e67e75596ac8/qa-20260927/admin-login.png</x:v>
      </x:c>
      <x:c r="L306" s="626" t="str">
        <x:v>QA-20260927-PRECHECK（无业务事件）</x:v>
      </x:c>
    </x:row>
    <x:row r="307" ht="93" customHeight="1">
      <x:c r="A307" s="613" t="str">
        <x:v>F31</x:v>
      </x:c>
      <x:c r="B307" s="613" t="n">
        <x:v>2</x:v>
      </x:c>
      <x:c r="C307" s="613" t="str">
        <x:v>接入登记</x:v>
      </x:c>
      <x:c r="D307" s="613" t="str">
        <x:v>设备接入到前台感知</x:v>
      </x:c>
      <x:c r="E307" s="613" t="str">
        <x:v>从统一入口选雷达及支持的TCP协议，保存配置。</x:v>
      </x:c>
      <x:c r="F307" s="613" t="str">
        <x:v>设备ID稳定；保存不等于在线。</x:v>
      </x:c>
      <x:c r="G307" s="626" t="str">
        <x:v>还没测</x:v>
      </x:c>
      <x:c r="H307" s="626" t="str"/>
      <x:c r="I307" s="626" t="str"/>
      <x:c r="J307" s="627" t="str"/>
      <x:c r="K307" s="626" t="str"/>
      <x:c r="L307" s="626" t="str"/>
    </x:row>
    <x:row r="308" ht="93" customHeight="1">
      <x:c r="A308" s="613" t="str">
        <x:v>F31</x:v>
      </x:c>
      <x:c r="B308" s="613" t="n">
        <x:v>3</x:v>
      </x:c>
      <x:c r="C308" s="613" t="str">
        <x:v>查看台账</x:v>
      </x:c>
      <x:c r="D308" s="613" t="str">
        <x:v>设备接入到前台感知</x:v>
      </x:c>
      <x:c r="E308" s="613" t="str">
        <x:v>核对型号、单位区域、地址和允许启停状态。</x:v>
      </x:c>
      <x:c r="F308" s="613" t="str">
        <x:v>资料准确，敏感字段按权可见。</x:v>
      </x:c>
      <x:c r="G308" s="626" t="str">
        <x:v>还没测</x:v>
      </x:c>
      <x:c r="H308" s="626" t="str"/>
      <x:c r="I308" s="626" t="str"/>
      <x:c r="J308" s="627" t="str"/>
      <x:c r="K308" s="626" t="str"/>
      <x:c r="L308" s="626" t="str"/>
    </x:row>
    <x:row r="309" ht="93" customHeight="1">
      <x:c r="A309" s="613" t="str">
        <x:v>F31</x:v>
      </x:c>
      <x:c r="B309" s="613" t="n">
        <x:v>4</x:v>
      </x:c>
      <x:c r="C309" s="613" t="str">
        <x:v>创建调测</x:v>
      </x:c>
      <x:c r="D309" s="613" t="str">
        <x:v>设备接入到前台感知</x:v>
      </x:c>
      <x:c r="E309" s="613" t="str">
        <x:v>创建任务并发起连接。</x:v>
      </x:c>
      <x:c r="F309" s="613" t="str">
        <x:v>取得任务ID，受理与连接成功分开。</x:v>
      </x:c>
      <x:c r="G309" s="626" t="str">
        <x:v>还没测</x:v>
      </x:c>
      <x:c r="H309" s="626" t="str"/>
      <x:c r="I309" s="626" t="str"/>
      <x:c r="J309" s="627" t="str"/>
      <x:c r="K309" s="626" t="str"/>
      <x:c r="L309" s="626" t="str"/>
    </x:row>
    <x:row r="310" ht="93" customHeight="1">
      <x:c r="A310" s="613" t="str">
        <x:v>F31</x:v>
      </x:c>
      <x:c r="B310" s="613" t="n">
        <x:v>5</x:v>
      </x:c>
      <x:c r="C310" s="613" t="str">
        <x:v>配置并开始</x:v>
      </x:c>
      <x:c r="D310" s="613" t="str">
        <x:v>设备接入到前台感知</x:v>
      </x:c>
      <x:c r="E310" s="613" t="str">
        <x:v>连接成功后保存本次参数，再开始调测。</x:v>
      </x:c>
      <x:c r="F310" s="613" t="str">
        <x:v>状态顺序正确，任务保存配置快照。</x:v>
      </x:c>
      <x:c r="G310" s="626" t="str">
        <x:v>还没测</x:v>
      </x:c>
      <x:c r="H310" s="626" t="str"/>
      <x:c r="I310" s="626" t="str"/>
      <x:c r="J310" s="627" t="str"/>
      <x:c r="K310" s="626" t="str"/>
      <x:c r="L310" s="626" t="str"/>
    </x:row>
    <x:row r="311" ht="93" customHeight="1">
      <x:c r="A311" s="613" t="str">
        <x:v>F31</x:v>
      </x:c>
      <x:c r="B311" s="613" t="n">
        <x:v>6</x:v>
      </x:c>
      <x:c r="C311" s="613" t="str">
        <x:v>核对协议结果</x:v>
      </x:c>
      <x:c r="D311" s="613" t="str">
        <x:v>设备接入到前台感知</x:v>
      </x:c>
      <x:c r="E311" s="613" t="str">
        <x:v>由模拟器返回真实测试协议响应、心跳和点迹。</x:v>
      </x:c>
      <x:c r="F311" s="613" t="str">
        <x:v>分项依据可查，不回退mock。</x:v>
      </x:c>
      <x:c r="G311" s="626" t="str">
        <x:v>还没测</x:v>
      </x:c>
      <x:c r="H311" s="626" t="str"/>
      <x:c r="I311" s="626" t="str"/>
      <x:c r="J311" s="627" t="str"/>
      <x:c r="K311" s="626" t="str"/>
      <x:c r="L311" s="626" t="str"/>
    </x:row>
    <x:row r="312" ht="93" customHeight="1">
      <x:c r="A312" s="613" t="str">
        <x:v>F31</x:v>
      </x:c>
      <x:c r="B312" s="613" t="n">
        <x:v>7</x:v>
      </x:c>
      <x:c r="C312" s="613" t="str">
        <x:v>核对调测报告</x:v>
      </x:c>
      <x:c r="D312" s="613" t="str">
        <x:v>设备接入到前台感知</x:v>
      </x:c>
      <x:c r="E312" s="613" t="str">
        <x:v>查看结束状态及完整报告。</x:v>
      </x:c>
      <x:c r="F312" s="613" t="str">
        <x:v>通过、失败、不可判定如实记录，明确模拟边界。</x:v>
      </x:c>
      <x:c r="G312" s="626" t="str">
        <x:v>还没测</x:v>
      </x:c>
      <x:c r="H312" s="626" t="str"/>
      <x:c r="I312" s="626" t="str"/>
      <x:c r="J312" s="627" t="str"/>
      <x:c r="K312" s="626" t="str"/>
      <x:c r="L312" s="626" t="str"/>
    </x:row>
    <x:row r="313" ht="93" customHeight="1">
      <x:c r="A313" s="613" t="str">
        <x:v>F31</x:v>
      </x:c>
      <x:c r="B313" s="613" t="n">
        <x:v>8</x:v>
      </x:c>
      <x:c r="C313" s="613" t="str">
        <x:v>查看实时监测</x:v>
      </x:c>
      <x:c r="D313" s="613" t="str">
        <x:v>设备接入到前台感知</x:v>
      </x:c>
      <x:c r="E313" s="613" t="str">
        <x:v>核对设备当前信息、来源时间和健康。</x:v>
      </x:c>
      <x:c r="F313" s="613" t="str">
        <x:v>与实际测试报文一致，不把厂家参数当实测。</x:v>
      </x:c>
      <x:c r="G313" s="626" t="str">
        <x:v>还没测</x:v>
      </x:c>
      <x:c r="H313" s="626" t="str"/>
      <x:c r="I313" s="626" t="str"/>
      <x:c r="J313" s="627" t="str"/>
      <x:c r="K313" s="626" t="str"/>
      <x:c r="L313" s="626" t="str"/>
    </x:row>
    <x:row r="314" ht="93" customHeight="1">
      <x:c r="A314" s="613" t="str">
        <x:v>F31</x:v>
      </x:c>
      <x:c r="B314" s="613" t="n">
        <x:v>9</x:v>
      </x:c>
      <x:c r="C314" s="613" t="str">
        <x:v>前台核对目标</x:v>
      </x:c>
      <x:c r="D314" s="613" t="str">
        <x:v>设备接入到前台感知</x:v>
      </x:c>
      <x:c r="E314" s="613" t="str">
        <x:v>前台融合感知查本设备原始来源及统一目标。</x:v>
      </x:c>
      <x:c r="F314" s="613" t="str">
        <x:v>来源ID、坐标、时段一致，不拿别的目标代替。</x:v>
      </x:c>
      <x:c r="G314" s="626" t="str">
        <x:v>还没测</x:v>
      </x:c>
      <x:c r="H314" s="626" t="str"/>
      <x:c r="I314" s="626" t="str"/>
      <x:c r="J314" s="627" t="str"/>
      <x:c r="K314" s="626" t="str"/>
      <x:c r="L314" s="626" t="str"/>
    </x:row>
    <x:row r="315" ht="93" customHeight="1">
      <x:c r="A315" s="613" t="str">
        <x:v>F31</x:v>
      </x:c>
      <x:c r="B315" s="613" t="n">
        <x:v>10</x:v>
      </x:c>
      <x:c r="C315" s="613" t="str">
        <x:v>重登与收尾</x:v>
      </x:c>
      <x:c r="D315" s="613" t="str">
        <x:v>设备接入到前台感知</x:v>
      </x:c>
      <x:c r="E315" s="613" t="str">
        <x:v>重登回查报告和目标，结束模拟并核对状态变化。</x:v>
      </x:c>
      <x:c r="F315" s="613" t="str">
        <x:v>原报告保留，停止上报后状态按协议更新。</x:v>
      </x:c>
      <x:c r="G315" s="626" t="str">
        <x:v>还没测</x:v>
      </x:c>
      <x:c r="H315" s="626" t="str"/>
      <x:c r="I315" s="626" t="str"/>
      <x:c r="J315" s="627" t="str"/>
      <x:c r="K315" s="626" t="str"/>
      <x:c r="L315" s="626" t="str"/>
    </x:row>
    <x:row r="316" ht="93" customHeight="1">
      <x:c r="A316" s="615" t="str">
        <x:v>F32</x:v>
      </x:c>
      <x:c r="B316" s="615" t="n">
        <x:v>1</x:v>
      </x:c>
      <x:c r="C316" s="615" t="str">
        <x:v>准备通道</x:v>
      </x:c>
      <x:c r="D316" s="615" t="str">
        <x:v>MQTT掉线与连接恢复</x:v>
      </x:c>
      <x:c r="E316" s="615" t="str">
        <x:v>准备同范围启用的测试MQTT接入通道及设备。</x:v>
      </x:c>
      <x:c r="F316" s="615" t="str">
        <x:v>记录协议和实际超时阈值。</x:v>
      </x:c>
      <x:c r="G316" s="626" t="str">
        <x:v>还没测</x:v>
      </x:c>
      <x:c r="H316" s="626" t="str"/>
      <x:c r="I316" s="626" t="str"/>
      <x:c r="J316" s="627" t="str"/>
      <x:c r="K316" s="626" t="str"/>
      <x:c r="L316" s="626" t="str"/>
    </x:row>
    <x:row r="317" ht="93" customHeight="1">
      <x:c r="A317" s="615" t="str">
        <x:v>F32</x:v>
      </x:c>
      <x:c r="B317" s="615" t="n">
        <x:v>2</x:v>
      </x:c>
      <x:c r="C317" s="615" t="str">
        <x:v>接入并首报</x:v>
      </x:c>
      <x:c r="D317" s="615" t="str">
        <x:v>MQTT掉线与连接恢复</x:v>
      </x:c>
      <x:c r="E317" s="615" t="str">
        <x:v>登记设备，发送有效工参和目标。</x:v>
      </x:c>
      <x:c r="F317" s="615" t="str">
        <x:v>设备有稳定内部ID；工参与目标时间分别记录。</x:v>
      </x:c>
      <x:c r="G317" s="626" t="str">
        <x:v>还没测</x:v>
      </x:c>
      <x:c r="H317" s="626" t="str"/>
      <x:c r="I317" s="626" t="str"/>
      <x:c r="J317" s="627" t="str"/>
      <x:c r="K317" s="626" t="str"/>
      <x:c r="L317" s="626" t="str"/>
    </x:row>
    <x:row r="318" ht="93" customHeight="1">
      <x:c r="A318" s="615" t="str">
        <x:v>F32</x:v>
      </x:c>
      <x:c r="B318" s="615" t="n">
        <x:v>3</x:v>
      </x:c>
      <x:c r="C318" s="615" t="str">
        <x:v>核对前后台在线</x:v>
      </x:c>
      <x:c r="D318" s="615" t="str">
        <x:v>MQTT掉线与连接恢复</x:v>
      </x:c>
      <x:c r="E318" s="615" t="str">
        <x:v>查看后台状态和前台设备点。</x:v>
      </x:c>
      <x:c r="F318" s="615" t="str">
        <x:v>同设备同状态，订阅连接成功不替代工参。</x:v>
      </x:c>
      <x:c r="G318" s="626" t="str">
        <x:v>还没测</x:v>
      </x:c>
      <x:c r="H318" s="626" t="str"/>
      <x:c r="I318" s="626" t="str"/>
      <x:c r="J318" s="627" t="str"/>
      <x:c r="K318" s="626" t="str"/>
      <x:c r="L318" s="626" t="str"/>
    </x:row>
    <x:row r="319" ht="93" customHeight="1">
      <x:c r="A319" s="615" t="str">
        <x:v>F32</x:v>
      </x:c>
      <x:c r="B319" s="615" t="n">
        <x:v>4</x:v>
      </x:c>
      <x:c r="C319" s="615" t="str">
        <x:v>停止有效工参</x:v>
      </x:c>
      <x:c r="D319" s="615" t="str">
        <x:v>MQTT掉线与连接恢复</x:v>
      </x:c>
      <x:c r="E319" s="615" t="str">
        <x:v>停设备上报，记录最后心跳时刻。</x:v>
      </x:c>
      <x:c r="F319" s="615" t="str">
        <x:v>按配置等待超时，不用暂停页面模拟设备离线。</x:v>
      </x:c>
      <x:c r="G319" s="626" t="str">
        <x:v>还没测</x:v>
      </x:c>
      <x:c r="H319" s="626" t="str"/>
      <x:c r="I319" s="626" t="str"/>
      <x:c r="J319" s="627" t="str"/>
      <x:c r="K319" s="626" t="str"/>
      <x:c r="L319" s="626" t="str"/>
    </x:row>
    <x:row r="320" ht="93" customHeight="1">
      <x:c r="A320" s="615" t="str">
        <x:v>F32</x:v>
      </x:c>
      <x:c r="B320" s="615" t="n">
        <x:v>5</x:v>
      </x:c>
      <x:c r="C320" s="615" t="str">
        <x:v>查看异常生成</x:v>
      </x:c>
      <x:c r="D320" s="615" t="str">
        <x:v>MQTT掉线与连接恢复</x:v>
      </x:c>
      <x:c r="E320" s="615" t="str">
        <x:v>跨多个调度周期查离线事件。</x:v>
      </x:c>
      <x:c r="F320" s="615" t="str">
        <x:v>同类未恢复事件不重复；前台异常可见。</x:v>
      </x:c>
      <x:c r="G320" s="626" t="str">
        <x:v>还没测</x:v>
      </x:c>
      <x:c r="H320" s="626" t="str"/>
      <x:c r="I320" s="626" t="str"/>
      <x:c r="J320" s="627" t="str"/>
      <x:c r="K320" s="626" t="str"/>
      <x:c r="L320" s="626" t="str"/>
    </x:row>
    <x:row r="321" ht="93" customHeight="1">
      <x:c r="A321" s="615" t="str">
        <x:v>F32</x:v>
      </x:c>
      <x:c r="B321" s="615" t="n">
        <x:v>6</x:v>
      </x:c>
      <x:c r="C321" s="615" t="str">
        <x:v>检查不支持能力</x:v>
      </x:c>
      <x:c r="D321" s="615" t="str">
        <x:v>MQTT掉线与连接恢复</x:v>
      </x:c>
      <x:c r="E321" s="615" t="str">
        <x:v>查看异常允许动作，尝试获准的恢复入口。</x:v>
      </x:c>
      <x:c r="F321" s="615" t="str">
        <x:v>不支持重启时说明原因，不造成功。</x:v>
      </x:c>
      <x:c r="G321" s="626" t="str">
        <x:v>还没测</x:v>
      </x:c>
      <x:c r="H321" s="626" t="str"/>
      <x:c r="I321" s="626" t="str"/>
      <x:c r="J321" s="627" t="str"/>
      <x:c r="K321" s="626" t="str"/>
      <x:c r="L321" s="626" t="str"/>
    </x:row>
    <x:row r="322" ht="93" customHeight="1">
      <x:c r="A322" s="615" t="str">
        <x:v>F32</x:v>
      </x:c>
      <x:c r="B322" s="615" t="n">
        <x:v>7</x:v>
      </x:c>
      <x:c r="C322" s="615" t="str">
        <x:v>恢复新心跳</x:v>
      </x:c>
      <x:c r="D322" s="615" t="str">
        <x:v>MQTT掉线与连接恢复</x:v>
      </x:c>
      <x:c r="E322" s="615" t="str">
        <x:v>恢复报修/事件发生后的有效心跳。</x:v>
      </x:c>
      <x:c r="F322" s="615" t="str">
        <x:v>只能证明当前连接；旧或未来心跳不算。</x:v>
      </x:c>
      <x:c r="G322" s="626" t="str">
        <x:v>还没测</x:v>
      </x:c>
      <x:c r="H322" s="626" t="str"/>
      <x:c r="I322" s="626" t="str"/>
      <x:c r="J322" s="627" t="str"/>
      <x:c r="K322" s="626" t="str"/>
      <x:c r="L322" s="626" t="str"/>
    </x:row>
    <x:row r="323" ht="93" customHeight="1">
      <x:c r="A323" s="615" t="str">
        <x:v>F32</x:v>
      </x:c>
      <x:c r="B323" s="615" t="n">
        <x:v>8</x:v>
      </x:c>
      <x:c r="C323" s="615" t="str">
        <x:v>核验异常恢复</x:v>
      </x:c>
      <x:c r="D323" s="615" t="str">
        <x:v>MQTT掉线与连接恢复</x:v>
      </x:c>
      <x:c r="E323" s="615" t="str">
        <x:v>使用既有设备异常恢复核验接口或入口。</x:v>
      </x:c>
      <x:c r="F323" s="615" t="str">
        <x:v>事件按条件恢复；接口不顺便完成维护待办。</x:v>
      </x:c>
      <x:c r="G323" s="626" t="str">
        <x:v>还没测</x:v>
      </x:c>
      <x:c r="H323" s="626" t="str"/>
      <x:c r="I323" s="626" t="str"/>
      <x:c r="J323" s="627" t="str"/>
      <x:c r="K323" s="626" t="str"/>
      <x:c r="L323" s="626" t="str"/>
    </x:row>
    <x:row r="324" ht="93" customHeight="1">
      <x:c r="A324" s="615" t="str">
        <x:v>F32</x:v>
      </x:c>
      <x:c r="B324" s="615" t="n">
        <x:v>9</x:v>
      </x:c>
      <x:c r="C324" s="615" t="str">
        <x:v>核对整体健康</x:v>
      </x:c>
      <x:c r="D324" s="615" t="str">
        <x:v>MQTT掉线与连接恢复</x:v>
      </x:c>
      <x:c r="E324" s="615" t="str">
        <x:v>检查健康仍未知与已GOOD的独立样本。</x:v>
      </x:c>
      <x:c r="F324" s="615" t="str">
        <x:v>心跳恢复不让健康未知自动变GOOD。</x:v>
      </x:c>
      <x:c r="G324" s="626" t="str">
        <x:v>还没测</x:v>
      </x:c>
      <x:c r="H324" s="626" t="str"/>
      <x:c r="I324" s="626" t="str"/>
      <x:c r="J324" s="627" t="str"/>
      <x:c r="K324" s="626" t="str"/>
      <x:c r="L324" s="626" t="str"/>
    </x:row>
    <x:row r="325" ht="93" customHeight="1">
      <x:c r="A325" s="615" t="str">
        <x:v>F32</x:v>
      </x:c>
      <x:c r="B325" s="615" t="n">
        <x:v>10</x:v>
      </x:c>
      <x:c r="C325" s="615" t="str">
        <x:v>前台及历史复查</x:v>
      </x:c>
      <x:c r="D325" s="615" t="str">
        <x:v>MQTT掉线与连接恢复</x:v>
      </x:c>
      <x:c r="E325" s="615" t="str">
        <x:v>回前台、后台事件历史，结束模拟。</x:v>
      </x:c>
      <x:c r="F325" s="615" t="str">
        <x:v>当前异常按事实变化；历史事件和通知仍可查。</x:v>
      </x:c>
      <x:c r="G325" s="626" t="str">
        <x:v>还没测</x:v>
      </x:c>
      <x:c r="H325" s="626" t="str"/>
      <x:c r="I325" s="626" t="str"/>
      <x:c r="J325" s="627" t="str"/>
      <x:c r="K325" s="626" t="str"/>
      <x:c r="L325" s="626" t="str"/>
    </x:row>
    <x:row r="326" ht="93" customHeight="1">
      <x:c r="A326" s="617" t="str">
        <x:v>F33</x:v>
      </x:c>
      <x:c r="B326" s="617" t="n">
        <x:v>1</x:v>
      </x:c>
      <x:c r="C326" s="617" t="str">
        <x:v>准备计划与异常设备</x:v>
      </x:c>
      <x:c r="D326" s="617" t="str">
        <x:v>前台报修到后台完成</x:v>
      </x:c>
      <x:c r="E326" s="617" t="str">
        <x:v>准备到起飞时间仍未见目标的计划和确有异常的关联设备。</x:v>
      </x:c>
      <x:c r="F326" s="617" t="str">
        <x:v>分清可能未起飞与设备异常，不误报。</x:v>
      </x:c>
      <x:c r="G326" s="626" t="str">
        <x:v>还没测</x:v>
      </x:c>
      <x:c r="H326" s="626" t="str"/>
      <x:c r="I326" s="626" t="str"/>
      <x:c r="J326" s="627" t="str"/>
      <x:c r="K326" s="626" t="str"/>
      <x:c r="L326" s="626" t="str"/>
    </x:row>
    <x:row r="327" ht="93" customHeight="1">
      <x:c r="A327" s="617" t="str">
        <x:v>F33</x:v>
      </x:c>
      <x:c r="B327" s="617" t="n">
        <x:v>2</x:v>
      </x:c>
      <x:c r="C327" s="617" t="str">
        <x:v>前台通知运维</x:v>
      </x:c>
      <x:c r="D327" s="617" t="str">
        <x:v>前台报修到后台完成</x:v>
      </x:c>
      <x:c r="E327" s="617" t="str">
        <x:v>由有权账号发起设备异常通知并记源事项ID。</x:v>
      </x:c>
      <x:c r="F327" s="617" t="str">
        <x:v>后台生成对应待办；重复点击不重复建。</x:v>
      </x:c>
      <x:c r="G327" s="626" t="str">
        <x:v>还没测</x:v>
      </x:c>
      <x:c r="H327" s="626" t="str"/>
      <x:c r="I327" s="626" t="str"/>
      <x:c r="J327" s="627" t="str"/>
      <x:c r="K327" s="626" t="str"/>
      <x:c r="L327" s="626" t="str"/>
    </x:row>
    <x:row r="328" ht="93" customHeight="1">
      <x:c r="A328" s="617" t="str">
        <x:v>F33</x:v>
      </x:c>
      <x:c r="B328" s="617" t="n">
        <x:v>3</x:v>
      </x:c>
      <x:c r="C328" s="617" t="str">
        <x:v>后台接收待办</x:v>
      </x:c>
      <x:c r="D328" s="617" t="str">
        <x:v>前台报修到后台完成</x:v>
      </x:c>
      <x:c r="E328" s="617" t="str">
        <x:v>查看消息、上报详情和通知投递历史。</x:v>
      </x:c>
      <x:c r="F328" s="617" t="str">
        <x:v>同一设备、原因、来源和接收对象；已读不算完成。</x:v>
      </x:c>
      <x:c r="G328" s="626" t="str">
        <x:v>还没测</x:v>
      </x:c>
      <x:c r="H328" s="626" t="str"/>
      <x:c r="I328" s="626" t="str"/>
      <x:c r="J328" s="627" t="str"/>
      <x:c r="K328" s="626" t="str"/>
      <x:c r="L328" s="626" t="str"/>
    </x:row>
    <x:row r="329" ht="93" customHeight="1">
      <x:c r="A329" s="617" t="str">
        <x:v>F33</x:v>
      </x:c>
      <x:c r="B329" s="617" t="n">
        <x:v>4</x:v>
      </x:c>
      <x:c r="C329" s="617" t="str">
        <x:v>开始处理</x:v>
      </x:c>
      <x:c r="D329" s="617" t="str">
        <x:v>前台报修到后台完成</x:v>
      </x:c>
      <x:c r="E329" s="617" t="str">
        <x:v>进入接入调测中的维护工作流并开始处理。</x:v>
      </x:c>
      <x:c r="F329" s="617" t="str">
        <x:v>记录真实处理人，状态变处理中。</x:v>
      </x:c>
      <x:c r="G329" s="626" t="str">
        <x:v>还没测</x:v>
      </x:c>
      <x:c r="H329" s="626" t="str"/>
      <x:c r="I329" s="626" t="str"/>
      <x:c r="J329" s="627" t="str"/>
      <x:c r="K329" s="626" t="str"/>
      <x:c r="L329" s="626" t="str"/>
    </x:row>
    <x:row r="330" ht="93" customHeight="1">
      <x:c r="A330" s="617" t="str">
        <x:v>F33</x:v>
      </x:c>
      <x:c r="B330" s="617" t="n">
        <x:v>5</x:v>
      </x:c>
      <x:c r="C330" s="617" t="str">
        <x:v>处理并记录进展</x:v>
      </x:c>
      <x:c r="D330" s="617" t="str">
        <x:v>前台报修到后台完成</x:v>
      </x:c>
      <x:c r="E330" s="617" t="str">
        <x:v>保存实际处理说明，必要时关联同设备已有调测。</x:v>
      </x:c>
      <x:c r="F330" s="617" t="str">
        <x:v>关联不自动启动；处理说明不等于修好。</x:v>
      </x:c>
      <x:c r="G330" s="626" t="str">
        <x:v>还没测</x:v>
      </x:c>
      <x:c r="H330" s="626" t="str"/>
      <x:c r="I330" s="626" t="str"/>
      <x:c r="J330" s="627" t="str"/>
      <x:c r="K330" s="626" t="str"/>
      <x:c r="L330" s="626" t="str"/>
    </x:row>
    <x:row r="331" ht="93" customHeight="1">
      <x:c r="A331" s="617" t="str">
        <x:v>F33</x:v>
      </x:c>
      <x:c r="B331" s="617" t="n">
        <x:v>6</x:v>
      </x:c>
      <x:c r="C331" s="617" t="str">
        <x:v>恢复设备实际状态</x:v>
      </x:c>
      <x:c r="D331" s="617" t="str">
        <x:v>前台报修到后台完成</x:v>
      </x:c>
      <x:c r="E331" s="617" t="str">
        <x:v>模拟修复，提供新鲜在线GOOD无告警状态，结束活动任务。</x:v>
      </x:c>
      <x:c r="F331" s="617" t="str">
        <x:v>状态及心跳均来自报修后，来源一致；无假写成功。</x:v>
      </x:c>
      <x:c r="G331" s="626" t="str">
        <x:v>还没测</x:v>
      </x:c>
      <x:c r="H331" s="626" t="str"/>
      <x:c r="I331" s="626" t="str"/>
      <x:c r="J331" s="627" t="str"/>
      <x:c r="K331" s="626" t="str"/>
      <x:c r="L331" s="626" t="str"/>
    </x:row>
    <x:row r="332" ht="93" customHeight="1">
      <x:c r="A332" s="617" t="str">
        <x:v>F33</x:v>
      </x:c>
      <x:c r="B332" s="617" t="n">
        <x:v>7</x:v>
      </x:c>
      <x:c r="C332" s="617" t="str">
        <x:v>核验设备异常</x:v>
      </x:c>
      <x:c r="D332" s="617" t="str">
        <x:v>前台报修到后台完成</x:v>
      </x:c>
      <x:c r="E332" s="617" t="str">
        <x:v>对未恢复异常逐一走原恢复核验流程。</x:v>
      </x:c>
      <x:c r="F332" s="617" t="str">
        <x:v>事件确实恢复；维护接口不代替关闭事件。</x:v>
      </x:c>
      <x:c r="G332" s="626" t="str">
        <x:v>还没测</x:v>
      </x:c>
      <x:c r="H332" s="626" t="str"/>
      <x:c r="I332" s="626" t="str"/>
      <x:c r="J332" s="627" t="str"/>
      <x:c r="K332" s="626" t="str"/>
      <x:c r="L332" s="626" t="str"/>
    </x:row>
    <x:row r="333" ht="93" customHeight="1">
      <x:c r="A333" s="617" t="str">
        <x:v>F33</x:v>
      </x:c>
      <x:c r="B333" s="617" t="n">
        <x:v>8</x:v>
      </x:c>
      <x:c r="C333" s="617" t="str">
        <x:v>提交并核验恢复</x:v>
      </x:c>
      <x:c r="D333" s="617" t="str">
        <x:v>前台报修到后台完成</x:v>
      </x:c>
      <x:c r="E333" s="617" t="str">
        <x:v>提交待核验，再执行恢复核验。</x:v>
      </x:c>
      <x:c r="F333" s="617" t="str">
        <x:v>PASS后仍待核验，结果含检查时间及原因。</x:v>
      </x:c>
      <x:c r="G333" s="626" t="str">
        <x:v>还没测</x:v>
      </x:c>
      <x:c r="H333" s="626" t="str"/>
      <x:c r="I333" s="626" t="str"/>
      <x:c r="J333" s="627" t="str"/>
      <x:c r="K333" s="626" t="str"/>
      <x:c r="L333" s="626" t="str"/>
    </x:row>
    <x:row r="334" ht="93" customHeight="1">
      <x:c r="A334" s="617" t="str">
        <x:v>F33</x:v>
      </x:c>
      <x:c r="B334" s="617" t="n">
        <x:v>9</x:v>
      </x:c>
      <x:c r="C334" s="617" t="str">
        <x:v>确认完成</x:v>
      </x:c>
      <x:c r="D334" s="617" t="str">
        <x:v>前台报修到后台完成</x:v>
      </x:c>
      <x:c r="E334" s="617" t="str">
        <x:v>300秒有效窗口内填完成说明，系统重新核验。</x:v>
      </x:c>
      <x:c r="F334" s="617" t="str">
        <x:v>当前仍满足条件才COMPLETED，操作及审计保留。</x:v>
      </x:c>
      <x:c r="G334" s="626" t="str">
        <x:v>还没测</x:v>
      </x:c>
      <x:c r="H334" s="626" t="str"/>
      <x:c r="I334" s="626" t="str"/>
      <x:c r="J334" s="627" t="str"/>
      <x:c r="K334" s="626" t="str"/>
      <x:c r="L334" s="626" t="str"/>
    </x:row>
    <x:row r="335" ht="93" customHeight="1">
      <x:c r="A335" s="617" t="str">
        <x:v>F33</x:v>
      </x:c>
      <x:c r="B335" s="617" t="n">
        <x:v>10</x:v>
      </x:c>
      <x:c r="C335" s="617" t="str">
        <x:v>返回前台复核</x:v>
      </x:c>
      <x:c r="D335" s="617" t="str">
        <x:v>前台报修到后台完成</x:v>
      </x:c>
      <x:c r="E335" s="617" t="str">
        <x:v>重登并查原计划、设备点、通知和后台历史。</x:v>
      </x:c>
      <x:c r="F335" s="617" t="str">
        <x:v>设备恢复事实同步；计划起飞与否仍按真实目标判断。</x:v>
      </x:c>
      <x:c r="G335" s="626" t="str">
        <x:v>还没测</x:v>
      </x:c>
      <x:c r="H335" s="626" t="str"/>
      <x:c r="I335" s="626" t="str"/>
      <x:c r="J335" s="627" t="str"/>
      <x:c r="K335" s="626" t="str"/>
      <x:c r="L335" s="626" t="str"/>
    </x:row>
    <x:row r="336" ht="93" customHeight="1">
      <x:c r="A336" s="619" t="str">
        <x:v>F34</x:v>
      </x:c>
      <x:c r="B336" s="619" t="n">
        <x:v>1</x:v>
      </x:c>
      <x:c r="C336" s="619" t="str">
        <x:v>准备处理中待办</x:v>
      </x:c>
      <x:c r="D336" s="619" t="str">
        <x:v>核验失败后重新处理</x:v>
      </x:c>
      <x:c r="E336" s="619" t="str">
        <x:v>使用专用异常设备和处理中维护任务。</x:v>
      </x:c>
      <x:c r="F336" s="619" t="str">
        <x:v>记录同一设备、来源、报修时间及任务版本。</x:v>
      </x:c>
      <x:c r="G336" s="626" t="str">
        <x:v>还没测</x:v>
      </x:c>
      <x:c r="H336" s="626" t="str"/>
      <x:c r="I336" s="626" t="str"/>
      <x:c r="J336" s="627" t="str"/>
      <x:c r="K336" s="626" t="str"/>
      <x:c r="L336" s="626" t="str"/>
    </x:row>
    <x:row r="337" ht="93" customHeight="1">
      <x:c r="A337" s="619" t="str">
        <x:v>F34</x:v>
      </x:c>
      <x:c r="B337" s="619" t="n">
        <x:v>2</x:v>
      </x:c>
      <x:c r="C337" s="619" t="str">
        <x:v>提供不完整恢复信息</x:v>
      </x:c>
      <x:c r="D337" s="619" t="str">
        <x:v>核验失败后重新处理</x:v>
      </x:c>
      <x:c r="E337" s="619" t="str">
        <x:v>只恢复心跳，让健康保持未知。</x:v>
      </x:c>
      <x:c r="F337" s="619" t="str">
        <x:v>在线事实存在，但不能宣布设备整体健康。</x:v>
      </x:c>
      <x:c r="G337" s="626" t="str">
        <x:v>还没测</x:v>
      </x:c>
      <x:c r="H337" s="626" t="str"/>
      <x:c r="I337" s="626" t="str"/>
      <x:c r="J337" s="627" t="str"/>
      <x:c r="K337" s="626" t="str"/>
      <x:c r="L337" s="626" t="str"/>
    </x:row>
    <x:row r="338" ht="93" customHeight="1">
      <x:c r="A338" s="619" t="str">
        <x:v>F34</x:v>
      </x:c>
      <x:c r="B338" s="619" t="n">
        <x:v>3</x:v>
      </x:c>
      <x:c r="C338" s="619" t="str">
        <x:v>提交待核验</x:v>
      </x:c>
      <x:c r="D338" s="619" t="str">
        <x:v>核验失败后重新处理</x:v>
      </x:c>
      <x:c r="E338" s="619" t="str">
        <x:v>确保无活动任务，填写说明提交。</x:v>
      </x:c>
      <x:c r="F338" s="619" t="str">
        <x:v>状态待核验，未自动完成。</x:v>
      </x:c>
      <x:c r="G338" s="626" t="str">
        <x:v>还没测</x:v>
      </x:c>
      <x:c r="H338" s="626" t="str"/>
      <x:c r="I338" s="626" t="str"/>
      <x:c r="J338" s="627" t="str"/>
      <x:c r="K338" s="626" t="str"/>
      <x:c r="L338" s="626" t="str"/>
    </x:row>
    <x:row r="339" ht="93" customHeight="1">
      <x:c r="A339" s="619" t="str">
        <x:v>F34</x:v>
      </x:c>
      <x:c r="B339" s="619" t="n">
        <x:v>4</x:v>
      </x:c>
      <x:c r="C339" s="619" t="str">
        <x:v>执行恢复核验</x:v>
      </x:c>
      <x:c r="D339" s="619" t="str">
        <x:v>核验失败后重新处理</x:v>
      </x:c>
      <x:c r="E339" s="619" t="str">
        <x:v>对健康未知或旧状态进行核验。</x:v>
      </x:c>
      <x:c r="F339" s="619" t="str">
        <x:v>得到UNKNOWN/FAIL和具体原因，留在待核验。</x:v>
      </x:c>
      <x:c r="G339" s="626" t="str">
        <x:v>还没测</x:v>
      </x:c>
      <x:c r="H339" s="626" t="str"/>
      <x:c r="I339" s="626" t="str"/>
      <x:c r="J339" s="627" t="str"/>
      <x:c r="K339" s="626" t="str"/>
      <x:c r="L339" s="626" t="str"/>
    </x:row>
    <x:row r="340" ht="93" customHeight="1">
      <x:c r="A340" s="619" t="str">
        <x:v>F34</x:v>
      </x:c>
      <x:c r="B340" s="619" t="n">
        <x:v>5</x:v>
      </x:c>
      <x:c r="C340" s="619" t="str">
        <x:v>尝试完成</x:v>
      </x:c>
      <x:c r="D340" s="619" t="str">
        <x:v>核验失败后重新处理</x:v>
      </x:c>
      <x:c r="E340" s="619" t="str">
        <x:v>在未PASS时点击或接口尝试完成。</x:v>
      </x:c>
      <x:c r="F340" s="619" t="str">
        <x:v>拒绝办结，记录真实阻断。</x:v>
      </x:c>
      <x:c r="G340" s="626" t="str">
        <x:v>还没测</x:v>
      </x:c>
      <x:c r="H340" s="626" t="str"/>
      <x:c r="I340" s="626" t="str"/>
      <x:c r="J340" s="627" t="str"/>
      <x:c r="K340" s="626" t="str"/>
      <x:c r="L340" s="626" t="str"/>
    </x:row>
    <x:row r="341" ht="93" customHeight="1">
      <x:c r="A341" s="619" t="str">
        <x:v>F34</x:v>
      </x:c>
      <x:c r="B341" s="619" t="n">
        <x:v>6</x:v>
      </x:c>
      <x:c r="C341" s="619" t="str">
        <x:v>恢复处理</x:v>
      </x:c>
      <x:c r="D341" s="619" t="str">
        <x:v>核验失败后重新处理</x:v>
      </x:c>
      <x:c r="E341" s="619" t="str">
        <x:v>点击恢复处理并保存新进展。</x:v>
      </x:c>
      <x:c r="F341" s="619" t="str">
        <x:v>回到处理中，清当前摘要但保留旧事件。</x:v>
      </x:c>
      <x:c r="G341" s="626" t="str">
        <x:v>还没测</x:v>
      </x:c>
      <x:c r="H341" s="626" t="str"/>
      <x:c r="I341" s="626" t="str"/>
      <x:c r="J341" s="627" t="str"/>
      <x:c r="K341" s="626" t="str"/>
      <x:c r="L341" s="626" t="str"/>
    </x:row>
    <x:row r="342" ht="93" customHeight="1">
      <x:c r="A342" s="619" t="str">
        <x:v>F34</x:v>
      </x:c>
      <x:c r="B342" s="619" t="n">
        <x:v>7</x:v>
      </x:c>
      <x:c r="C342" s="619" t="str">
        <x:v>再次恢复并核验</x:v>
      </x:c>
      <x:c r="D342" s="619" t="str">
        <x:v>核验失败后重新处理</x:v>
      </x:c>
      <x:c r="E342" s="619" t="str">
        <x:v>补齐全部恢复条件，重新提交核验获得PASS。</x:v>
      </x:c>
      <x:c r="F342" s="619" t="str">
        <x:v>新轮次有独立检查时刻及有效依据。</x:v>
      </x:c>
      <x:c r="G342" s="626" t="str">
        <x:v>还没测</x:v>
      </x:c>
      <x:c r="H342" s="626" t="str"/>
      <x:c r="I342" s="626" t="str"/>
      <x:c r="J342" s="627" t="str"/>
      <x:c r="K342" s="626" t="str"/>
      <x:c r="L342" s="626" t="str"/>
    </x:row>
    <x:row r="343" ht="93" customHeight="1">
      <x:c r="A343" s="619" t="str">
        <x:v>F34</x:v>
      </x:c>
      <x:c r="B343" s="619" t="n">
        <x:v>8</x:v>
      </x:c>
      <x:c r="C343" s="619" t="str">
        <x:v>制造再次异常</x:v>
      </x:c>
      <x:c r="D343" s="619" t="str">
        <x:v>核验失败后重新处理</x:v>
      </x:c>
      <x:c r="E343" s="619" t="str">
        <x:v>PASS后、完成前让设备再次故障。</x:v>
      </x:c>
      <x:c r="F343" s="619" t="str">
        <x:v>完成时重查并拒绝，旧PASS不能覆盖新异常。</x:v>
      </x:c>
      <x:c r="G343" s="626" t="str">
        <x:v>还没测</x:v>
      </x:c>
      <x:c r="H343" s="626" t="str"/>
      <x:c r="I343" s="626" t="str"/>
      <x:c r="J343" s="627" t="str"/>
      <x:c r="K343" s="626" t="str"/>
      <x:c r="L343" s="626" t="str"/>
    </x:row>
    <x:row r="344" ht="93" customHeight="1">
      <x:c r="A344" s="619" t="str">
        <x:v>F34</x:v>
      </x:c>
      <x:c r="B344" s="619" t="n">
        <x:v>9</x:v>
      </x:c>
      <x:c r="C344" s="619" t="str">
        <x:v>重做有效核验</x:v>
      </x:c>
      <x:c r="D344" s="619" t="str">
        <x:v>核验失败后重新处理</x:v>
      </x:c>
      <x:c r="E344" s="619" t="str">
        <x:v>修复后消除未恢复事件，重新核验并确认完成。</x:v>
      </x:c>
      <x:c r="F344" s="619" t="str">
        <x:v>只有当前符合且核验有效才完成。</x:v>
      </x:c>
      <x:c r="G344" s="626" t="str">
        <x:v>还没测</x:v>
      </x:c>
      <x:c r="H344" s="626" t="str"/>
      <x:c r="I344" s="626" t="str"/>
      <x:c r="J344" s="627" t="str"/>
      <x:c r="K344" s="626" t="str"/>
      <x:c r="L344" s="626" t="str"/>
    </x:row>
    <x:row r="345" ht="93" customHeight="1">
      <x:c r="A345" s="619" t="str">
        <x:v>F34</x:v>
      </x:c>
      <x:c r="B345" s="619" t="n">
        <x:v>10</x:v>
      </x:c>
      <x:c r="C345" s="619" t="str">
        <x:v>对照全历史</x:v>
      </x:c>
      <x:c r="D345" s="619" t="str">
        <x:v>核验失败后重新处理</x:v>
      </x:c>
      <x:c r="E345" s="619" t="str">
        <x:v>检查各轮进展、核验失败、PASS与完成记录。</x:v>
      </x:c>
      <x:c r="F345" s="619" t="str">
        <x:v>顺序可追溯，前台不曾把失败阶段显示成已修好。</x:v>
      </x:c>
      <x:c r="G345" s="626" t="str">
        <x:v>还没测</x:v>
      </x:c>
      <x:c r="H345" s="626" t="str"/>
      <x:c r="I345" s="626" t="str"/>
      <x:c r="J345" s="627" t="str"/>
      <x:c r="K345" s="626" t="str"/>
      <x:c r="L345" s="626" t="str"/>
    </x:row>
    <x:row r="346" ht="93" customHeight="1">
      <x:c r="A346" s="621" t="str">
        <x:v>F35</x:v>
      </x:c>
      <x:c r="B346" s="621" t="n">
        <x:v>1</x:v>
      </x:c>
      <x:c r="C346" s="621" t="str">
        <x:v>准备两名人员</x:v>
      </x:c>
      <x:c r="D346" s="621" t="str">
        <x:v>并发处理与断网重试</x:v>
      </x:c>
      <x:c r="E346" s="621" t="str">
        <x:v>甲乙账号均有同范围运维权限，打开同一待处理任务。</x:v>
      </x:c>
      <x:c r="F346" s="621" t="str">
        <x:v>页面版本相同且账号可区分。</x:v>
      </x:c>
      <x:c r="G346" s="626" t="str">
        <x:v>还没测</x:v>
      </x:c>
      <x:c r="H346" s="626" t="str"/>
      <x:c r="I346" s="626" t="str"/>
      <x:c r="J346" s="627" t="str"/>
      <x:c r="K346" s="626" t="str"/>
      <x:c r="L346" s="626" t="str"/>
    </x:row>
    <x:row r="347" ht="93" customHeight="1">
      <x:c r="A347" s="621" t="str">
        <x:v>F35</x:v>
      </x:c>
      <x:c r="B347" s="621" t="n">
        <x:v>2</x:v>
      </x:c>
      <x:c r="C347" s="621" t="str">
        <x:v>同时开始处理</x:v>
      </x:c>
      <x:c r="D347" s="621" t="str">
        <x:v>并发处理与断网重试</x:v>
      </x:c>
      <x:c r="E347" s="621" t="str">
        <x:v>两人几乎同时提交开始。</x:v>
      </x:c>
      <x:c r="F347" s="621" t="str">
        <x:v>只有一次有效开始，处理人真实。</x:v>
      </x:c>
      <x:c r="G347" s="626" t="str">
        <x:v>还没测</x:v>
      </x:c>
      <x:c r="H347" s="626" t="str"/>
      <x:c r="I347" s="626" t="str"/>
      <x:c r="J347" s="627" t="str"/>
      <x:c r="K347" s="626" t="str"/>
      <x:c r="L347" s="626" t="str"/>
    </x:row>
    <x:row r="348" ht="93" customHeight="1">
      <x:c r="A348" s="621" t="str">
        <x:v>F35</x:v>
      </x:c>
      <x:c r="B348" s="621" t="n">
        <x:v>3</x:v>
      </x:c>
      <x:c r="C348" s="621" t="str">
        <x:v>冲突后刷新</x:v>
      </x:c>
      <x:c r="D348" s="621" t="str">
        <x:v>并发处理与断网重试</x:v>
      </x:c>
      <x:c r="E348" s="621" t="str">
        <x:v>未成功者回查任务，不更换目标。</x:v>
      </x:c>
      <x:c r="F348" s="621" t="str">
        <x:v>看到最新阶段与版本，不覆盖他人操作。</x:v>
      </x:c>
      <x:c r="G348" s="626" t="str">
        <x:v>还没测</x:v>
      </x:c>
      <x:c r="H348" s="626" t="str"/>
      <x:c r="I348" s="626" t="str"/>
      <x:c r="J348" s="627" t="str"/>
      <x:c r="K348" s="626" t="str"/>
      <x:c r="L348" s="626" t="str"/>
    </x:row>
    <x:row r="349" ht="93" customHeight="1">
      <x:c r="A349" s="621" t="str">
        <x:v>F35</x:v>
      </x:c>
      <x:c r="B349" s="621" t="n">
        <x:v>4</x:v>
      </x:c>
      <x:c r="C349" s="621" t="str">
        <x:v>保存进展丢回复</x:v>
      </x:c>
      <x:c r="D349" s="621" t="str">
        <x:v>并发处理与断网重试</x:v>
      </x:c>
      <x:c r="E349" s="621" t="str">
        <x:v>提交有效进展后模拟响应丢失。</x:v>
      </x:c>
      <x:c r="F349" s="621" t="str">
        <x:v>页面保留待确认状态及原提交编号。</x:v>
      </x:c>
      <x:c r="G349" s="626" t="str">
        <x:v>还没测</x:v>
      </x:c>
      <x:c r="H349" s="626" t="str"/>
      <x:c r="I349" s="626" t="str"/>
      <x:c r="J349" s="627" t="str"/>
      <x:c r="K349" s="626" t="str"/>
      <x:c r="L349" s="626" t="str"/>
    </x:row>
    <x:row r="350" ht="93" customHeight="1">
      <x:c r="A350" s="621" t="str">
        <x:v>F35</x:v>
      </x:c>
      <x:c r="B350" s="621" t="n">
        <x:v>5</x:v>
      </x:c>
      <x:c r="C350" s="621" t="str">
        <x:v>恢复并查询</x:v>
      </x:c>
      <x:c r="D350" s="621" t="str">
        <x:v>并发处理与断网重试</x:v>
      </x:c>
      <x:c r="E350" s="621" t="str">
        <x:v>恢复网络，查询同任务当前事件。</x:v>
      </x:c>
      <x:c r="F350" s="621" t="str">
        <x:v>先查是否已办成，不直接再提交新动作。</x:v>
      </x:c>
      <x:c r="G350" s="626" t="str">
        <x:v>还没测</x:v>
      </x:c>
      <x:c r="H350" s="626" t="str"/>
      <x:c r="I350" s="626" t="str"/>
      <x:c r="J350" s="627" t="str"/>
      <x:c r="K350" s="626" t="str"/>
      <x:c r="L350" s="626" t="str"/>
    </x:row>
    <x:row r="351" ht="93" customHeight="1">
      <x:c r="A351" s="621" t="str">
        <x:v>F35</x:v>
      </x:c>
      <x:c r="B351" s="621" t="n">
        <x:v>6</x:v>
      </x:c>
      <x:c r="C351" s="621" t="str">
        <x:v>原请求重试</x:v>
      </x:c>
      <x:c r="D351" s="621" t="str">
        <x:v>并发处理与断网重试</x:v>
      </x:c>
      <x:c r="E351" s="621" t="str">
        <x:v>开发协助使用同键同内容重放。</x:v>
      </x:c>
      <x:c r="F351" s="621" t="str">
        <x:v>不新增重复事件，返回当前权限下最新工作流。</x:v>
      </x:c>
      <x:c r="G351" s="626" t="str">
        <x:v>还没测</x:v>
      </x:c>
      <x:c r="H351" s="626" t="str"/>
      <x:c r="I351" s="626" t="str"/>
      <x:c r="J351" s="627" t="str"/>
      <x:c r="K351" s="626" t="str"/>
      <x:c r="L351" s="626" t="str"/>
    </x:row>
    <x:row r="352" ht="93" customHeight="1">
      <x:c r="A352" s="621" t="str">
        <x:v>F35</x:v>
      </x:c>
      <x:c r="B352" s="621" t="n">
        <x:v>7</x:v>
      </x:c>
      <x:c r="C352" s="621" t="str">
        <x:v>同键不同内容</x:v>
      </x:c>
      <x:c r="D352" s="621" t="str">
        <x:v>并发处理与断网重试</x:v>
      </x:c>
      <x:c r="E352" s="621" t="str">
        <x:v>用相同提交编号提交另一内容。</x:v>
      </x:c>
      <x:c r="F352" s="621" t="str">
        <x:v>明确冲突，不执行第二个动作。</x:v>
      </x:c>
      <x:c r="G352" s="626" t="str">
        <x:v>还没测</x:v>
      </x:c>
      <x:c r="H352" s="626" t="str"/>
      <x:c r="I352" s="626" t="str"/>
      <x:c r="J352" s="627" t="str"/>
      <x:c r="K352" s="626" t="str"/>
      <x:c r="L352" s="626" t="str"/>
    </x:row>
    <x:row r="353" ht="93" customHeight="1">
      <x:c r="A353" s="621" t="str">
        <x:v>F35</x:v>
      </x:c>
      <x:c r="B353" s="621" t="n">
        <x:v>8</x:v>
      </x:c>
      <x:c r="C353" s="621" t="str">
        <x:v>处理中撤权</x:v>
      </x:c>
      <x:c r="D353" s="621" t="str">
        <x:v>并发处理与断网重试</x:v>
      </x:c>
      <x:c r="E353" s="621" t="str">
        <x:v>管理员撤销甲权限，再尝试原请求重放和新操作。</x:v>
      </x:c>
      <x:c r="F353" s="621" t="str">
        <x:v>两者仍核对当前权限，不借幂等记录越权。</x:v>
      </x:c>
      <x:c r="G353" s="626" t="str">
        <x:v>还没测</x:v>
      </x:c>
      <x:c r="H353" s="626" t="str"/>
      <x:c r="I353" s="626" t="str"/>
      <x:c r="J353" s="627" t="str"/>
      <x:c r="K353" s="626" t="str"/>
      <x:c r="L353" s="626" t="str"/>
    </x:row>
    <x:row r="354" ht="93" customHeight="1">
      <x:c r="A354" s="621" t="str">
        <x:v>F35</x:v>
      </x:c>
      <x:c r="B354" s="621" t="n">
        <x:v>9</x:v>
      </x:c>
      <x:c r="C354" s="621" t="str">
        <x:v>检查消息已读</x:v>
      </x:c>
      <x:c r="D354" s="621" t="str">
        <x:v>并发处理与断网重试</x:v>
      </x:c>
      <x:c r="E354" s="621" t="str">
        <x:v>甲乙分别标记已读并查看各自未读数。</x:v>
      </x:c>
      <x:c r="F354" s="621" t="str">
        <x:v>已读分用户，不改变任务状态和通知回执。</x:v>
      </x:c>
      <x:c r="G354" s="626" t="str">
        <x:v>还没测</x:v>
      </x:c>
      <x:c r="H354" s="626" t="str"/>
      <x:c r="I354" s="626" t="str"/>
      <x:c r="J354" s="627" t="str"/>
      <x:c r="K354" s="626" t="str"/>
      <x:c r="L354" s="626" t="str"/>
    </x:row>
    <x:row r="355" ht="93" customHeight="1">
      <x:c r="A355" s="621" t="str">
        <x:v>F35</x:v>
      </x:c>
      <x:c r="B355" s="621" t="n">
        <x:v>10</x:v>
      </x:c>
      <x:c r="C355" s="621" t="str">
        <x:v>核对审计与收尾</x:v>
      </x:c>
      <x:c r="D355" s="621" t="str">
        <x:v>并发处理与断网重试</x:v>
      </x:c>
      <x:c r="E355" s="621" t="str">
        <x:v>核对开始、进展、拒绝、版本和任务历史。</x:v>
      </x:c>
      <x:c r="F355" s="621" t="str">
        <x:v>仅实际成功动作推进，失败与拒绝可追溯。</x:v>
      </x:c>
      <x:c r="G355" s="626" t="str">
        <x:v>还没测</x:v>
      </x:c>
      <x:c r="H355" s="626" t="str"/>
      <x:c r="I355" s="626" t="str"/>
      <x:c r="J355" s="627" t="str"/>
      <x:c r="K355" s="626" t="str"/>
      <x:c r="L355" s="626" t="str"/>
    </x:row>
    <x:row r="356" ht="93" customHeight="1">
      <x:c r="A356" s="623" t="str">
        <x:v>F36</x:v>
      </x:c>
      <x:c r="B356" s="623" t="n">
        <x:v>1</x:v>
      </x:c>
      <x:c r="C356" s="623" t="str">
        <x:v>准备退役测试档案</x:v>
      </x:c>
      <x:c r="D356" s="623" t="str">
        <x:v>设备退役与历史保留</x:v>
      </x:c>
      <x:c r="E356" s="623" t="str">
        <x:v>选择专用可弃设备，预先留存任务、事件或证据。</x:v>
      </x:c>
      <x:c r="F356" s="623" t="str">
        <x:v>记录设备编号、身份及历史ID，不使用生产设备。</x:v>
      </x:c>
      <x:c r="G356" s="626" t="str">
        <x:v>还没测</x:v>
      </x:c>
      <x:c r="H356" s="626" t="str"/>
      <x:c r="I356" s="626" t="str"/>
      <x:c r="J356" s="627" t="str"/>
      <x:c r="K356" s="626" t="str"/>
      <x:c r="L356" s="626" t="str"/>
    </x:row>
    <x:row r="357" ht="93" customHeight="1">
      <x:c r="A357" s="623" t="str">
        <x:v>F36</x:v>
      </x:c>
      <x:c r="B357" s="623" t="n">
        <x:v>2</x:v>
      </x:c>
      <x:c r="C357" s="623" t="str">
        <x:v>启用状态尝试删除</x:v>
      </x:c>
      <x:c r="D357" s="623" t="str">
        <x:v>设备退役与历史保留</x:v>
      </x:c>
      <x:c r="E357" s="623" t="str">
        <x:v>在仍启用时执行删除测试。</x:v>
      </x:c>
      <x:c r="F357" s="623" t="str">
        <x:v>要求先停用，台账不消失。</x:v>
      </x:c>
      <x:c r="G357" s="626" t="str">
        <x:v>还没测</x:v>
      </x:c>
      <x:c r="H357" s="626" t="str"/>
      <x:c r="I357" s="626" t="str"/>
      <x:c r="J357" s="627" t="str"/>
      <x:c r="K357" s="626" t="str"/>
      <x:c r="L357" s="626" t="str"/>
    </x:row>
    <x:row r="358" ht="93" customHeight="1">
      <x:c r="A358" s="623" t="str">
        <x:v>F36</x:v>
      </x:c>
      <x:c r="B358" s="623" t="n">
        <x:v>3</x:v>
      </x:c>
      <x:c r="C358" s="623" t="str">
        <x:v>忙碌状态尝试删除</x:v>
      </x:c>
      <x:c r="D358" s="623" t="str">
        <x:v>设备退役与历史保留</x:v>
      </x:c>
      <x:c r="E358" s="623" t="str">
        <x:v>停用但保留测试未完成任务，再尝试删除。</x:v>
      </x:c>
      <x:c r="F358" s="623" t="str">
        <x:v>因活动工作拒绝，关联关系不损坏。</x:v>
      </x:c>
      <x:c r="G358" s="626" t="str">
        <x:v>还没测</x:v>
      </x:c>
      <x:c r="H358" s="626" t="str"/>
      <x:c r="I358" s="626" t="str"/>
      <x:c r="J358" s="627" t="str"/>
      <x:c r="K358" s="626" t="str"/>
      <x:c r="L358" s="626" t="str"/>
    </x:row>
    <x:row r="359" ht="93" customHeight="1">
      <x:c r="A359" s="623" t="str">
        <x:v>F36</x:v>
      </x:c>
      <x:c r="B359" s="623" t="n">
        <x:v>4</x:v>
      </x:c>
      <x:c r="C359" s="623" t="str">
        <x:v>完成收尾</x:v>
      </x:c>
      <x:c r="D359" s="623" t="str">
        <x:v>设备退役与历史保留</x:v>
      </x:c>
      <x:c r="E359" s="623" t="str">
        <x:v>按允许流程结束或取消活动任务并确认设备停用。</x:v>
      </x:c>
      <x:c r="F359" s="623" t="str">
        <x:v>无遗留指令、调测或跟踪工作。</x:v>
      </x:c>
      <x:c r="G359" s="626" t="str">
        <x:v>还没测</x:v>
      </x:c>
      <x:c r="H359" s="626" t="str"/>
      <x:c r="I359" s="626" t="str"/>
      <x:c r="J359" s="627" t="str"/>
      <x:c r="K359" s="626" t="str"/>
      <x:c r="L359" s="626" t="str"/>
    </x:row>
    <x:row r="360" ht="93" customHeight="1">
      <x:c r="A360" s="623" t="str">
        <x:v>F36</x:v>
      </x:c>
      <x:c r="B360" s="623" t="n">
        <x:v>5</x:v>
      </x:c>
      <x:c r="C360" s="623" t="str">
        <x:v>填写原因删除</x:v>
      </x:c>
      <x:c r="D360" s="623" t="str">
        <x:v>设备退役与历史保留</x:v>
      </x:c>
      <x:c r="E360" s="623" t="str">
        <x:v>携当前版本填写有效原因删除。</x:v>
      </x:c>
      <x:c r="F360" s="623" t="str">
        <x:v>逻辑删除并留审计，提交成功后重新读取。</x:v>
      </x:c>
      <x:c r="G360" s="626" t="str">
        <x:v>还没测</x:v>
      </x:c>
      <x:c r="H360" s="626" t="str"/>
      <x:c r="I360" s="626" t="str"/>
      <x:c r="J360" s="627" t="str"/>
      <x:c r="K360" s="626" t="str"/>
      <x:c r="L360" s="626" t="str"/>
    </x:row>
    <x:row r="361" ht="93" customHeight="1">
      <x:c r="A361" s="623" t="str">
        <x:v>F36</x:v>
      </x:c>
      <x:c r="B361" s="623" t="n">
        <x:v>6</x:v>
      </x:c>
      <x:c r="C361" s="623" t="str">
        <x:v>后台列表复查</x:v>
      </x:c>
      <x:c r="D361" s="623" t="str">
        <x:v>设备退役与历史保留</x:v>
      </x:c>
      <x:c r="E361" s="623" t="str">
        <x:v>查台账、设备树、选项和统计。</x:v>
      </x:c>
      <x:c r="F361" s="623" t="str">
        <x:v>当前视图不再列出；删空末页回到有效页。</x:v>
      </x:c>
      <x:c r="G361" s="626" t="str">
        <x:v>还没测</x:v>
      </x:c>
      <x:c r="H361" s="626" t="str"/>
      <x:c r="I361" s="626" t="str"/>
      <x:c r="J361" s="627" t="str"/>
      <x:c r="K361" s="626" t="str"/>
      <x:c r="L361" s="626" t="str"/>
    </x:row>
    <x:row r="362" ht="93" customHeight="1">
      <x:c r="A362" s="623" t="str">
        <x:v>F36</x:v>
      </x:c>
      <x:c r="B362" s="623" t="n">
        <x:v>7</x:v>
      </x:c>
      <x:c r="C362" s="623" t="str">
        <x:v>前台地图复查</x:v>
      </x:c>
      <x:c r="D362" s="623" t="str">
        <x:v>设备退役与历史保留</x:v>
      </x:c>
      <x:c r="E362" s="623" t="str">
        <x:v>在前台当前设备点和列表查同设备。</x:v>
      </x:c>
      <x:c r="F362" s="623" t="str">
        <x:v>不再显示为可用当前设备；不删除历史业务资料。</x:v>
      </x:c>
      <x:c r="G362" s="626" t="str">
        <x:v>还没测</x:v>
      </x:c>
      <x:c r="H362" s="626" t="str"/>
      <x:c r="I362" s="626" t="str"/>
      <x:c r="J362" s="627" t="str"/>
      <x:c r="K362" s="626" t="str"/>
      <x:c r="L362" s="626" t="str"/>
    </x:row>
    <x:row r="363" ht="93" customHeight="1">
      <x:c r="A363" s="623" t="str">
        <x:v>F36</x:v>
      </x:c>
      <x:c r="B363" s="623" t="n">
        <x:v>8</x:v>
      </x:c>
      <x:c r="C363" s="623" t="str">
        <x:v>历史记录复查</x:v>
      </x:c>
      <x:c r="D363" s="623" t="str">
        <x:v>设备退役与历史保留</x:v>
      </x:c>
      <x:c r="E363" s="623" t="str">
        <x:v>按原任务、事件、命令、证据ID回看。</x:v>
      </x:c>
      <x:c r="F363" s="623" t="str">
        <x:v>历史仍可追溯，按历史权限读取。</x:v>
      </x:c>
      <x:c r="G363" s="626" t="str">
        <x:v>还没测</x:v>
      </x:c>
      <x:c r="H363" s="626" t="str"/>
      <x:c r="I363" s="626" t="str"/>
      <x:c r="J363" s="627" t="str"/>
      <x:c r="K363" s="626" t="str"/>
      <x:c r="L363" s="626" t="str"/>
    </x:row>
    <x:row r="364" ht="93" customHeight="1">
      <x:c r="A364" s="623" t="str">
        <x:v>F36</x:v>
      </x:c>
      <x:c r="B364" s="623" t="n">
        <x:v>9</x:v>
      </x:c>
      <x:c r="C364" s="623" t="str">
        <x:v>重复删除和身份复用</x:v>
      </x:c>
      <x:c r="D364" s="623" t="str">
        <x:v>设备退役与历史保留</x:v>
      </x:c>
      <x:c r="E364" s="623" t="str">
        <x:v>再次删除，尝试新建同编号或同接入身份。</x:v>
      </x:c>
      <x:c r="F364" s="623" t="str">
        <x:v>不重复写删除事件，身份继续占用，不通过启用恢复。</x:v>
      </x:c>
      <x:c r="G364" s="626" t="str">
        <x:v>还没测</x:v>
      </x:c>
      <x:c r="H364" s="626" t="str"/>
      <x:c r="I364" s="626" t="str"/>
      <x:c r="J364" s="627" t="str"/>
      <x:c r="K364" s="626" t="str"/>
      <x:c r="L364" s="626" t="str"/>
    </x:row>
    <x:row r="365" ht="93" customHeight="1">
      <x:c r="A365" s="623" t="str">
        <x:v>F36</x:v>
      </x:c>
      <x:c r="B365" s="623" t="n">
        <x:v>10</x:v>
      </x:c>
      <x:c r="C365" s="623" t="str">
        <x:v>重登核对</x:v>
      </x:c>
      <x:c r="D365" s="623" t="str">
        <x:v>设备退役与历史保留</x:v>
      </x:c>
      <x:c r="E365" s="623" t="str">
        <x:v>前后台重登复查状态、数量及审计。</x:v>
      </x:c>
      <x:c r="F365" s="623" t="str">
        <x:v>结果稳定，历史和当前视图区分清楚。</x:v>
      </x:c>
      <x:c r="G365" s="626" t="str">
        <x:v>还没测</x:v>
      </x:c>
      <x:c r="H365" s="626" t="str"/>
      <x:c r="I365" s="626" t="str"/>
      <x:c r="J365" s="627" t="str"/>
      <x:c r="K365" s="626" t="str"/>
      <x:c r="L365" s="626" t="str"/>
    </x:row>
  </x:sheetData>
  <x:mergeCells>
    <x:mergeCell ref="A3:L3"/>
    <x:mergeCell ref="A4:L4"/>
  </x:mergeCells>
  <x:conditionalFormatting sqref="G6:G265">
    <x:cfRule type="cellIs" dxfId="16" priority="1" operator="equal">
      <x:formula>"还没测"</x:formula>
    </x:cfRule>
    <x:cfRule type="cellIs" dxfId="17" priority="2" operator="equal">
      <x:formula>"通过"</x:formula>
    </x:cfRule>
    <x:cfRule type="cellIs" dxfId="18" priority="3" operator="equal">
      <x:formula>"有问题"</x:formula>
    </x:cfRule>
    <x:cfRule type="cellIs" dxfId="19" priority="4" operator="equal">
      <x:formula>"暂时测不了"</x:formula>
    </x:cfRule>
    <x:cfRule type="cellIs" dxfId="20" priority="5" operator="equal">
      <x:formula>"进行中"</x:formula>
    </x:cfRule>
    <x:cfRule type="cellIs" dxfId="21" priority="6" operator="equal">
      <x:formula>"未填结果"</x:formula>
    </x:cfRule>
  </x:conditionalFormatting>
  <x:conditionalFormatting sqref="G266:G305">
    <x:cfRule type="cellIs" dxfId="34" priority="7" operator="equal">
      <x:formula>"通过"</x:formula>
    </x:cfRule>
    <x:cfRule type="cellIs" dxfId="35" priority="8" operator="equal">
      <x:formula>"有问题"</x:formula>
    </x:cfRule>
    <x:cfRule type="cellIs" dxfId="36" priority="9" operator="equal">
      <x:formula>"暂时测不了"</x:formula>
    </x:cfRule>
    <x:cfRule type="cellIs" dxfId="37" priority="10" operator="equal">
      <x:formula>"还没测"</x:formula>
    </x:cfRule>
    <x:cfRule type="cellIs" dxfId="38" priority="11" operator="equal">
      <x:formula>"待补证据"</x:formula>
    </x:cfRule>
    <x:cfRule type="cellIs" dxfId="39" priority="12" operator="equal">
      <x:formula>"进行中"</x:formula>
    </x:cfRule>
  </x:conditionalFormatting>
  <x:conditionalFormatting sqref="G306:G365">
    <x:cfRule type="cellIs" dxfId="60" priority="13" operator="equal">
      <x:formula>"还没测"</x:formula>
    </x:cfRule>
    <x:cfRule type="cellIs" dxfId="61" priority="14" operator="equal">
      <x:formula>"通过"</x:formula>
    </x:cfRule>
    <x:cfRule type="cellIs" dxfId="62" priority="15" operator="equal">
      <x:formula>"记录齐全"</x:formula>
    </x:cfRule>
    <x:cfRule type="cellIs" dxfId="63" priority="16" operator="equal">
      <x:formula>"有问题"</x:formula>
    </x:cfRule>
    <x:cfRule type="cellIs" dxfId="64" priority="17" operator="equal">
      <x:formula>"暂时测不了"</x:formula>
    </x:cfRule>
    <x:cfRule type="cellIs" dxfId="65" priority="18" operator="equal">
      <x:formula>"待补证据"</x:formula>
    </x:cfRule>
    <x:cfRule type="cellIs" dxfId="66" priority="19" operator="equal">
      <x:formula>"进行中"</x:formula>
    </x:cfRule>
  </x:conditionalFormatting>
  <x:dataValidations count="3">
    <x:dataValidation type="list" sqref="G6:G265">
      <x:formula1>"还没测,通过,有问题,暂时测不了"</x:formula1>
    </x:dataValidation>
    <x:dataValidation type="list" sqref="G266:G305">
      <x:formula1>"还没测,通过,有问题,暂时测不了"</x:formula1>
    </x:dataValidation>
    <x:dataValidation type="list" sqref="G306:G365">
      <x:formula1>"还没测,通过,有问题,暂时测不了"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efb73730a20416b"/>
  </x:tableParts>
</x:worksheet>
</file>

<file path=xl/worksheets/sheet8.xml><?xml version="1.0" encoding="utf-8"?>
<x:worksheet xmlns:x="http://schemas.openxmlformats.org/spreadsheetml/2006/main">
  <x:sheetPr>
    <x:tabColor rgb="FFD97706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0" hidden="0" customWidth="1"/>
    <x:col min="2" max="2" width="16" hidden="0" customWidth="1"/>
    <x:col min="3" max="3" width="19" hidden="0" customWidth="1"/>
    <x:col min="4" max="4" width="33" hidden="0" customWidth="1"/>
    <x:col min="5" max="5" width="61" hidden="0" customWidth="1"/>
    <x:col min="6" max="6" width="66" hidden="0" customWidth="1"/>
    <x:col min="7" max="7" width="49" hidden="0" customWidth="1"/>
    <x:col min="8" max="8" width="40" hidden="0" customWidth="1"/>
    <x:col min="9" max="9" width="25" hidden="0" customWidth="1"/>
    <x:col min="10" max="10" width="3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2" customHeight="1">
      <x:c r="A2" s="3" t="str">
        <x:v>现有测试计划审查结论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34" customHeight="1">
      <x:c r="A3" s="6" t="str">
        <x:v>2026年9月27日核对三份历史文档、现有计划与当前源码。12项问题中包含口径冲突和漏测，不等于已运行发现12个系统故障。</x:v>
      </x:c>
      <x:c r="B3" s="6"/>
      <x:c r="C3" s="6"/>
      <x:c r="D3" s="6"/>
      <x:c r="E3" s="6"/>
      <x:c r="F3" s="6"/>
      <x:c r="G3" s="6"/>
      <x:c r="H3" s="6"/>
      <x:c r="I3" s="6"/>
      <x:c r="J3" s="6"/>
    </x:row>
    <x:row r="4" ht="34" customHeight="1">
      <x:c r="A4" s="6" t="str">
        <x:v>黄色列填写负责人和确认结果。自动模式仍在本轮范围；授权口径、短信时长等未确定时，相关正向测试不能宣布通过。</x:v>
      </x:c>
      <x:c r="B4" s="6"/>
      <x:c r="C4" s="6"/>
      <x:c r="D4" s="6"/>
      <x:c r="E4" s="6"/>
      <x:c r="F4" s="6"/>
      <x:c r="G4" s="6"/>
      <x:c r="H4" s="6"/>
      <x:c r="I4" s="6"/>
      <x:c r="J4" s="6"/>
    </x:row>
    <x:row r="5" ht="34" customHeight="1">
      <x:c r="A5" s="520" t="str">
        <x:v>编号</x:v>
      </x:c>
      <x:c r="B5" s="520" t="str">
        <x:v>处理顺序</x:v>
      </x:c>
      <x:c r="C5" s="520" t="str">
        <x:v>问题性质</x:v>
      </x:c>
      <x:c r="D5" s="520" t="str">
        <x:v>说清楚是什么问题</x:v>
      </x:c>
      <x:c r="E5" s="520" t="str">
        <x:v>核对发现</x:v>
      </x:c>
      <x:c r="F5" s="520" t="str">
        <x:v>测试计划怎么改</x:v>
      </x:c>
      <x:c r="G5" s="520" t="str">
        <x:v>依据</x:v>
      </x:c>
      <x:c r="H5" s="520" t="str">
        <x:v>关联位置</x:v>
      </x:c>
      <x:c r="I5" s="520" t="str">
        <x:v>负责人</x:v>
      </x:c>
      <x:c r="J5" s="520" t="str">
        <x:v>确认意见或变更编号</x:v>
      </x:c>
    </x:row>
    <x:row r="6" ht="142" customHeight="1">
      <x:c r="A6" s="522" t="str">
        <x:v>Q01</x:v>
      </x:c>
      <x:c r="B6" s="522" t="str">
        <x:v>必须先定</x:v>
      </x:c>
      <x:c r="C6" s="522" t="str">
        <x:v>授权口径冲突</x:v>
      </x:c>
      <x:c r="D6" s="522" t="str">
        <x:v>自动反制是否有可追溯的人为授权</x:v>
      </x:c>
      <x:c r="E6" s="522" t="str">
        <x:v>旧计划把规则通过后的自动反制当作正向通过。会议要求人在授权环节，当前代码用系统身份创建直接授权；不能仅凭代码存在就认定已满足业务授权。</x:v>
      </x:c>
      <x:c r="F6" s="522" t="str">
        <x:v>保留自动模式测试，但把授权人、授权范围、期限及允许自动执行的依据列为开测条件。缺依据时验证阻断，不能签正向通过。</x:v>
      </x:c>
      <x:c r="G6" s="522" t="str">
        <x:v>会议第1、5、15节；V1.1 第11章；AlarmRuleCounter、DirectDisposalAccess</x:v>
      </x:c>
      <x:c r="H6" s="522" t="str">
        <x:v>自动手动组合；F03/F04/F07/F08；R01–R03</x:v>
      </x:c>
      <x:c r="I6" s="521" t="str"/>
      <x:c r="J6" s="521" t="str"/>
    </x:row>
    <x:row r="7" ht="142" customHeight="1">
      <x:c r="A7" s="522" t="str">
        <x:v>Q02</x:v>
      </x:c>
      <x:c r="B7" s="522" t="str">
        <x:v>必须先改</x:v>
      </x:c>
      <x:c r="C7" s="522" t="str">
        <x:v>配置理解错误</x:v>
      </x:c>
      <x:c r="D7" s="522" t="str">
        <x:v>关闭规则引擎不等于切成手动</x:v>
      </x:c>
      <x:c r="E7" s="522" t="str">
        <x:v>当前处罚通知代码在引擎关闭时允许自动发送；前提是已完成干扰且满足交接条件。原表没有单独覆盖这条分支。</x:v>
      </x:c>
      <x:c r="F7" s="522" t="str">
        <x:v>8种组合均在引擎正常运行下，通过每类规则启停切换。另测引擎关闭后的实际行为，记录与预期的差异。</x:v>
      </x:c>
      <x:c r="G7" s="522" t="str">
        <x:v>HandoffSubmissionService.automaticPunishmentSend；RuleManagementView</x:v>
      </x:c>
      <x:c r="H7" s="522" t="str">
        <x:v>自动手动组合；R04–R07</x:v>
      </x:c>
      <x:c r="I7" s="521" t="str"/>
      <x:c r="J7" s="521" t="str"/>
    </x:row>
    <x:row r="8" ht="142" customHeight="1">
      <x:c r="A8" s="522" t="str">
        <x:v>Q03</x:v>
      </x:c>
      <x:c r="B8" s="522" t="str">
        <x:v>必须先改</x:v>
      </x:c>
      <x:c r="C8" s="522" t="str">
        <x:v>主流程漏步骤</x:v>
      </x:c>
      <x:c r="D8" s="522" t="str">
        <x:v>反制完成后还会接续信号干扰</x:v>
      </x:c>
      <x:c r="E8" s="522" t="str">
        <x:v>原流程写成设备反制结果后直接移送。当前代码是反制完成后尝试接续干扰，干扰完成才触发自动交接。两次设备动作不能算成一次。</x:v>
      </x:c>
      <x:c r="F8" s="522" t="str">
        <x:v>分别记录反制授权和命令、干扰子授权和命令、两次回执及父子关系。续链前重新检查资格，急停和过期分支单测。</x:v>
      </x:c>
      <x:c r="G8" s="522" t="str">
        <x:v>会议第5、10节；DisposalReceiptSync、DisposalJammingChain</x:v>
      </x:c>
      <x:c r="H8" s="522" t="str">
        <x:v>F01–F08步骤7；R08–R11</x:v>
      </x:c>
      <x:c r="I8" s="521" t="str"/>
      <x:c r="J8" s="521" t="str"/>
    </x:row>
    <x:row r="9" ht="142" customHeight="1">
      <x:c r="A9" s="522" t="str">
        <x:v>Q04</x:v>
      </x:c>
      <x:c r="B9" s="522" t="str">
        <x:v>必须先改</x:v>
      </x:c>
      <x:c r="C9" s="522" t="str">
        <x:v>流程条件混用</x:v>
      </x:c>
      <x:c r="D9" s="522" t="str">
        <x:v>人工处罚交接不必先完成反制</x:v>
      </x:c>
      <x:c r="E9" s="522" t="str">
        <x:v>当前人工交接接口只要求事件已核实且满足权限等条件，不把反制完成当作前置；自动建交接、自动发送、人工补发也不是同一个动作。</x:v>
      </x:c>
      <x:c r="F9" s="522" t="str">
        <x:v>增加未反制但已核实的交接路径；分别验建交接、发通知、送达、签收、办理结果。前台没有入口时记录缺口，接口成功不能代替前台通过。</x:v>
      </x:c>
      <x:c r="G9" s="522" t="str">
        <x:v>HandoffRules；HandoffSubmissionService；PunishmentNotification</x:v>
      </x:c>
      <x:c r="H9" s="522" t="str">
        <x:v>F30；R12–R15</x:v>
      </x:c>
      <x:c r="I9" s="521" t="str"/>
      <x:c r="J9" s="521" t="str"/>
    </x:row>
    <x:row r="10" ht="142" customHeight="1">
      <x:c r="A10" s="522" t="str">
        <x:v>Q05</x:v>
      </x:c>
      <x:c r="B10" s="522" t="str">
        <x:v>必须先定</x:v>
      </x:c>
      <x:c r="C10" s="522" t="str">
        <x:v>时间口径冲突</x:v>
      </x:c>
      <x:c r="D10" s="522" t="str">
        <x:v>短信观察3秒与10秒不一致</x:v>
      </x:c>
      <x:c r="E10" s="522" t="str">
        <x:v>前台项目约定短信观察10秒、电话后10秒；当前NotifyFlow写短信3秒、电话10秒。原表只说先确认，没有逐时间点判定。</x:v>
      </x:c>
      <x:c r="F10" s="522" t="str">
        <x:v>按已确认的10秒业务约定保留验收标准，记录当前3秒实现差异。要改为3秒需留下新确认，不得按代码自行放宽。</x:v>
      </x:c>
      <x:c r="G10" s="522" t="str">
        <x:v>前台AGENTS 2026-09-22；NotifyFlow 第7–8行；三个旧文档未规定本时长</x:v>
      </x:c>
      <x:c r="H10" s="522" t="str">
        <x:v>准备与流程；R16–R19</x:v>
      </x:c>
      <x:c r="I10" s="521" t="str"/>
      <x:c r="J10" s="521" t="str"/>
    </x:row>
    <x:row r="11" ht="142" customHeight="1">
      <x:c r="A11" s="523" t="str">
        <x:v>Q06</x:v>
      </x:c>
      <x:c r="B11" s="523" t="str">
        <x:v>重要补齐</x:v>
      </x:c>
      <x:c r="C11" s="523" t="str">
        <x:v>业务主线覆盖不足</x:v>
      </x:c>
      <x:c r="D11" s="523" t="str">
        <x:v>鸟群和异物风险要单独走完</x:v>
      </x:c>
      <x:c r="E11" s="523" t="str">
        <x:v>已有鸟类不进入合法性页、风险核验和通知等检查，但没有以同一只鸟或同一群鸟从发现到通知、处置反馈、风险解除的独立流程。</x:v>
      </x:c>
      <x:c r="F11" s="523" t="str">
        <x:v>增加F27。无计划不应让鸟变成黑飞；收到通知不等于风险已解除。未知、识别中、算法推断分别留证。</x:v>
      </x:c>
      <x:c r="G11" s="523" t="str">
        <x:v>会议第3节及第12节六类场景；功能方案3.2；V1.1 2.3及7.2</x:v>
      </x:c>
      <x:c r="H11" s="523" t="str">
        <x:v>F27；R20–R24</x:v>
      </x:c>
      <x:c r="I11" s="521" t="str"/>
      <x:c r="J11" s="521" t="str"/>
    </x:row>
    <x:row r="12" ht="142" customHeight="1">
      <x:c r="A12" s="524" t="str">
        <x:v>Q07</x:v>
      </x:c>
      <x:c r="B12" s="524" t="str">
        <x:v>重要补齐</x:v>
      </x:c>
      <x:c r="C12" s="524" t="str">
        <x:v>融合验证太粗</x:v>
      </x:c>
      <x:c r="D12" s="524" t="str">
        <x:v>一条合并检查不足以验收三路融合</x:v>
      </x:c>
      <x:c r="E12" s="524" t="str">
        <x:v>已有同目标合并和相邻目标不误合并，但缺少稳定来源对应、单路掉线、只有雷达、时间乱序、恢复补传等分项记录。</x:v>
      </x:c>
      <x:c r="F12" s="524" t="str">
        <x:v>新增三路独立输入和降级恢复流程，按原始来源与统一目标对账；原始点、融合结果、预测段区分。精度指标由算法方确认。</x:v>
      </x:c>
      <x:c r="G12" s="524" t="str">
        <x:v>会议第2、4、9节；V1.1 第6章、13.2</x:v>
      </x:c>
      <x:c r="H12" s="524" t="str">
        <x:v>F28；R25–R30</x:v>
      </x:c>
      <x:c r="I12" s="521" t="str"/>
      <x:c r="J12" s="521" t="str"/>
    </x:row>
    <x:row r="13" ht="142" customHeight="1">
      <x:c r="A13" s="523" t="str">
        <x:v>Q08</x:v>
      </x:c>
      <x:c r="B13" s="523" t="str">
        <x:v>重要补齐</x:v>
      </x:c>
      <x:c r="C13" s="523" t="str">
        <x:v>历史版本取舍缺失</x:v>
      </x:c>
      <x:c r="D13" s="523" t="str">
        <x:v>不能照最早方案要求所有设备能力</x:v>
      </x:c>
      <x:c r="E13" s="523" t="str">
        <x:v>早期功能方案列ADS-B，V1.1明确不纳入；部分云台点动暂不支持；气球等类别可能来自算法，遥控器也不能算成第二架无人机。</x:v>
      </x:c>
      <x:c r="F13" s="523" t="str">
        <x:v>采用V1.1已明确的设备边界，新增来源标记、遥控器统计、任务式跟踪和不支持能力提示。若后来已支持，以新协议版本留证。</x:v>
      </x:c>
      <x:c r="G13" s="523" t="str">
        <x:v>V1.1 P0505、P0929–P0931、P1798及目标类型章节</x:v>
      </x:c>
      <x:c r="H13" s="523" t="str">
        <x:v>F29；R22–R24、R31–R33</x:v>
      </x:c>
      <x:c r="I13" s="521" t="str"/>
      <x:c r="J13" s="521" t="str"/>
    </x:row>
    <x:row r="14" ht="142" customHeight="1">
      <x:c r="A14" s="524" t="str">
        <x:v>Q09</x:v>
      </x:c>
      <x:c r="B14" s="524" t="str">
        <x:v>重要补齐</x:v>
      </x:c>
      <x:c r="C14" s="524" t="str">
        <x:v>空间时间验收不够细</x:v>
      </x:c>
      <x:c r="D14" s="524" t="str">
        <x:v>高度基准与规则版本要分开测</x:v>
      </x:c>
      <x:c r="E14" s="524" t="str">
        <x:v>原计划只笼统检查地图位置和高度含义。当前后端已有AGL/AMSL同基准比较、版本和时间窗逻辑，需要可复现的边界数据。</x:v>
      </x:c>
      <x:c r="F14" s="524" t="str">
        <x:v>分别测真高与海拔高、缺基准、边界点、时间起止、版本切换及历史依据不漂移。只通过现有授权入口准备数据。</x:v>
      </x:c>
      <x:c r="G14" s="524" t="str">
        <x:v>V1.1 3.4、7.4、8.5；CheckSupport、AirspaceCoverageCheck、AirspaceWriteService</x:v>
      </x:c>
      <x:c r="H14" s="524" t="str">
        <x:v>R34–R39；原AIR/SIM</x:v>
      </x:c>
      <x:c r="I14" s="521" t="str"/>
      <x:c r="J14" s="521" t="str"/>
    </x:row>
    <x:row r="15" ht="142" customHeight="1">
      <x:c r="A15" s="523" t="str">
        <x:v>Q10</x:v>
      </x:c>
      <x:c r="B15" s="523" t="str">
        <x:v>重要补齐</x:v>
      </x:c>
      <x:c r="C15" s="523" t="str">
        <x:v>执行记录容易假完整</x:v>
      </x:c>
      <x:c r="D15" s="523" t="str">
        <x:v>多个子场景不能共用一个通过</x:v>
      </x:c>
      <x:c r="E15" s="523" t="str">
        <x:v>F14–F18等把多个子批次合在一个结果里；原流程公式只数通过，没有检查实际结果、执行人、时间、证据及事件编号是否填写。</x:v>
      </x:c>
      <x:c r="F15" s="523" t="str">
        <x:v>补充单独子场景记录；全流程全部通过后还要检查每一步的证据字段。未跑的子批次不能由另一批次代替。</x:v>
      </x:c>
      <x:c r="G15" s="523" t="str">
        <x:v>现有Excel 全流程验收与流程步骤记录；前台AGENTS 批次留痕约定</x:v>
      </x:c>
      <x:c r="H15" s="523" t="str">
        <x:v>F14–F18；R40–R45；流程结果公式</x:v>
      </x:c>
      <x:c r="I15" s="521" t="str"/>
      <x:c r="J15" s="521" t="str"/>
    </x:row>
    <x:row r="16" ht="142" customHeight="1">
      <x:c r="A16" s="524" t="str">
        <x:v>Q11</x:v>
      </x:c>
      <x:c r="B16" s="524" t="str">
        <x:v>重要补齐</x:v>
      </x:c>
      <x:c r="C16" s="524" t="str">
        <x:v>性能验证范围不足</x:v>
      </x:c>
      <x:c r="D16" s="524" t="str">
        <x:v>页面快不代表整条链路及时</x:v>
      </x:c>
      <x:c r="E16" s="524" t="str">
        <x:v>已有页面20次p50/p95测量，缺少目标上报到前台显示、告警生成、设备受理、多人监视等链路测量；文档没有已确认的统一数值门槛。</x:v>
      </x:c>
      <x:c r="F16" s="524" t="str">
        <x:v>补采链路时间和负载，先确认用户数、目标数、频率及允许时延。未确认门槛只报测量结果，不能直接判性能达标。</x:v>
      </x:c>
      <x:c r="G16" s="524" t="str">
        <x:v>V1.1 13.1；原NET-06</x:v>
      </x:c>
      <x:c r="H16" s="524" t="str">
        <x:v>R46–R48</x:v>
      </x:c>
      <x:c r="I16" s="521" t="str"/>
      <x:c r="J16" s="521" t="str"/>
    </x:row>
    <x:row r="17" ht="142" customHeight="1">
      <x:c r="A17" s="523" t="str">
        <x:v>Q12</x:v>
      </x:c>
      <x:c r="B17" s="523" t="str">
        <x:v>开测前记录</x:v>
      </x:c>
      <x:c r="C17" s="523" t="str">
        <x:v>验收版本和范围不清</x:v>
      </x:c>
      <x:c r="D17" s="523" t="str">
        <x:v>旧页面数量不能当当前验收目录</x:v>
      </x:c>
      <x:c r="E17" s="523" t="str">
        <x:v>会议14页、V1.1十个业务页面、当前前后台拆分属于不同版本。代码存在多处未提交改动，正在运行的服务不一定就是本次读到的源码。</x:v>
      </x:c>
      <x:c r="F17" s="523" t="str">
        <x:v>按当前入口和职责验前台，后台配合验证配置权限及审计；保存前后端版本、配置、模拟批次。旧功能是否恢复另作需求决定，不写成默认缺陷。</x:v>
      </x:c>
      <x:c r="G17" s="523" t="str">
        <x:v>会议第10节；V1.1第8章；前后台AGENTS与当前路由</x:v>
      </x:c>
      <x:c r="H17" s="523" t="str">
        <x:v>测试总览开测条件；全部流程</x:v>
      </x:c>
      <x:c r="I17" s="521" t="str"/>
      <x:c r="J17" s="521" t="str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  <x:row r="19" ht="34" customHeight="1">
      <x:c r="A19" s="6" t="str">
        <x:v>历史资料：《无人机融合感知平台_会议纪要_说人话版》2026-08-23；《系统设计方案_V1.1》；《无人机融合感知与低空飞行安全管理平台方案》。</x:v>
      </x:c>
      <x:c r="B19" s="6"/>
      <x:c r="C19" s="6"/>
      <x:c r="D19" s="6"/>
      <x:c r="E19" s="6"/>
      <x:c r="F19" s="6"/>
      <x:c r="G19" s="6"/>
      <x:c r="H19" s="6"/>
      <x:c r="I19" s="6"/>
      <x:c r="J19" s="6"/>
    </x:row>
    <x:row r="20" ht="34" customHeight="1">
      <x:c r="A20" s="6" t="str">
        <x:v>采用顺序：用户本次要求与后续已确认约定优先；V1.1已明确修订的设备能力优先于早期方案；代码用于说明现状，不自动成为业务验收标准。</x:v>
      </x:c>
      <x:c r="B20" s="6"/>
      <x:c r="C20" s="6"/>
      <x:c r="D20" s="6"/>
      <x:c r="E20" s="6"/>
      <x:c r="F20" s="6"/>
      <x:c r="G20" s="6"/>
      <x:c r="H20" s="6"/>
      <x:c r="I20" s="6"/>
      <x:c r="J20" s="6"/>
    </x:row>
    <x:row r="21" ht="34" customHeight="1">
      <x:c r="A21" s="6" t="str">
        <x:v>保留当前前后台分工、取消人工现场记录、设备回执为准、显式直接反制权限等约定。不因旧会议的页面数量而要求恢复旧页面。</x:v>
      </x:c>
      <x:c r="B21" s="6"/>
      <x:c r="C21" s="6"/>
      <x:c r="D21" s="6"/>
      <x:c r="E21" s="6"/>
      <x:c r="F21" s="6"/>
      <x:c r="G21" s="6"/>
      <x:c r="H21" s="6"/>
      <x:c r="I21" s="6"/>
      <x:c r="J21" s="6"/>
    </x:row>
    <x:row r="22" ht="34" customHeight="1">
      <x:c r="A22" s="6" t="str">
        <x:v>本次未登录执行业务、未启停配置、未发送通知或设备指令。现有源码有未提交改动，运行服务版本及实际启用配置需由执行人员记录。</x:v>
      </x:c>
      <x:c r="B22" s="6"/>
      <x:c r="C22" s="6"/>
      <x:c r="D22" s="6"/>
      <x:c r="E22" s="6"/>
      <x:c r="F22" s="6"/>
      <x:c r="G22" s="6"/>
      <x:c r="H22" s="6"/>
      <x:c r="I22" s="6"/>
      <x:c r="J22" s="6"/>
    </x:row>
    <x:row r="23" ht="34" customHeight="1">
      <x:c r="A23" s="6" t="str">
        <x:v>详细代码定位见同目录《前台测试计划审查说明-2026-09-27.md》。本表负责需求核对，执行结果仍填写原模块、流程及补充测试清单。</x:v>
      </x:c>
      <x:c r="B23" s="6"/>
      <x:c r="C23" s="6"/>
      <x:c r="D23" s="6"/>
      <x:c r="E23" s="6"/>
      <x:c r="F23" s="6"/>
      <x:c r="G23" s="6"/>
      <x:c r="H23" s="6"/>
      <x:c r="I23" s="6"/>
      <x:c r="J23" s="6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</x:sheetData>
  <x:mergeCells>
    <x:mergeCell ref="A3:J3"/>
    <x:mergeCell ref="A4:J4"/>
    <x:mergeCell ref="A19:J19"/>
    <x:mergeCell ref="A20:J20"/>
    <x:mergeCell ref="A21:J21"/>
    <x:mergeCell ref="A22:J22"/>
    <x:mergeCell ref="A23:J23"/>
  </x:mergeCells>
  <x:pageMargins left="0.7" right="0.7" top="0.75" bottom="0.75" header="0.3" footer="0.3"/>
  <x:tableParts count="1">
    <x:tablePart xmlns:r="http://schemas.openxmlformats.org/officeDocument/2006/relationships" r:id="R485dc54870054eff"/>
  </x:tableParts>
</x:worksheet>
</file>

<file path=xl/worksheets/sheet9.xml><?xml version="1.0" encoding="utf-8"?>
<x:worksheet xmlns:x="http://schemas.openxmlformats.org/spreadsheetml/2006/main">
  <x:sheetPr>
    <x:tabColor rgb="FF059669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9" hidden="0" customWidth="1"/>
    <x:col min="4" max="4" width="17" hidden="0" customWidth="1"/>
    <x:col min="5" max="5" width="60" hidden="0" customWidth="1"/>
    <x:col min="6" max="6" width="60" hidden="0" customWidth="1"/>
    <x:col min="7" max="7" width="68" hidden="0" customWidth="1"/>
    <x:col min="8" max="8" width="16" hidden="0" customWidth="1"/>
    <x:col min="9" max="9" width="38" hidden="0" customWidth="1"/>
    <x:col min="10" max="10" width="38" hidden="0" customWidth="1"/>
    <x:col min="11" max="11" width="18" hidden="0" customWidth="1"/>
    <x:col min="12" max="12" width="16" hidden="0" customWidth="1"/>
    <x:col min="13" max="13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2" customHeight="1">
      <x:c r="A2" s="3" t="str">
        <x:v>补充测试清单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34" customHeight="1">
      <x:c r="A3" s="6" t="str">
        <x:v>新增48项，针对会议要求、当前分支和原表漏测补充。每行单独记录；R29等含对照输入的项目，实际记录须逐项写明输入与结果。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</x:row>
    <x:row r="4" ht="34" customHeight="1">
      <x:c r="A4" s="6" t="str">
        <x:v>H至L为黄色填写区。写通过后还需填写实际结果、批次、证据与关联编号、执行人和日期，M列才显示记录齐全。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</x:row>
    <x:row r="5" ht="34" customHeight="1">
      <x:c r="A5" s="520" t="str">
        <x:v>编号</x:v>
      </x:c>
      <x:c r="B5" s="520" t="str">
        <x:v>问题编号</x:v>
      </x:c>
      <x:c r="C5" s="520" t="str">
        <x:v>模块</x:v>
      </x:c>
      <x:c r="D5" s="520" t="str">
        <x:v>优先顺序</x:v>
      </x:c>
      <x:c r="E5" s="520" t="str">
        <x:v>场景和准备条件</x:v>
      </x:c>
      <x:c r="F5" s="520" t="str">
        <x:v>怎么测</x:v>
      </x:c>
      <x:c r="G5" s="520" t="str">
        <x:v>怎样才算正常</x:v>
      </x:c>
      <x:c r="H5" s="520" t="str">
        <x:v>测试结果</x:v>
      </x:c>
      <x:c r="I5" s="520" t="str">
        <x:v>实际结果及批次</x:v>
      </x:c>
      <x:c r="J5" s="520" t="str">
        <x:v>证据位置及关联编号</x:v>
      </x:c>
      <x:c r="K5" s="520" t="str">
        <x:v>执行人</x:v>
      </x:c>
      <x:c r="L5" s="520" t="str">
        <x:v>执行日期</x:v>
      </x:c>
      <x:c r="M5" s="520" t="str">
        <x:v>记录检查</x:v>
      </x:c>
    </x:row>
    <x:row r="6" ht="123" customHeight="1">
      <x:c r="A6" s="527" t="str">
        <x:v>R01</x:v>
      </x:c>
      <x:c r="B6" s="527" t="str">
        <x:v>Q01</x:v>
      </x:c>
      <x:c r="C6" s="527" t="str">
        <x:v>授权</x:v>
      </x:c>
      <x:c r="D6" s="527" t="str">
        <x:v>必须先测</x:v>
      </x:c>
      <x:c r="E6" s="527" t="str">
        <x:v>规则自动反制缺少明确授权依据
引擎正常，规则满足，测试设备可用；授权依据尚未确认。</x:v>
      </x:c>
      <x:c r="F6" s="527" t="str">
        <x:v>记录系统生成的授权方式、发起人和依据，不启动真实设备。
留证：授权依据、系统授权记录、规则版本</x:v>
      </x:c>
      <x:c r="G6" s="527" t="str">
        <x:v>不能凭系统自建DIRECT就认定业务授权合格；确认前此正向验收项填暂时测不了。</x:v>
      </x:c>
      <x:c r="H6" s="521" t="str">
        <x:v>还没测</x:v>
      </x:c>
      <x:c r="I6" s="521" t="str"/>
      <x:c r="J6" s="521" t="str"/>
      <x:c r="K6" s="521" t="str"/>
      <x:c r="L6" s="528" t="str"/>
      <x:c r="M6" s="6" t="str">
        <x:f>IF(H6="通过",IF(COUNTBLANK(I6:L6)=0,"记录齐全","待补证据"),H6)</x:f>
        <x:v>还没测</x:v>
      </x:c>
    </x:row>
    <x:row r="7" ht="123" customHeight="1">
      <x:c r="A7" s="523" t="str">
        <x:v>R02</x:v>
      </x:c>
      <x:c r="B7" s="523" t="str">
        <x:v>Q01</x:v>
      </x:c>
      <x:c r="C7" s="523" t="str">
        <x:v>授权</x:v>
      </x:c>
      <x:c r="D7" s="523" t="str">
        <x:v>必须先测</x:v>
      </x:c>
      <x:c r="E7" s="523" t="str">
        <x:v>人工直接授权被撤销后排队下发
人工DIRECT仍排队，随后由管理员撤回显式权限。</x:v>
      </x:c>
      <x:c r="F7" s="523" t="str">
        <x:v>等待队列尝试下发，回查设备收令。
留证：撤权时刻、队列检查、设备命令</x:v>
      </x:c>
      <x:c r="G7" s="523" t="str">
        <x:v>撤权后不继续下发；已发指令保留事实；管理员身份不替代权限。</x:v>
      </x:c>
      <x:c r="H7" s="521" t="str">
        <x:v>还没测</x:v>
      </x:c>
      <x:c r="I7" s="521" t="str"/>
      <x:c r="J7" s="521" t="str"/>
      <x:c r="K7" s="521" t="str"/>
      <x:c r="L7" s="528" t="str"/>
      <x:c r="M7" s="6" t="str">
        <x:f>IF(H7="通过",IF(COUNTBLANK(I7:L7)=0,"记录齐全","待补证据"),H7)</x:f>
        <x:v>还没测</x:v>
      </x:c>
    </x:row>
    <x:row r="8" ht="123" customHeight="1">
      <x:c r="A8" s="527" t="str">
        <x:v>R03</x:v>
      </x:c>
      <x:c r="B8" s="527" t="str">
        <x:v>Q01</x:v>
      </x:c>
      <x:c r="C8" s="527" t="str">
        <x:v>授权</x:v>
      </x:c>
      <x:c r="D8" s="527" t="str">
        <x:v>必须先测</x:v>
      </x:c>
      <x:c r="E8" s="527" t="str">
        <x:v>系统自动身份与人员权限分开
分别准备自动规则发起与普通人员直接发起的同类测试事件。</x:v>
      </x:c>
      <x:c r="F8" s="527" t="str">
        <x:v>对照请求人、审批人、授权方式和审计。
留证：两批事件和授权、审计</x:v>
      </x:c>
      <x:c r="G8" s="527" t="str">
        <x:v>自动身份不伪装成人员审批；普通人员仍要求显式direct。系统身份的授权来源单独说明。</x:v>
      </x:c>
      <x:c r="H8" s="521" t="str">
        <x:v>还没测</x:v>
      </x:c>
      <x:c r="I8" s="521" t="str"/>
      <x:c r="J8" s="521" t="str"/>
      <x:c r="K8" s="521" t="str"/>
      <x:c r="L8" s="528" t="str"/>
      <x:c r="M8" s="6" t="str">
        <x:f>IF(H8="通过",IF(COUNTBLANK(I8:L8)=0,"记录齐全","待补证据"),H8)</x:f>
        <x:v>还没测</x:v>
      </x:c>
    </x:row>
    <x:row r="9" ht="123" customHeight="1">
      <x:c r="A9" s="523" t="str">
        <x:v>R04</x:v>
      </x:c>
      <x:c r="B9" s="523" t="str">
        <x:v>Q02</x:v>
      </x:c>
      <x:c r="C9" s="523" t="str">
        <x:v>配置</x:v>
      </x:c>
      <x:c r="D9" s="523" t="str">
        <x:v>必须先测</x:v>
      </x:c>
      <x:c r="E9" s="523" t="str">
        <x:v>引擎开启但某类没有启用规则
引擎健康；核实类别0条启用，其他类别保持固定。</x:v>
      </x:c>
      <x:c r="F9" s="523" t="str">
        <x:v>输入待核实事件并观察，再用有权账号核实。
留证：配置回读、运行状态、核实历史</x:v>
      </x:c>
      <x:c r="G9" s="523" t="str">
        <x:v>该类暂停自动处理；人工入口按权限可用。不得把0条规则当全部条件通过。</x:v>
      </x:c>
      <x:c r="H9" s="521" t="str">
        <x:v>还没测</x:v>
      </x:c>
      <x:c r="I9" s="521" t="str"/>
      <x:c r="J9" s="521" t="str"/>
      <x:c r="K9" s="521" t="str"/>
      <x:c r="L9" s="528" t="str"/>
      <x:c r="M9" s="6" t="str">
        <x:f>IF(H9="通过",IF(COUNTBLANK(I9:L9)=0,"记录齐全","待补证据"),H9)</x:f>
        <x:v>还没测</x:v>
      </x:c>
    </x:row>
    <x:row r="10" ht="123" customHeight="1">
      <x:c r="A10" s="527" t="str">
        <x:v>R05</x:v>
      </x:c>
      <x:c r="B10" s="527" t="str">
        <x:v>Q02</x:v>
      </x:c>
      <x:c r="C10" s="527" t="str">
        <x:v>配置</x:v>
      </x:c>
      <x:c r="D10" s="527" t="str">
        <x:v>必须先测</x:v>
      </x:c>
      <x:c r="E10" s="527" t="str">
        <x:v>引擎关闭后的处罚通知
测试事件已干扰完成，接收方唯一，模拟通知可用。</x:v>
      </x:c>
      <x:c r="F10" s="527" t="str">
        <x:v>关闭引擎后观察后台调度和模拟收件箱，不点发送。
留证：引擎配置、干扰回执、投递记录</x:v>
      </x:c>
      <x:c r="G10" s="527" t="str">
        <x:v>当前实现可能自动发通知；如本轮要求手动，应记配置语义问题，不能按手动组合通过。</x:v>
      </x:c>
      <x:c r="H10" s="521" t="str">
        <x:v>还没测</x:v>
      </x:c>
      <x:c r="I10" s="521" t="str"/>
      <x:c r="J10" s="521" t="str"/>
      <x:c r="K10" s="521" t="str"/>
      <x:c r="L10" s="528" t="str"/>
      <x:c r="M10" s="6" t="str">
        <x:f>IF(H10="通过",IF(COUNTBLANK(I10:L10)=0,"记录齐全","待补证据"),H10)</x:f>
        <x:v>还没测</x:v>
      </x:c>
    </x:row>
    <x:row r="11" ht="123" customHeight="1">
      <x:c r="A11" s="523" t="str">
        <x:v>R06</x:v>
      </x:c>
      <x:c r="B11" s="523" t="str">
        <x:v>Q02</x:v>
      </x:c>
      <x:c r="C11" s="523" t="str">
        <x:v>配置</x:v>
      </x:c>
      <x:c r="D11" s="523" t="str">
        <x:v>必须先测</x:v>
      </x:c>
      <x:c r="E11" s="523" t="str">
        <x:v>通知处罚规则全部停用
引擎开启且健康；已干扰完成；dispose无启用规则。</x:v>
      </x:c>
      <x:c r="F11" s="523" t="str">
        <x:v>查看交接和投递，再由有权人员点击通知。
留证：交接ID、等待原因、人工发送回执</x:v>
      </x:c>
      <x:c r="G11" s="523" t="str">
        <x:v>可以已有冻结交接，但自动投递等待规则；人工通知按权限执行一次。</x:v>
      </x:c>
      <x:c r="H11" s="521" t="str">
        <x:v>还没测</x:v>
      </x:c>
      <x:c r="I11" s="521" t="str"/>
      <x:c r="J11" s="521" t="str"/>
      <x:c r="K11" s="521" t="str"/>
      <x:c r="L11" s="528" t="str"/>
      <x:c r="M11" s="6" t="str">
        <x:f>IF(H11="通过",IF(COUNTBLANK(I11:L11)=0,"记录齐全","待补证据"),H11)</x:f>
        <x:v>还没测</x:v>
      </x:c>
    </x:row>
    <x:row r="12" ht="123" customHeight="1">
      <x:c r="A12" s="527" t="str">
        <x:v>R07</x:v>
      </x:c>
      <x:c r="B12" s="527" t="str">
        <x:v>Q02</x:v>
      </x:c>
      <x:c r="C12" s="527" t="str">
        <x:v>配置</x:v>
      </x:c>
      <x:c r="D12" s="527" t="str">
        <x:v>重要检查</x:v>
      </x:c>
      <x:c r="E12" s="527" t="str">
        <x:v>规则一条满足另一条不满足
同类别启用两条可独立控制的规则。</x:v>
      </x:c>
      <x:c r="F12" s="527" t="str">
        <x:v>先只满足一条，再持续满足两条。
留证：规则版本、逐条判定、触发时刻</x:v>
      </x:c>
      <x:c r="G12" s="527" t="str">
        <x:v>先不自动通过；全部满足且持续时间达标才通过，记录每条实际依据。</x:v>
      </x:c>
      <x:c r="H12" s="521" t="str">
        <x:v>还没测</x:v>
      </x:c>
      <x:c r="I12" s="521" t="str"/>
      <x:c r="J12" s="521" t="str"/>
      <x:c r="K12" s="521" t="str"/>
      <x:c r="L12" s="528" t="str"/>
      <x:c r="M12" s="6" t="str">
        <x:f>IF(H12="通过",IF(COUNTBLANK(I12:L12)=0,"记录齐全","待补证据"),H12)</x:f>
        <x:v>还没测</x:v>
      </x:c>
    </x:row>
    <x:row r="13" ht="123" customHeight="1">
      <x:c r="A13" s="523" t="str">
        <x:v>R08</x:v>
      </x:c>
      <x:c r="B13" s="523" t="str">
        <x:v>Q03</x:v>
      </x:c>
      <x:c r="C13" s="523" t="str">
        <x:v>设备链路</x:v>
      </x:c>
      <x:c r="D13" s="523" t="str">
        <x:v>必须先测</x:v>
      </x:c>
      <x:c r="E13" s="523" t="str">
        <x:v>反制完成后接续干扰
批准或明确授权的持续违规测试事件，测试设备可用。</x:v>
      </x:c>
      <x:c r="F13" s="523" t="str">
        <x:v>先确认反制回执，再观察干扰子授权、命令和回执。
留证：父子授权ID、两条命令及回执</x:v>
      </x:c>
      <x:c r="G13" s="523" t="str">
        <x:v>两次动作各有记录，父子授权可追溯；第二次不能套用第一次成功。</x:v>
      </x:c>
      <x:c r="H13" s="521" t="str">
        <x:v>还没测</x:v>
      </x:c>
      <x:c r="I13" s="521" t="str"/>
      <x:c r="J13" s="521" t="str"/>
      <x:c r="K13" s="521" t="str"/>
      <x:c r="L13" s="528" t="str"/>
      <x:c r="M13" s="6" t="str">
        <x:f>IF(H13="通过",IF(COUNTBLANK(I13:L13)=0,"记录齐全","待补证据"),H13)</x:f>
        <x:v>还没测</x:v>
      </x:c>
    </x:row>
    <x:row r="14" ht="123" customHeight="1">
      <x:c r="A14" s="527" t="str">
        <x:v>R09</x:v>
      </x:c>
      <x:c r="B14" s="527" t="str">
        <x:v>Q03</x:v>
      </x:c>
      <x:c r="C14" s="527" t="str">
        <x:v>设备链路</x:v>
      </x:c>
      <x:c r="D14" s="527" t="str">
        <x:v>必须先测</x:v>
      </x:c>
      <x:c r="E14" s="527" t="str">
        <x:v>反制完成但续链时依据失效
反制已回执，干扰续链前使有效观测过期。</x:v>
      </x:c>
      <x:c r="F14" s="527" t="str">
        <x:v>观察干扰是否仍被创建或下发。
留证：观测时间、阻断原因、设备收令</x:v>
      </x:c>
      <x:c r="G14" s="527" t="str">
        <x:v>旧观测不能支持新的干扰动作；反制已完成事实保留。</x:v>
      </x:c>
      <x:c r="H14" s="521" t="str">
        <x:v>还没测</x:v>
      </x:c>
      <x:c r="I14" s="521" t="str"/>
      <x:c r="J14" s="521" t="str"/>
      <x:c r="K14" s="521" t="str"/>
      <x:c r="L14" s="528" t="str"/>
      <x:c r="M14" s="6" t="str">
        <x:f>IF(H14="通过",IF(COUNTBLANK(I14:L14)=0,"记录齐全","待补证据"),H14)</x:f>
        <x:v>还没测</x:v>
      </x:c>
    </x:row>
    <x:row r="15" ht="123" customHeight="1">
      <x:c r="A15" s="523" t="str">
        <x:v>R10</x:v>
      </x:c>
      <x:c r="B15" s="523" t="str">
        <x:v>Q03</x:v>
      </x:c>
      <x:c r="C15" s="523" t="str">
        <x:v>设备链路</x:v>
      </x:c>
      <x:c r="D15" s="523" t="str">
        <x:v>必须先测</x:v>
      </x:c>
      <x:c r="E15" s="523" t="str">
        <x:v>直接授权到期后不能续链
DIRECT授权窗口将结束，干扰尚未发送。</x:v>
      </x:c>
      <x:c r="F15" s="523" t="str">
        <x:v>到期后让续链或队列检查运行。
留证：原有效期、检查时间、无新增指令证据</x:v>
      </x:c>
      <x:c r="G15" s="523" t="str">
        <x:v>不得延长原DIRECT窗口；未发送动作阻断，不伪造审批人。</x:v>
      </x:c>
      <x:c r="H15" s="521" t="str">
        <x:v>还没测</x:v>
      </x:c>
      <x:c r="I15" s="521" t="str"/>
      <x:c r="J15" s="521" t="str"/>
      <x:c r="K15" s="521" t="str"/>
      <x:c r="L15" s="528" t="str"/>
      <x:c r="M15" s="6" t="str">
        <x:f>IF(H15="通过",IF(COUNTBLANK(I15:L15)=0,"记录齐全","待补证据"),H15)</x:f>
        <x:v>还没测</x:v>
      </x:c>
    </x:row>
    <x:row r="16" ht="123" customHeight="1">
      <x:c r="A16" s="527" t="str">
        <x:v>R11</x:v>
      </x:c>
      <x:c r="B16" s="527" t="str">
        <x:v>Q03</x:v>
      </x:c>
      <x:c r="C16" s="527" t="str">
        <x:v>设备链路</x:v>
      </x:c>
      <x:c r="D16" s="527" t="str">
        <x:v>必须先测</x:v>
      </x:c>
      <x:c r="E16" s="527" t="str">
        <x:v>干扰失败不能算整链成功
反制成功，干扰测试设备返回失败或明确拒绝。</x:v>
      </x:c>
      <x:c r="F16" s="527" t="str">
        <x:v>查两段授权、告警详情和自动交接。
留证：两段结果、交接查询、设备日志</x:v>
      </x:c>
      <x:c r="G16" s="527" t="str">
        <x:v>反制成功与干扰失败分别显示；不能凭反制成功触发干扰完成分支。</x:v>
      </x:c>
      <x:c r="H16" s="521" t="str">
        <x:v>还没测</x:v>
      </x:c>
      <x:c r="I16" s="521" t="str"/>
      <x:c r="J16" s="521" t="str"/>
      <x:c r="K16" s="521" t="str"/>
      <x:c r="L16" s="528" t="str"/>
      <x:c r="M16" s="6" t="str">
        <x:f>IF(H16="通过",IF(COUNTBLANK(I16:L16)=0,"记录齐全","待补证据"),H16)</x:f>
        <x:v>还没测</x:v>
      </x:c>
    </x:row>
    <x:row r="17" ht="123" customHeight="1">
      <x:c r="A17" s="523" t="str">
        <x:v>R12</x:v>
      </x:c>
      <x:c r="B17" s="523" t="str">
        <x:v>Q04</x:v>
      </x:c>
      <x:c r="C17" s="523" t="str">
        <x:v>处罚交接</x:v>
      </x:c>
      <x:c r="D17" s="523" t="str">
        <x:v>必须先测</x:v>
      </x:c>
      <x:c r="E17" s="523" t="str">
        <x:v>未反制的属实事件人工交接
属实事件、可见范围、handoff:create及可用接收方齐全；没有反制记录。</x:v>
      </x:c>
      <x:c r="F17" s="523" t="str">
        <x:v>通过现有获准入口提交；若仅有接口由开发配合并记录前台入口缺口。
留证：事件、提交入口、交接及入口缺口</x:v>
      </x:c>
      <x:c r="G17" s="523" t="str">
        <x:v>服务端不以反制未完成为由拒绝；其他条件仍检查。接口通过不代替前台流程通过。</x:v>
      </x:c>
      <x:c r="H17" s="521" t="str">
        <x:v>还没测</x:v>
      </x:c>
      <x:c r="I17" s="521" t="str"/>
      <x:c r="J17" s="521" t="str"/>
      <x:c r="K17" s="521" t="str"/>
      <x:c r="L17" s="528" t="str"/>
      <x:c r="M17" s="6" t="str">
        <x:f>IF(H17="通过",IF(COUNTBLANK(I17:L17)=0,"记录齐全","待补证据"),H17)</x:f>
        <x:v>还没测</x:v>
      </x:c>
    </x:row>
    <x:row r="18" ht="123" customHeight="1">
      <x:c r="A18" s="527" t="str">
        <x:v>R13</x:v>
      </x:c>
      <x:c r="B18" s="527" t="str">
        <x:v>Q04</x:v>
      </x:c>
      <x:c r="C18" s="527" t="str">
        <x:v>处罚交接</x:v>
      </x:c>
      <x:c r="D18" s="527" t="str">
        <x:v>必须先测</x:v>
      </x:c>
      <x:c r="E18" s="527" t="str">
        <x:v>仅完成反制不等于自动交接条件齐全
反制完成，干扰仍未完成，未人工建立交接。</x:v>
      </x:c>
      <x:c r="F18" s="527" t="str">
        <x:v>观察后台自动建交接和通知记录。
留证：两段状态、调度、交接查询</x:v>
      </x:c>
      <x:c r="G18" s="527" t="str">
        <x:v>不能把反制完成直接当干扰完成；实际自动交接触发条件需满足。</x:v>
      </x:c>
      <x:c r="H18" s="521" t="str">
        <x:v>还没测</x:v>
      </x:c>
      <x:c r="I18" s="521" t="str"/>
      <x:c r="J18" s="521" t="str"/>
      <x:c r="K18" s="521" t="str"/>
      <x:c r="L18" s="528" t="str"/>
      <x:c r="M18" s="6" t="str">
        <x:f>IF(H18="通过",IF(COUNTBLANK(I18:L18)=0,"记录齐全","待补证据"),H18)</x:f>
        <x:v>还没测</x:v>
      </x:c>
    </x:row>
    <x:row r="19" ht="123" customHeight="1">
      <x:c r="A19" s="523" t="str">
        <x:v>R14</x:v>
      </x:c>
      <x:c r="B19" s="523" t="str">
        <x:v>Q04</x:v>
      </x:c>
      <x:c r="C19" s="523" t="str">
        <x:v>处罚交接</x:v>
      </x:c>
      <x:c r="D19" s="523" t="str">
        <x:v>重要检查</x:v>
      </x:c>
      <x:c r="E19" s="523" t="str">
        <x:v>接收方不是唯一时自动交接
干扰完成，存在两个有效处罚接收方。</x:v>
      </x:c>
      <x:c r="F19" s="523" t="str">
        <x:v>等待调度，查看阻断和可用人工处理入口。
留证：接收方配置、交接查询、提示</x:v>
      </x:c>
      <x:c r="G19" s="523" t="str">
        <x:v>当前自动建交接不应任意挑一个；说明缺少唯一接收方，不假装已送达。</x:v>
      </x:c>
      <x:c r="H19" s="521" t="str">
        <x:v>还没测</x:v>
      </x:c>
      <x:c r="I19" s="521" t="str"/>
      <x:c r="J19" s="521" t="str"/>
      <x:c r="K19" s="521" t="str"/>
      <x:c r="L19" s="528" t="str"/>
      <x:c r="M19" s="6" t="str">
        <x:f>IF(H19="通过",IF(COUNTBLANK(I19:L19)=0,"记录齐全","待补证据"),H19)</x:f>
        <x:v>还没测</x:v>
      </x:c>
    </x:row>
    <x:row r="20" ht="123" customHeight="1">
      <x:c r="A20" s="527" t="str">
        <x:v>R15</x:v>
      </x:c>
      <x:c r="B20" s="527" t="str">
        <x:v>Q04</x:v>
      </x:c>
      <x:c r="C20" s="527" t="str">
        <x:v>处罚交接</x:v>
      </x:c>
      <x:c r="D20" s="527" t="str">
        <x:v>必须先测</x:v>
      </x:c>
      <x:c r="E20" s="527" t="str">
        <x:v>迟到签收不改成处罚办结
模拟通知已送达且签收超时。</x:v>
      </x:c>
      <x:c r="F20" s="527" t="str">
        <x:v>补入与原交接对应的有效迟到签收回执。
留证：原交接ID、回执ID、结果页</x:v>
      </x:c>
      <x:c r="G20" s="527" t="str">
        <x:v>只更新对应投递或签收事实；不另建交接、不自动形成处罚决定。</x:v>
      </x:c>
      <x:c r="H20" s="521" t="str">
        <x:v>还没测</x:v>
      </x:c>
      <x:c r="I20" s="521" t="str"/>
      <x:c r="J20" s="521" t="str"/>
      <x:c r="K20" s="521" t="str"/>
      <x:c r="L20" s="528" t="str"/>
      <x:c r="M20" s="6" t="str">
        <x:f>IF(H20="通过",IF(COUNTBLANK(I20:L20)=0,"记录齐全","待补证据"),H20)</x:f>
        <x:v>还没测</x:v>
      </x:c>
    </x:row>
    <x:row r="21" ht="123" customHeight="1">
      <x:c r="A21" s="523" t="str">
        <x:v>R16</x:v>
      </x:c>
      <x:c r="B21" s="523" t="str">
        <x:v>Q05</x:v>
      </x:c>
      <x:c r="C21" s="523" t="str">
        <x:v>通知计时</x:v>
      </x:c>
      <x:c r="D21" s="523" t="str">
        <x:v>必须先测</x:v>
      </x:c>
      <x:c r="E21" s="523" t="str">
        <x:v>短信送达后3秒节点
有飞手、短信电话均可用，目标持续有效在域。</x:v>
      </x:c>
      <x:c r="F21" s="523" t="str">
        <x:v>以短信送达时刻起计，在3秒前后记录电话和阶段。
留证：送达、电话任务、观测的时间戳</x:v>
      </x:c>
      <x:c r="G21" s="523" t="str">
        <x:v>按现有10秒约定此时不能提前打电话；若3秒已升级记录缺陷，不改预期凑通过。</x:v>
      </x:c>
      <x:c r="H21" s="521" t="str">
        <x:v>还没测</x:v>
      </x:c>
      <x:c r="I21" s="521" t="str"/>
      <x:c r="J21" s="521" t="str"/>
      <x:c r="K21" s="521" t="str"/>
      <x:c r="L21" s="528" t="str"/>
      <x:c r="M21" s="6" t="str">
        <x:f>IF(H21="通过",IF(COUNTBLANK(I21:L21)=0,"记录齐全","待补证据"),H21)</x:f>
        <x:v>还没测</x:v>
      </x:c>
    </x:row>
    <x:row r="22" ht="123" customHeight="1">
      <x:c r="A22" s="527" t="str">
        <x:v>R17</x:v>
      </x:c>
      <x:c r="B22" s="527" t="str">
        <x:v>Q05</x:v>
      </x:c>
      <x:c r="C22" s="527" t="str">
        <x:v>通知计时</x:v>
      </x:c>
      <x:c r="D22" s="527" t="str">
        <x:v>必须先测</x:v>
      </x:c>
      <x:c r="E22" s="527" t="str">
        <x:v>短信送达后10秒节点
目标持续在域且短信已送达。</x:v>
      </x:c>
      <x:c r="F22" s="527" t="str">
        <x:v>在10秒前后记录新位置和电话任务；同时记录调度周期。
留证：送达、有效位置、任务创建时间</x:v>
      </x:c>
      <x:c r="G22" s="527" t="str">
        <x:v>满10秒且当前依据满足后才允许升级；允许的调度延迟需记录，不把提前触发算正常。</x:v>
      </x:c>
      <x:c r="H22" s="521" t="str">
        <x:v>还没测</x:v>
      </x:c>
      <x:c r="I22" s="521" t="str"/>
      <x:c r="J22" s="521" t="str"/>
      <x:c r="K22" s="521" t="str"/>
      <x:c r="L22" s="528" t="str"/>
      <x:c r="M22" s="6" t="str">
        <x:f>IF(H22="通过",IF(COUNTBLANK(I22:L22)=0,"记录齐全","待补证据"),H22)</x:f>
        <x:v>还没测</x:v>
      </x:c>
    </x:row>
    <x:row r="23" ht="123" customHeight="1">
      <x:c r="A23" s="523" t="str">
        <x:v>R18</x:v>
      </x:c>
      <x:c r="B23" s="523" t="str">
        <x:v>Q05</x:v>
      </x:c>
      <x:c r="C23" s="523" t="str">
        <x:v>通知计时</x:v>
      </x:c>
      <x:c r="D23" s="523" t="str">
        <x:v>必须先测</x:v>
      </x:c>
      <x:c r="E23" s="523" t="str">
        <x:v>电话播放后10秒节点
电话播放完成，目标持续上报有效位置。</x:v>
      </x:c>
      <x:c r="F23" s="523" t="str">
        <x:v>以播放完成时刻起计检查9秒和10秒后的阶段。
留证：拨号、播放完成、阶段时间</x:v>
      </x:c>
      <x:c r="G23" s="523" t="str">
        <x:v>观察未满不升级；满足当前条件后进入待反制。拨号时间不冒充播放完成时间。</x:v>
      </x:c>
      <x:c r="H23" s="521" t="str">
        <x:v>还没测</x:v>
      </x:c>
      <x:c r="I23" s="521" t="str"/>
      <x:c r="J23" s="521" t="str"/>
      <x:c r="K23" s="521" t="str"/>
      <x:c r="L23" s="528" t="str"/>
      <x:c r="M23" s="6" t="str">
        <x:f>IF(H23="通过",IF(COUNTBLANK(I23:L23)=0,"记录齐全","待补证据"),H23)</x:f>
        <x:v>还没测</x:v>
      </x:c>
    </x:row>
    <x:row r="24" ht="123" customHeight="1">
      <x:c r="A24" s="527" t="str">
        <x:v>R19</x:v>
      </x:c>
      <x:c r="B24" s="527" t="str">
        <x:v>Q05</x:v>
      </x:c>
      <x:c r="C24" s="527" t="str">
        <x:v>通知计时</x:v>
      </x:c>
      <x:c r="D24" s="527" t="str">
        <x:v>必须先测</x:v>
      </x:c>
      <x:c r="E24" s="527" t="str">
        <x:v>短信只有提交没有送达
短信返回提交成功，但不提供送达回执。</x:v>
      </x:c>
      <x:c r="F24" s="527" t="str">
        <x:v>持续观察前台通知进度与电话任务。
留证：发送记录、回执查询、阶段</x:v>
      </x:c>
      <x:c r="G24" s="527" t="str">
        <x:v>不能以点击或提交时间冒充送达时间启动后续计时；真实未送达或未知要保留。</x:v>
      </x:c>
      <x:c r="H24" s="521" t="str">
        <x:v>还没测</x:v>
      </x:c>
      <x:c r="I24" s="521" t="str"/>
      <x:c r="J24" s="521" t="str"/>
      <x:c r="K24" s="521" t="str"/>
      <x:c r="L24" s="528" t="str"/>
      <x:c r="M24" s="6" t="str">
        <x:f>IF(H24="通过",IF(COUNTBLANK(I24:L24)=0,"记录齐全","待补证据"),H24)</x:f>
        <x:v>还没测</x:v>
      </x:c>
    </x:row>
    <x:row r="25" ht="123" customHeight="1">
      <x:c r="A25" s="523" t="str">
        <x:v>R20</x:v>
      </x:c>
      <x:c r="B25" s="523" t="str">
        <x:v>Q06</x:v>
      </x:c>
      <x:c r="C25" s="523" t="str">
        <x:v>异物风险</x:v>
      </x:c>
      <x:c r="D25" s="523" t="str">
        <x:v>必须先测</x:v>
      </x:c>
      <x:c r="E25" s="523" t="str">
        <x:v>鸟进入重点区域全流程
鸟类输入与重点区域资料齐全，模拟上级通知可用。</x:v>
      </x:c>
      <x:c r="F25" s="523" t="str">
        <x:v>按F27跑发现、风险、核验、通知、反馈和历史。
留证：目标、风险、通知、回执和历史ID</x:v>
      </x:c>
      <x:c r="G25" s="523" t="str">
        <x:v>进入风险主线，不因没计划判黑飞或走无人机反制链。</x:v>
      </x:c>
      <x:c r="H25" s="521" t="str">
        <x:v>还没测</x:v>
      </x:c>
      <x:c r="I25" s="521" t="str"/>
      <x:c r="J25" s="521" t="str"/>
      <x:c r="K25" s="521" t="str"/>
      <x:c r="L25" s="528" t="str"/>
      <x:c r="M25" s="6" t="str">
        <x:f>IF(H25="通过",IF(COUNTBLANK(I25:L25)=0,"记录齐全","待补证据"),H25)</x:f>
        <x:v>还没测</x:v>
      </x:c>
    </x:row>
    <x:row r="26" ht="123" customHeight="1">
      <x:c r="A26" s="527" t="str">
        <x:v>R21</x:v>
      </x:c>
      <x:c r="B26" s="527" t="str">
        <x:v>Q06</x:v>
      </x:c>
      <x:c r="C26" s="527" t="str">
        <x:v>异物风险</x:v>
      </x:c>
      <x:c r="D26" s="527" t="str">
        <x:v>必须先测</x:v>
      </x:c>
      <x:c r="E26" s="527" t="str">
        <x:v>上级签收但鸟群仍在
同一鸟群风险已通知并签收，继续上报风险位置。</x:v>
      </x:c>
      <x:c r="F26" s="527" t="str">
        <x:v>回到空域与飞行计划当前风险列表。
留证：签收、持续观测、当前风险</x:v>
      </x:c>
      <x:c r="G26" s="527" t="str">
        <x:v>风险仍按实际依据存在；签收不自动清除，历史通知保留。</x:v>
      </x:c>
      <x:c r="H26" s="521" t="str">
        <x:v>还没测</x:v>
      </x:c>
      <x:c r="I26" s="521" t="str"/>
      <x:c r="J26" s="521" t="str"/>
      <x:c r="K26" s="521" t="str"/>
      <x:c r="L26" s="528" t="str"/>
      <x:c r="M26" s="6" t="str">
        <x:f>IF(H26="通过",IF(COUNTBLANK(I26:L26)=0,"记录齐全","待补证据"),H26)</x:f>
        <x:v>还没测</x:v>
      </x:c>
    </x:row>
    <x:row r="27" ht="123" customHeight="1">
      <x:c r="A27" s="523" t="str">
        <x:v>R22</x:v>
      </x:c>
      <x:c r="B27" s="523" t="str">
        <x:v>Q08</x:v>
      </x:c>
      <x:c r="C27" s="523" t="str">
        <x:v>类别来源</x:v>
      </x:c>
      <x:c r="D27" s="523" t="str">
        <x:v>重要检查</x:v>
      </x:c>
      <x:c r="E27" s="523" t="str">
        <x:v>气球细分类来自算法
使用可追溯算法样本，上游原始类别为未知或识别中。</x:v>
      </x:c>
      <x:c r="F27" s="523" t="str">
        <x:v>看类别、细分类、来源与算法版本说明。
留证：原始类别、算法结果、前台标签</x:v>
      </x:c>
      <x:c r="G27" s="523" t="str">
        <x:v>不伪称设备直接识别；能力未验证时明确算法推断或未知。</x:v>
      </x:c>
      <x:c r="H27" s="521" t="str">
        <x:v>还没测</x:v>
      </x:c>
      <x:c r="I27" s="521" t="str"/>
      <x:c r="J27" s="521" t="str"/>
      <x:c r="K27" s="521" t="str"/>
      <x:c r="L27" s="528" t="str"/>
      <x:c r="M27" s="6" t="str">
        <x:f>IF(H27="通过",IF(COUNTBLANK(I27:L27)=0,"记录齐全","待补证据"),H27)</x:f>
        <x:v>还没测</x:v>
      </x:c>
    </x:row>
    <x:row r="28" ht="123" customHeight="1">
      <x:c r="A28" s="527" t="str">
        <x:v>R23</x:v>
      </x:c>
      <x:c r="B28" s="527" t="str">
        <x:v>Q08</x:v>
      </x:c>
      <x:c r="C28" s="527" t="str">
        <x:v>类别来源</x:v>
      </x:c>
      <x:c r="D28" s="527" t="str">
        <x:v>必须先测</x:v>
      </x:c>
      <x:c r="E28" s="527" t="str">
        <x:v>识别中目标不强行判无人机
输入协议255或当前协议等价识别中目标。</x:v>
      </x:c>
      <x:c r="F28" s="527" t="str">
        <x:v>看融合感知、合法性、风险和自动动作。
留证：原始枚举、目标详情、自动记录</x:v>
      </x:c>
      <x:c r="G28" s="527" t="str">
        <x:v>未知/识别中如实显示，不默认无人机或合法，不误触发无人机反制。</x:v>
      </x:c>
      <x:c r="H28" s="521" t="str">
        <x:v>还没测</x:v>
      </x:c>
      <x:c r="I28" s="521" t="str"/>
      <x:c r="J28" s="521" t="str"/>
      <x:c r="K28" s="521" t="str"/>
      <x:c r="L28" s="528" t="str"/>
      <x:c r="M28" s="6" t="str">
        <x:f>IF(H28="通过",IF(COUNTBLANK(I28:L28)=0,"记录齐全","待补证据"),H28)</x:f>
        <x:v>还没测</x:v>
      </x:c>
    </x:row>
    <x:row r="29" ht="123" customHeight="1">
      <x:c r="A29" s="523" t="str">
        <x:v>R24</x:v>
      </x:c>
      <x:c r="B29" s="523" t="str">
        <x:v>Q08</x:v>
      </x:c>
      <x:c r="C29" s="523" t="str">
        <x:v>统计口径</x:v>
      </x:c>
      <x:c r="D29" s="523" t="str">
        <x:v>重要检查</x:v>
      </x:c>
      <x:c r="E29" s="523" t="str">
        <x:v>遥控器不能多算一架无人机
同一批次输入无人机与关联遥控器。</x:v>
      </x:c>
      <x:c r="F29" s="523" t="str">
        <x:v>核对两个对象身份、关联以及无人机统计。
留证：原始报文、关联、统计</x:v>
      </x:c>
      <x:c r="G29" s="523" t="str">
        <x:v>位置对象可以分别记录，但不能把遥控器算成第二架无人机；来源可追溯。</x:v>
      </x:c>
      <x:c r="H29" s="521" t="str">
        <x:v>还没测</x:v>
      </x:c>
      <x:c r="I29" s="521" t="str"/>
      <x:c r="J29" s="521" t="str"/>
      <x:c r="K29" s="521" t="str"/>
      <x:c r="L29" s="528" t="str"/>
      <x:c r="M29" s="6" t="str">
        <x:f>IF(H29="通过",IF(COUNTBLANK(I29:L29)=0,"记录齐全","待补证据"),H29)</x:f>
        <x:v>还没测</x:v>
      </x:c>
    </x:row>
    <x:row r="30" ht="123" customHeight="1">
      <x:c r="A30" s="527" t="str">
        <x:v>R25</x:v>
      </x:c>
      <x:c r="B30" s="527" t="str">
        <x:v>Q07</x:v>
      </x:c>
      <x:c r="C30" s="527" t="str">
        <x:v>三路融合</x:v>
      </x:c>
      <x:c r="D30" s="527" t="str">
        <x:v>必须先测</x:v>
      </x:c>
      <x:c r="E30" s="527" t="str">
        <x:v>三路观察同一个目标
融合箱、5G-A、TDOA三路使用一致时空的同一目标样本。</x:v>
      </x:c>
      <x:c r="F30" s="527" t="str">
        <x:v>按F28核对原始来源及统一目标。
留证：三路输入、统一目标ID、轨迹ID</x:v>
      </x:c>
      <x:c r="G30" s="527" t="str">
        <x:v>保留三路来源映射，统一目标不重复计数；不能只换来源标签假装三路接入。</x:v>
      </x:c>
      <x:c r="H30" s="521" t="str">
        <x:v>还没测</x:v>
      </x:c>
      <x:c r="I30" s="521" t="str"/>
      <x:c r="J30" s="521" t="str"/>
      <x:c r="K30" s="521" t="str"/>
      <x:c r="L30" s="528" t="str"/>
      <x:c r="M30" s="6" t="str">
        <x:f>IF(H30="通过",IF(COUNTBLANK(I30:L30)=0,"记录齐全","待补证据"),H30)</x:f>
        <x:v>还没测</x:v>
      </x:c>
    </x:row>
    <x:row r="31" ht="123" customHeight="1">
      <x:c r="A31" s="523" t="str">
        <x:v>R26</x:v>
      </x:c>
      <x:c r="B31" s="523" t="str">
        <x:v>Q07</x:v>
      </x:c>
      <x:c r="C31" s="523" t="str">
        <x:v>三路融合</x:v>
      </x:c>
      <x:c r="D31" s="523" t="str">
        <x:v>必须先测</x:v>
      </x:c>
      <x:c r="E31" s="523" t="str">
        <x:v>两个相邻目标不能误合并
三路同时观测两架相近且交叉飞行的目标。</x:v>
      </x:c>
      <x:c r="F31" s="523" t="str">
        <x:v>回放相遇前、中、后，核对各目标来源与轨迹。
留证：样本真值、原始与融合ID序列</x:v>
      </x:c>
      <x:c r="G31" s="523" t="str">
        <x:v>不互换身份，不把两架合成一架；异常要能按原始记录定位。</x:v>
      </x:c>
      <x:c r="H31" s="521" t="str">
        <x:v>还没测</x:v>
      </x:c>
      <x:c r="I31" s="521" t="str"/>
      <x:c r="J31" s="521" t="str"/>
      <x:c r="K31" s="521" t="str"/>
      <x:c r="L31" s="528" t="str"/>
      <x:c r="M31" s="6" t="str">
        <x:f>IF(H31="通过",IF(COUNTBLANK(I31:L31)=0,"记录齐全","待补证据"),H31)</x:f>
        <x:v>还没测</x:v>
      </x:c>
    </x:row>
    <x:row r="32" ht="123" customHeight="1">
      <x:c r="A32" s="527" t="str">
        <x:v>R27</x:v>
      </x:c>
      <x:c r="B32" s="527" t="str">
        <x:v>Q07</x:v>
      </x:c>
      <x:c r="C32" s="527" t="str">
        <x:v>三路融合</x:v>
      </x:c>
      <x:c r="D32" s="527" t="str">
        <x:v>重要检查</x:v>
      </x:c>
      <x:c r="E32" s="527" t="str">
        <x:v>只有雷达也保留有效轨迹
TDOA及5G-A不发送，雷达持续正常上报。</x:v>
      </x:c>
      <x:c r="F32" s="527" t="str">
        <x:v>看原始点、轨迹、来源与降级说明。
留证：雷达原始帧、轨迹、来源</x:v>
      </x:c>
      <x:c r="G32" s="527" t="str">
        <x:v>能按现有算法形成轨迹；缺少辅助来源如实说明，不编造身份及可靠度。</x:v>
      </x:c>
      <x:c r="H32" s="521" t="str">
        <x:v>还没测</x:v>
      </x:c>
      <x:c r="I32" s="521" t="str"/>
      <x:c r="J32" s="521" t="str"/>
      <x:c r="K32" s="521" t="str"/>
      <x:c r="L32" s="528" t="str"/>
      <x:c r="M32" s="6" t="str">
        <x:f>IF(H32="通过",IF(COUNTBLANK(I32:L32)=0,"记录齐全","待补证据"),H32)</x:f>
        <x:v>还没测</x:v>
      </x:c>
    </x:row>
    <x:row r="33" ht="123" customHeight="1">
      <x:c r="A33" s="523" t="str">
        <x:v>R28</x:v>
      </x:c>
      <x:c r="B33" s="523" t="str">
        <x:v>Q07</x:v>
      </x:c>
      <x:c r="C33" s="523" t="str">
        <x:v>三路融合</x:v>
      </x:c>
      <x:c r="D33" s="523" t="str">
        <x:v>重要检查</x:v>
      </x:c>
      <x:c r="E33" s="523" t="str">
        <x:v>一路掉线后恢复
三路已稳定观测，只停止TDOA一路再恢复。</x:v>
      </x:c>
      <x:c r="F33" s="523" t="str">
        <x:v>检查来源健康、目标连续性、来源恢复过程。
留证：停发/恢复时间、目标ID序列</x:v>
      </x:c>
      <x:c r="G33" s="523" t="str">
        <x:v>不凭掉线判飞离，不新建重复目标；降级可见、恢复可追溯。</x:v>
      </x:c>
      <x:c r="H33" s="521" t="str">
        <x:v>还没测</x:v>
      </x:c>
      <x:c r="I33" s="521" t="str"/>
      <x:c r="J33" s="521" t="str"/>
      <x:c r="K33" s="521" t="str"/>
      <x:c r="L33" s="528" t="str"/>
      <x:c r="M33" s="6" t="str">
        <x:f>IF(H33="通过",IF(COUNTBLANK(I33:L33)=0,"记录齐全","待补证据"),H33)</x:f>
        <x:v>还没测</x:v>
      </x:c>
    </x:row>
    <x:row r="34" ht="123" customHeight="1">
      <x:c r="A34" s="527" t="str">
        <x:v>R29</x:v>
      </x:c>
      <x:c r="B34" s="527" t="str">
        <x:v>Q07</x:v>
      </x:c>
      <x:c r="C34" s="527" t="str">
        <x:v>三路融合</x:v>
      </x:c>
      <x:c r="D34" s="527" t="str">
        <x:v>重要检查</x:v>
      </x:c>
      <x:c r="E34" s="527" t="str">
        <x:v>重复乱序和未来时间数据
一条固定轨迹，另发送相同记录、旧时刻点和未来时刻点。</x:v>
      </x:c>
      <x:c r="F34" s="527" t="str">
        <x:v>每个输入单独保存处理结果，检查当前位置及告警。
留证：原始时间、接收时间、处理结果</x:v>
      </x:c>
      <x:c r="G34" s="527" t="str">
        <x:v>按契约去重和隔离异常时间；旧点不顶掉新位置，未来点不让有效性永久通过。</x:v>
      </x:c>
      <x:c r="H34" s="521" t="str">
        <x:v>还没测</x:v>
      </x:c>
      <x:c r="I34" s="521" t="str"/>
      <x:c r="J34" s="521" t="str"/>
      <x:c r="K34" s="521" t="str"/>
      <x:c r="L34" s="528" t="str"/>
      <x:c r="M34" s="6" t="str">
        <x:f>IF(H34="通过",IF(COUNTBLANK(I34:L34)=0,"记录齐全","待补证据"),H34)</x:f>
        <x:v>还没测</x:v>
      </x:c>
    </x:row>
    <x:row r="35" ht="123" customHeight="1">
      <x:c r="A35" s="523" t="str">
        <x:v>R30</x:v>
      </x:c>
      <x:c r="B35" s="523" t="str">
        <x:v>Q07</x:v>
      </x:c>
      <x:c r="C35" s="523" t="str">
        <x:v>三路融合</x:v>
      </x:c>
      <x:c r="D35" s="523" t="str">
        <x:v>必须先测</x:v>
      </x:c>
      <x:c r="E35" s="523" t="str">
        <x:v>恢复后历史补传不触发新动作
断连期间缓存旧违规样本，恢复后标为补传。</x:v>
      </x:c>
      <x:c r="F35" s="523" t="str">
        <x:v>回查历史、实时态势、告警和设备指令。
留证：补传标记、原始时间、实时动作查询</x:v>
      </x:c>
      <x:c r="G35" s="523" t="str">
        <x:v>补传按确认策略进历史，不当最新观测重触发通知或反制；若当前不支持需记录缺口。</x:v>
      </x:c>
      <x:c r="H35" s="521" t="str">
        <x:v>还没测</x:v>
      </x:c>
      <x:c r="I35" s="521" t="str"/>
      <x:c r="J35" s="521" t="str"/>
      <x:c r="K35" s="521" t="str"/>
      <x:c r="L35" s="528" t="str"/>
      <x:c r="M35" s="6" t="str">
        <x:f>IF(H35="通过",IF(COUNTBLANK(I35:L35)=0,"记录齐全","待补证据"),H35)</x:f>
        <x:v>还没测</x:v>
      </x:c>
    </x:row>
    <x:row r="36" ht="123" customHeight="1">
      <x:c r="A36" s="527" t="str">
        <x:v>R31</x:v>
      </x:c>
      <x:c r="B36" s="527" t="str">
        <x:v>Q08</x:v>
      </x:c>
      <x:c r="C36" s="527" t="str">
        <x:v>设备能力</x:v>
      </x:c>
      <x:c r="D36" s="527" t="str">
        <x:v>重要检查</x:v>
      </x:c>
      <x:c r="E36" s="527" t="str">
        <x:v>当前数据源不虚构ADS-B
以已登记协议版本和三路来源运行。</x:v>
      </x:c>
      <x:c r="F36" s="527" t="str">
        <x:v>核对来源选项、详情与模拟数据标签。
留证：协议清单、前台来源</x:v>
      </x:c>
      <x:c r="G36" s="527" t="str">
        <x:v>V1.1范围内不虚构ADS-B来源；若后来接入须有新增协议与确认记录。</x:v>
      </x:c>
      <x:c r="H36" s="521" t="str">
        <x:v>还没测</x:v>
      </x:c>
      <x:c r="I36" s="521" t="str"/>
      <x:c r="J36" s="521" t="str"/>
      <x:c r="K36" s="521" t="str"/>
      <x:c r="L36" s="528" t="str"/>
      <x:c r="M36" s="6" t="str">
        <x:f>IF(H36="通过",IF(COUNTBLANK(I36:L36)=0,"记录齐全","待补证据"),H36)</x:f>
        <x:v>还没测</x:v>
      </x:c>
    </x:row>
    <x:row r="37" ht="123" customHeight="1">
      <x:c r="A37" s="523" t="str">
        <x:v>R32</x:v>
      </x:c>
      <x:c r="B37" s="523" t="str">
        <x:v>Q08</x:v>
      </x:c>
      <x:c r="C37" s="523" t="str">
        <x:v>光电联动</x:v>
      </x:c>
      <x:c r="D37" s="523" t="str">
        <x:v>必须先测</x:v>
      </x:c>
      <x:c r="E37" s="523" t="str">
        <x:v>雷达目标交给光电跟踪
雷达目标有效，测试光电设备支持任务式跟踪。</x:v>
      </x:c>
      <x:c r="F37" s="523" t="str">
        <x:v>按F29下任务，核对目标、设备、回执、视频和证据。
留证：雷达轨迹、光电任务、画面关联</x:v>
      </x:c>
      <x:c r="G37" s="523" t="str">
        <x:v>任务受理、跟踪和视频可用分开显示；画面不能串到旁边目标。</x:v>
      </x:c>
      <x:c r="H37" s="521" t="str">
        <x:v>还没测</x:v>
      </x:c>
      <x:c r="I37" s="521" t="str"/>
      <x:c r="J37" s="521" t="str"/>
      <x:c r="K37" s="521" t="str"/>
      <x:c r="L37" s="528" t="str"/>
      <x:c r="M37" s="6" t="str">
        <x:f>IF(H37="通过",IF(COUNTBLANK(I37:L37)=0,"记录齐全","待补证据"),H37)</x:f>
        <x:v>还没测</x:v>
      </x:c>
    </x:row>
    <x:row r="38" ht="123" customHeight="1">
      <x:c r="A38" s="527" t="str">
        <x:v>R33</x:v>
      </x:c>
      <x:c r="B38" s="527" t="str">
        <x:v>Q08</x:v>
      </x:c>
      <x:c r="C38" s="527" t="str">
        <x:v>设备能力</x:v>
      </x:c>
      <x:c r="D38" s="527" t="str">
        <x:v>重要检查</x:v>
      </x:c>
      <x:c r="E38" s="527" t="str">
        <x:v>不支持的云台动作有说明
协议将角度定位或CameraStatus标为不支持/待确认。</x:v>
      </x:c>
      <x:c r="F38" s="527" t="str">
        <x:v>查看业务跟踪和后台对应调测能力。
留证：协议版本、能力提示、任务结果</x:v>
      </x:c>
      <x:c r="G38" s="527" t="str">
        <x:v>不把暂不支持能力验为可用；任务式跟踪不被无关点动能力误阻断。</x:v>
      </x:c>
      <x:c r="H38" s="521" t="str">
        <x:v>还没测</x:v>
      </x:c>
      <x:c r="I38" s="521" t="str"/>
      <x:c r="J38" s="521" t="str"/>
      <x:c r="K38" s="521" t="str"/>
      <x:c r="L38" s="528" t="str"/>
      <x:c r="M38" s="6" t="str">
        <x:f>IF(H38="通过",IF(COUNTBLANK(I38:L38)=0,"记录齐全","待补证据"),H38)</x:f>
        <x:v>还没测</x:v>
      </x:c>
    </x:row>
    <x:row r="39" ht="123" customHeight="1">
      <x:c r="A39" s="523" t="str">
        <x:v>R34</x:v>
      </x:c>
      <x:c r="B39" s="523" t="str">
        <x:v>Q09</x:v>
      </x:c>
      <x:c r="C39" s="523" t="str">
        <x:v>空间规则</x:v>
      </x:c>
      <x:c r="D39" s="523" t="str">
        <x:v>必须先测</x:v>
      </x:c>
      <x:c r="E39" s="523" t="str">
        <x:v>真高与海拔高分别比较
目标真高80米、海拔130米；准备真高限100和海拔限120两组空域。</x:v>
      </x:c>
      <x:c r="F39" s="523" t="str">
        <x:v>分别进入两组空间并查看判定依据。
留证：目标双高度、空域基准、判定明细</x:v>
      </x:c>
      <x:c r="G39" s="523" t="str">
        <x:v>同基准比较：真高组不因130误报，海拔组按130超120判断。</x:v>
      </x:c>
      <x:c r="H39" s="521" t="str">
        <x:v>还没测</x:v>
      </x:c>
      <x:c r="I39" s="521" t="str"/>
      <x:c r="J39" s="521" t="str"/>
      <x:c r="K39" s="521" t="str"/>
      <x:c r="L39" s="528" t="str"/>
      <x:c r="M39" s="6" t="str">
        <x:f>IF(H39="通过",IF(COUNTBLANK(I39:L39)=0,"记录齐全","待补证据"),H39)</x:f>
        <x:v>还没测</x:v>
      </x:c>
    </x:row>
    <x:row r="40" ht="123" customHeight="1">
      <x:c r="A40" s="527" t="str">
        <x:v>R35</x:v>
      </x:c>
      <x:c r="B40" s="527" t="str">
        <x:v>Q09</x:v>
      </x:c>
      <x:c r="C40" s="527" t="str">
        <x:v>空间规则</x:v>
      </x:c>
      <x:c r="D40" s="527" t="str">
        <x:v>必须先测</x:v>
      </x:c>
      <x:c r="E40" s="527" t="str">
        <x:v>只有一种高度不能代替另一种
空域要求AGL，目标只有AMSL，其他条件正常。</x:v>
      </x:c>
      <x:c r="F40" s="527" t="str">
        <x:v>查看研判和后续自动动作。
留证：输入字段、研判缺口、动作查询</x:v>
      </x:c>
      <x:c r="G40" s="527" t="str">
        <x:v>缺少同基准高度显示未知或缺依据，不用海拔代替真高，不自动通过。</x:v>
      </x:c>
      <x:c r="H40" s="521" t="str">
        <x:v>还没测</x:v>
      </x:c>
      <x:c r="I40" s="521" t="str"/>
      <x:c r="J40" s="521" t="str"/>
      <x:c r="K40" s="521" t="str"/>
      <x:c r="L40" s="528" t="str"/>
      <x:c r="M40" s="6" t="str">
        <x:f>IF(H40="通过",IF(COUNTBLANK(I40:L40)=0,"记录齐全","待补证据"),H40)</x:f>
        <x:v>还没测</x:v>
      </x:c>
    </x:row>
    <x:row r="41" ht="123" customHeight="1">
      <x:c r="A41" s="523" t="str">
        <x:v>R36</x:v>
      </x:c>
      <x:c r="B41" s="523" t="str">
        <x:v>Q09</x:v>
      </x:c>
      <x:c r="C41" s="523" t="str">
        <x:v>空间规则</x:v>
      </x:c>
      <x:c r="D41" s="523" t="str">
        <x:v>重要检查</x:v>
      </x:c>
      <x:c r="E41" s="523" t="str">
        <x:v>边界内外与边界点
采用已确认空间关系规则，三组坐标分别位于内、外、边界。</x:v>
      </x:c>
      <x:c r="F41" s="523" t="str">
        <x:v>通过授权入口输入并检查空间判定。
留证：WGS84坐标、边界规则、判定</x:v>
      </x:c>
      <x:c r="G41" s="523" t="str">
        <x:v>按后台空间关系和边界规则一致处理；地图像素不能代替坐标判定。</x:v>
      </x:c>
      <x:c r="H41" s="521" t="str">
        <x:v>还没测</x:v>
      </x:c>
      <x:c r="I41" s="521" t="str"/>
      <x:c r="J41" s="521" t="str"/>
      <x:c r="K41" s="521" t="str"/>
      <x:c r="L41" s="528" t="str"/>
      <x:c r="M41" s="6" t="str">
        <x:f>IF(H41="通过",IF(COUNTBLANK(I41:L41)=0,"记录齐全","待补证据"),H41)</x:f>
        <x:v>还没测</x:v>
      </x:c>
    </x:row>
    <x:row r="42" ht="123" customHeight="1">
      <x:c r="A42" s="527" t="str">
        <x:v>R37</x:v>
      </x:c>
      <x:c r="B42" s="527" t="str">
        <x:v>Q09</x:v>
      </x:c>
      <x:c r="C42" s="527" t="str">
        <x:v>空间规则</x:v>
      </x:c>
      <x:c r="D42" s="527" t="str">
        <x:v>重要检查</x:v>
      </x:c>
      <x:c r="E42" s="527" t="str">
        <x:v>生效时间起止边界
固定版本有效区间，分别在开始前、开始、结束前、结束输入。</x:v>
      </x:c>
      <x:c r="F42" s="527" t="str">
        <x:v>记录设备时间、服务时间与命中版本。
留证：区间、四个时间点、版本命中</x:v>
      </x:c>
      <x:c r="G42" s="527" t="str">
        <x:v>按确认的左闭右开等契约执行，不在结束时继续误命中；不混用北京时间与UTC。</x:v>
      </x:c>
      <x:c r="H42" s="521" t="str">
        <x:v>还没测</x:v>
      </x:c>
      <x:c r="I42" s="521" t="str"/>
      <x:c r="J42" s="521" t="str"/>
      <x:c r="K42" s="521" t="str"/>
      <x:c r="L42" s="528" t="str"/>
      <x:c r="M42" s="6" t="str">
        <x:f>IF(H42="通过",IF(COUNTBLANK(I42:L42)=0,"记录齐全","待补证据"),H42)</x:f>
        <x:v>还没测</x:v>
      </x:c>
    </x:row>
    <x:row r="43" ht="123" customHeight="1">
      <x:c r="A43" s="523" t="str">
        <x:v>R38</x:v>
      </x:c>
      <x:c r="B43" s="523" t="str">
        <x:v>Q09</x:v>
      </x:c>
      <x:c r="C43" s="523" t="str">
        <x:v>空间规则</x:v>
      </x:c>
      <x:c r="D43" s="523" t="str">
        <x:v>必须先测</x:v>
      </x:c>
      <x:c r="E43" s="523" t="str">
        <x:v>更新规则不改写历史依据
原版本已产生研判和冻结材料，再经授权入口发布新版本。</x:v>
      </x:c>
      <x:c r="F43" s="523" t="str">
        <x:v>新数据重新判断，旧研判和交接材料回看。
留证：前后版本、两次判定、冻结材料</x:v>
      </x:c>
      <x:c r="G43" s="523" t="str">
        <x:v>新数据引用新版本，旧结论保持当时版本；重叠/冲突不任意挑选。</x:v>
      </x:c>
      <x:c r="H43" s="521" t="str">
        <x:v>还没测</x:v>
      </x:c>
      <x:c r="I43" s="521" t="str"/>
      <x:c r="J43" s="521" t="str"/>
      <x:c r="K43" s="521" t="str"/>
      <x:c r="L43" s="528" t="str"/>
      <x:c r="M43" s="6" t="str">
        <x:f>IF(H43="通过",IF(COUNTBLANK(I43:L43)=0,"记录齐全","待补证据"),H43)</x:f>
        <x:v>还没测</x:v>
      </x:c>
    </x:row>
    <x:row r="44" ht="123" customHeight="1">
      <x:c r="A44" s="527" t="str">
        <x:v>R39</x:v>
      </x:c>
      <x:c r="B44" s="527" t="str">
        <x:v>Q09</x:v>
      </x:c>
      <x:c r="C44" s="527" t="str">
        <x:v>地图定位</x:v>
      </x:c>
      <x:c r="D44" s="527" t="str">
        <x:v>重要检查</x:v>
      </x:c>
      <x:c r="E44" s="527" t="str">
        <x:v>业务坐标与底图坐标一致
选取可核对的设备点、空域拐点、目标点和路线点。</x:v>
      </x:c>
      <x:c r="F44" s="527" t="str">
        <x:v>同一WGS84数据在模拟器与前台对照；记录所用底图坐标系。
留证：坐标样本、底图声明、截图</x:v>
      </x:c>
      <x:c r="G44" s="527" t="str">
        <x:v>需要显示转换时正确转换且不重复转换；业务数据保持约定坐标系。</x:v>
      </x:c>
      <x:c r="H44" s="521" t="str">
        <x:v>还没测</x:v>
      </x:c>
      <x:c r="I44" s="521" t="str"/>
      <x:c r="J44" s="521" t="str"/>
      <x:c r="K44" s="521" t="str"/>
      <x:c r="L44" s="528" t="str"/>
      <x:c r="M44" s="6" t="str">
        <x:f>IF(H44="通过",IF(COUNTBLANK(I44:L44)=0,"记录齐全","待补证据"),H44)</x:f>
        <x:v>还没测</x:v>
      </x:c>
    </x:row>
    <x:row r="45" ht="123" customHeight="1">
      <x:c r="A45" s="523" t="str">
        <x:v>R40</x:v>
      </x:c>
      <x:c r="B45" s="523" t="str">
        <x:v>Q10</x:v>
      </x:c>
      <x:c r="C45" s="523" t="str">
        <x:v>子场景拆分</x:v>
      </x:c>
      <x:c r="D45" s="523" t="str">
        <x:v>必须先测</x:v>
      </x:c>
      <x:c r="E45" s="523" t="str">
        <x:v>没有核验飞手
核实属实且当前违规依据足够，没有核验飞手。</x:v>
      </x:c>
      <x:c r="F45" s="523" t="str">
        <x:v>单独批次跑F14，查看短信电话及待反制。
留证：独立批次、通知查询、阶段</x:v>
      </x:c>
      <x:c r="G45" s="523" t="str">
        <x:v>不虚构飞手和通知；按现行规则进入待反制，反制另查安全条件。</x:v>
      </x:c>
      <x:c r="H45" s="521" t="str">
        <x:v>还没测</x:v>
      </x:c>
      <x:c r="I45" s="521" t="str"/>
      <x:c r="J45" s="521" t="str"/>
      <x:c r="K45" s="521" t="str"/>
      <x:c r="L45" s="528" t="str"/>
      <x:c r="M45" s="6" t="str">
        <x:f>IF(H45="通过",IF(COUNTBLANK(I45:L45)=0,"记录齐全","待补证据"),H45)</x:f>
        <x:v>还没测</x:v>
      </x:c>
    </x:row>
    <x:row r="46" ht="123" customHeight="1">
      <x:c r="A46" s="527" t="str">
        <x:v>R41</x:v>
      </x:c>
      <x:c r="B46" s="527" t="str">
        <x:v>Q10</x:v>
      </x:c>
      <x:c r="C46" s="527" t="str">
        <x:v>子场景拆分</x:v>
      </x:c>
      <x:c r="D46" s="527" t="str">
        <x:v>必须先测</x:v>
      </x:c>
      <x:c r="E46" s="527" t="str">
        <x:v>短信通道不可用
飞手已核验，短信不可用，其余条件足够。</x:v>
      </x:c>
      <x:c r="F46" s="527" t="str">
        <x:v>单独批次跑F14并检查通知和状态。
留证：通道配置、阶段、未送达记录</x:v>
      </x:c>
      <x:c r="G46" s="527" t="str">
        <x:v>不冒充短信送达；按现行规则进入待反制，不能绕过反制资格。</x:v>
      </x:c>
      <x:c r="H46" s="521" t="str">
        <x:v>还没测</x:v>
      </x:c>
      <x:c r="I46" s="521" t="str"/>
      <x:c r="J46" s="521" t="str"/>
      <x:c r="K46" s="521" t="str"/>
      <x:c r="L46" s="528" t="str"/>
      <x:c r="M46" s="6" t="str">
        <x:f>IF(H46="通过",IF(COUNTBLANK(I46:L46)=0,"记录齐全","待补证据"),H46)</x:f>
        <x:v>还没测</x:v>
      </x:c>
    </x:row>
    <x:row r="47" ht="123" customHeight="1">
      <x:c r="A47" s="523" t="str">
        <x:v>R42</x:v>
      </x:c>
      <x:c r="B47" s="523" t="str">
        <x:v>Q10</x:v>
      </x:c>
      <x:c r="C47" s="523" t="str">
        <x:v>子场景拆分</x:v>
      </x:c>
      <x:c r="D47" s="523" t="str">
        <x:v>必须先测</x:v>
      </x:c>
      <x:c r="E47" s="523" t="str">
        <x:v>电话通道不可用
飞手已核验且短信可用，电话不可用。</x:v>
      </x:c>
      <x:c r="F47" s="523" t="str">
        <x:v>单独批次跑F14，记录短信送达后的观察时间。
留证：短信送达、观察时间、阶段</x:v>
      </x:c>
      <x:c r="G47" s="523" t="str">
        <x:v>仍先短信观察；时长按确认标准，不因电话不可用立即跳过。</x:v>
      </x:c>
      <x:c r="H47" s="521" t="str">
        <x:v>还没测</x:v>
      </x:c>
      <x:c r="I47" s="521" t="str"/>
      <x:c r="J47" s="521" t="str"/>
      <x:c r="K47" s="521" t="str"/>
      <x:c r="L47" s="528" t="str"/>
      <x:c r="M47" s="6" t="str">
        <x:f>IF(H47="通过",IF(COUNTBLANK(I47:L47)=0,"记录齐全","待补证据"),H47)</x:f>
        <x:v>还没测</x:v>
      </x:c>
    </x:row>
    <x:row r="48" ht="123" customHeight="1">
      <x:c r="A48" s="527" t="str">
        <x:v>R43</x:v>
      </x:c>
      <x:c r="B48" s="527" t="str">
        <x:v>Q10</x:v>
      </x:c>
      <x:c r="C48" s="527" t="str">
        <x:v>切换时机</x:v>
      </x:c>
      <x:c r="D48" s="527" t="str">
        <x:v>必须先测</x:v>
      </x:c>
      <x:c r="E48" s="527" t="str">
        <x:v>核实前自动改手动
核实规则还未实际执行，其余类别固定。</x:v>
      </x:c>
      <x:c r="F48" s="527" t="str">
        <x:v>关闭核实类启用规则并回读，输入新批次。
留证：配置版本、生效时刻、核实历史</x:v>
      </x:c>
      <x:c r="G48" s="527" t="str">
        <x:v>生效后的新批次不自动核实；操作与调度并发时按提交/生效事实判定。</x:v>
      </x:c>
      <x:c r="H48" s="521" t="str">
        <x:v>还没测</x:v>
      </x:c>
      <x:c r="I48" s="521" t="str"/>
      <x:c r="J48" s="521" t="str"/>
      <x:c r="K48" s="521" t="str"/>
      <x:c r="L48" s="528" t="str"/>
      <x:c r="M48" s="6" t="str">
        <x:f>IF(H48="通过",IF(COUNTBLANK(I48:L48)=0,"记录齐全","待补证据"),H48)</x:f>
        <x:v>还没测</x:v>
      </x:c>
    </x:row>
    <x:row r="49" ht="123" customHeight="1">
      <x:c r="A49" s="523" t="str">
        <x:v>R44</x:v>
      </x:c>
      <x:c r="B49" s="523" t="str">
        <x:v>Q10</x:v>
      </x:c>
      <x:c r="C49" s="523" t="str">
        <x:v>切换时机</x:v>
      </x:c>
      <x:c r="D49" s="523" t="str">
        <x:v>必须先测</x:v>
      </x:c>
      <x:c r="E49" s="523" t="str">
        <x:v>反制排队时自动改手动
自动已建授权但设备命令尚在排队。</x:v>
      </x:c>
      <x:c r="F49" s="523" t="str">
        <x:v>关闭反制类规则，记录保存与实际下发时刻。
留证：配置、队列、下发、授权四个时间</x:v>
      </x:c>
      <x:c r="G49" s="523" t="str">
        <x:v>检查队列是否重新读取配置；不能仅凭保存成功判停止。若仍下发，记录与切换要求的冲突供确认。</x:v>
      </x:c>
      <x:c r="H49" s="521" t="str">
        <x:v>还没测</x:v>
      </x:c>
      <x:c r="I49" s="521" t="str"/>
      <x:c r="J49" s="521" t="str"/>
      <x:c r="K49" s="521" t="str"/>
      <x:c r="L49" s="528" t="str"/>
      <x:c r="M49" s="6" t="str">
        <x:f>IF(H49="通过",IF(COUNTBLANK(I49:L49)=0,"记录齐全","待补证据"),H49)</x:f>
        <x:v>还没测</x:v>
      </x:c>
    </x:row>
    <x:row r="50" ht="123" customHeight="1">
      <x:c r="A50" s="527" t="str">
        <x:v>R45</x:v>
      </x:c>
      <x:c r="B50" s="527" t="str">
        <x:v>Q10</x:v>
      </x:c>
      <x:c r="C50" s="527" t="str">
        <x:v>切换时机</x:v>
      </x:c>
      <x:c r="D50" s="527" t="str">
        <x:v>必须先测</x:v>
      </x:c>
      <x:c r="E50" s="527" t="str">
        <x:v>通知尚未发出时自动改手动
引擎开启、交接已冻结、自动通知未提交。</x:v>
      </x:c>
      <x:c r="F50" s="527" t="str">
        <x:v>停用通知处罚规则，回读后等待，再人工接手。
留证：配置版本、提交时间、投递次数</x:v>
      </x:c>
      <x:c r="G50" s="527" t="str">
        <x:v>未发送的动作按确认的切换边界处理；不得把已提交但未回执当未发送而重复通知。</x:v>
      </x:c>
      <x:c r="H50" s="521" t="str">
        <x:v>还没测</x:v>
      </x:c>
      <x:c r="I50" s="521" t="str"/>
      <x:c r="J50" s="521" t="str"/>
      <x:c r="K50" s="521" t="str"/>
      <x:c r="L50" s="528" t="str"/>
      <x:c r="M50" s="6" t="str">
        <x:f>IF(H50="通过",IF(COUNTBLANK(I50:L50)=0,"记录齐全","待补证据"),H50)</x:f>
        <x:v>还没测</x:v>
      </x:c>
    </x:row>
    <x:row r="51" ht="123" customHeight="1">
      <x:c r="A51" s="523" t="str">
        <x:v>R46</x:v>
      </x:c>
      <x:c r="B51" s="523" t="str">
        <x:v>Q11</x:v>
      </x:c>
      <x:c r="C51" s="523" t="str">
        <x:v>链路性能</x:v>
      </x:c>
      <x:c r="D51" s="523" t="str">
        <x:v>重要检查</x:v>
      </x:c>
      <x:c r="E51" s="523" t="str">
        <x:v>上报到前台及告警的时延
冻结目标数量、输入频率、设备时钟与测试时长。</x:v>
      </x:c>
      <x:c r="F51" s="523" t="str">
        <x:v>重复采集至少20次上报、接收、入库、告警、页面出现时刻。
留证：负载说明、时间样本、分段结果</x:v>
      </x:c>
      <x:c r="G51" s="523" t="str">
        <x:v>报告各段p50/p95和最大值；与事先确认的门槛比较，时钟偏差单列。</x:v>
      </x:c>
      <x:c r="H51" s="521" t="str">
        <x:v>还没测</x:v>
      </x:c>
      <x:c r="I51" s="521" t="str"/>
      <x:c r="J51" s="521" t="str"/>
      <x:c r="K51" s="521" t="str"/>
      <x:c r="L51" s="528" t="str"/>
      <x:c r="M51" s="6" t="str">
        <x:f>IF(H51="通过",IF(COUNTBLANK(I51:L51)=0,"记录齐全","待补证据"),H51)</x:f>
        <x:v>还没测</x:v>
      </x:c>
    </x:row>
    <x:row r="52" ht="123" customHeight="1">
      <x:c r="A52" s="527" t="str">
        <x:v>R47</x:v>
      </x:c>
      <x:c r="B52" s="527" t="str">
        <x:v>Q11</x:v>
      </x:c>
      <x:c r="C52" s="527" t="str">
        <x:v>链路性能</x:v>
      </x:c>
      <x:c r="D52" s="527" t="str">
        <x:v>重要检查</x:v>
      </x:c>
      <x:c r="E52" s="527" t="str">
        <x:v>多目标和多账号同时监视
事先填写目标数、每秒上报数、在线账号数及浏览器版本。</x:v>
      </x:c>
      <x:c r="F52" s="527" t="str">
        <x:v>阶梯增加负载，检查地图、列表、告警、回执通道与停止操作。
留证：负载、时延、错误、资源记录</x:v>
      </x:c>
      <x:c r="G52" s="527" t="str">
        <x:v>不漏数据、不串目标，错误率和延迟可量化；没有门槛只记实测不判达标。</x:v>
      </x:c>
      <x:c r="H52" s="521" t="str">
        <x:v>还没测</x:v>
      </x:c>
      <x:c r="I52" s="521" t="str"/>
      <x:c r="J52" s="521" t="str"/>
      <x:c r="K52" s="521" t="str"/>
      <x:c r="L52" s="528" t="str"/>
      <x:c r="M52" s="6" t="str">
        <x:f>IF(H52="通过",IF(COUNTBLANK(I52:L52)=0,"记录齐全","待补证据"),H52)</x:f>
        <x:v>还没测</x:v>
      </x:c>
    </x:row>
    <x:row r="53" ht="123" customHeight="1">
      <x:c r="A53" s="523" t="str">
        <x:v>R48</x:v>
      </x:c>
      <x:c r="B53" s="523" t="str">
        <x:v>Q11</x:v>
      </x:c>
      <x:c r="C53" s="523" t="str">
        <x:v>链路性能</x:v>
      </x:c>
      <x:c r="D53" s="523" t="str">
        <x:v>重要检查</x:v>
      </x:c>
      <x:c r="E53" s="523" t="str">
        <x:v>设备受理与完成的时延分别量
测试设备能返回受理及最终回执，关闭真实通道。</x:v>
      </x:c>
      <x:c r="F53" s="523" t="str">
        <x:v>测页面提交到受理、受理到执行结果、结果到页面更新。
留证：命令ID、三段时间、最终结果</x:v>
      </x:c>
      <x:c r="G53" s="523" t="str">
        <x:v>三段分别记录；受理快不能掩盖完成慢或没有最终回执。</x:v>
      </x:c>
      <x:c r="H53" s="521" t="str">
        <x:v>还没测</x:v>
      </x:c>
      <x:c r="I53" s="521" t="str"/>
      <x:c r="J53" s="521" t="str"/>
      <x:c r="K53" s="521" t="str"/>
      <x:c r="L53" s="528" t="str"/>
      <x:c r="M53" s="6" t="str">
        <x:f>IF(H53="通过",IF(COUNTBLANK(I53:L53)=0,"记录齐全","待补证据"),H53)</x:f>
        <x:v>还没测</x:v>
      </x:c>
    </x:row>
  </x:sheetData>
  <x:mergeCells>
    <x:mergeCell ref="A3:M3"/>
    <x:mergeCell ref="A4:M4"/>
  </x:mergeCells>
  <x:conditionalFormatting sqref="H6:H53">
    <x:cfRule type="cellIs" dxfId="22" priority="1" operator="equal">
      <x:formula>"通过"</x:formula>
    </x:cfRule>
    <x:cfRule type="cellIs" dxfId="23" priority="2" operator="equal">
      <x:formula>"有问题"</x:formula>
    </x:cfRule>
    <x:cfRule type="cellIs" dxfId="24" priority="3" operator="equal">
      <x:formula>"暂时测不了"</x:formula>
    </x:cfRule>
    <x:cfRule type="cellIs" dxfId="25" priority="4" operator="equal">
      <x:formula>"还没测"</x:formula>
    </x:cfRule>
    <x:cfRule type="cellIs" dxfId="26" priority="5" operator="equal">
      <x:formula>"待补证据"</x:formula>
    </x:cfRule>
    <x:cfRule type="cellIs" dxfId="27" priority="6" operator="equal">
      <x:formula>"进行中"</x:formula>
    </x:cfRule>
  </x:conditionalFormatting>
  <x:conditionalFormatting sqref="M6:M53">
    <x:cfRule type="cellIs" dxfId="28" priority="7" operator="equal">
      <x:formula>"通过"</x:formula>
    </x:cfRule>
    <x:cfRule type="cellIs" dxfId="29" priority="8" operator="equal">
      <x:formula>"有问题"</x:formula>
    </x:cfRule>
    <x:cfRule type="cellIs" dxfId="30" priority="9" operator="equal">
      <x:formula>"暂时测不了"</x:formula>
    </x:cfRule>
    <x:cfRule type="cellIs" dxfId="31" priority="10" operator="equal">
      <x:formula>"还没测"</x:formula>
    </x:cfRule>
    <x:cfRule type="cellIs" dxfId="32" priority="11" operator="equal">
      <x:formula>"待补证据"</x:formula>
    </x:cfRule>
    <x:cfRule type="cellIs" dxfId="33" priority="12" operator="equal">
      <x:formula>"进行中"</x:formula>
    </x:cfRule>
  </x:conditionalFormatting>
  <x:dataValidations count="1">
    <x:dataValidation type="list" sqref="H6:H53">
      <x:formula1>"还没测,通过,有问题,暂时测不了"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647fa86d170496d"/>
  </x:tableParts>
</x:worksheet>
</file>

<file path=xl/worksheets/sheet10.xml><?xml version="1.0" encoding="utf-8"?>
<x:worksheet xmlns:x="http://schemas.openxmlformats.org/spreadsheetml/2006/main">
  <x:sheetPr>
    <x:tabColor rgb="FF0891B2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24" hidden="0" customWidth="1"/>
    <x:col min="3" max="3" width="17" hidden="0" customWidth="1"/>
    <x:col min="4" max="4" width="34" hidden="0" customWidth="1"/>
    <x:col min="5" max="5" width="62" hidden="0" customWidth="1"/>
    <x:col min="6" max="6" width="67" hidden="0" customWidth="1"/>
    <x:col min="7" max="7" width="45" hidden="0" customWidth="1"/>
    <x:col min="8" max="8" width="16" hidden="0" customWidth="1"/>
    <x:col min="9" max="9" width="40" hidden="0" customWidth="1"/>
    <x:col min="10" max="10" width="40" hidden="0" customWidth="1"/>
    <x:col min="11" max="11" width="18" hidden="0" customWidth="1"/>
    <x:col min="12" max="12" width="16" hidden="0" customWidth="1"/>
    <x:col min="13" max="13" width="19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2" customHeight="1">
      <x:c r="A2" s="3" t="str">
        <x:v>后台设备运维测试清单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38" customHeight="1">
      <x:c r="A3" s="6" t="str">
        <x:v>覆盖设备管理、实时监测、接入调测、维护工作流、站内消息及前后台联动。连接管理只测试设备接入所需部分，不扩大为全部后台验收。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</x:row>
    <x:row r="4" ht="38" customHeight="1">
      <x:c r="A4" s="6" t="str">
        <x:v>64项检查，黄色H至L列填写结果和证据。F31至F36为6条新增完整流程。当前只是测试安排，协议不支持或资料不足时如实记录。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</x:row>
    <x:row r="5" ht="34" customHeight="1">
      <x:c r="A5" s="597" t="str">
        <x:v>编号</x:v>
      </x:c>
      <x:c r="B5" s="597" t="str">
        <x:v>测试模块</x:v>
      </x:c>
      <x:c r="C5" s="597" t="str">
        <x:v>优先顺序</x:v>
      </x:c>
      <x:c r="D5" s="597" t="str">
        <x:v>这次要测什么</x:v>
      </x:c>
      <x:c r="E5" s="597" t="str">
        <x:v>准备条件和怎么做</x:v>
      </x:c>
      <x:c r="F5" s="597" t="str">
        <x:v>怎样才算正常</x:v>
      </x:c>
      <x:c r="G5" s="597" t="str">
        <x:v>要留下的证据</x:v>
      </x:c>
      <x:c r="H5" s="597" t="str">
        <x:v>测试结果</x:v>
      </x:c>
      <x:c r="I5" s="597" t="str">
        <x:v>实际结果与批次</x:v>
      </x:c>
      <x:c r="J5" s="597" t="str">
        <x:v>证据位置与关联编号</x:v>
      </x:c>
      <x:c r="K5" s="597" t="str">
        <x:v>测试人</x:v>
      </x:c>
      <x:c r="L5" s="597" t="str">
        <x:v>测试日期</x:v>
      </x:c>
      <x:c r="M5" s="597" t="str">
        <x:v>记录检查</x:v>
      </x:c>
    </x:row>
    <x:row r="6" ht="94" customHeight="1">
      <x:c r="A6" s="612" t="str">
        <x:v>OPS-01</x:v>
      </x:c>
      <x:c r="B6" s="612" t="str">
        <x:v>账号与范围</x:v>
      </x:c>
      <x:c r="C6" s="612" t="str">
        <x:v>必须先测</x:v>
      </x:c>
      <x:c r="D6" s="613" t="str">
        <x:v>三个运维页面按权限进入</x:v>
      </x:c>
      <x:c r="E6" s="613" t="str">
        <x:v>用有权、无菜单、无读取权限三类账号分别打开设备管理、实时监测、接入调测和直接地址。</x:v>
      </x:c>
      <x:c r="F6" s="613" t="str">
        <x:v>只进入获准页面；直接地址和接口也不能绕过。</x:v>
      </x:c>
      <x:c r="G6" s="613" t="str">
        <x:v>账号权限、页面及接口结果</x:v>
      </x:c>
      <x:c r="H6" s="626" t="str">
        <x:v>暂时测不了</x:v>
      </x:c>
      <x:c r="I6" s="626" t="str">
        <x:v>未登录访问3个运维地址均回登录页；9个只读受保护API返回401。缺有权/无菜单/无读取权限账号，OPS-01未完整通过。</x:v>
      </x:c>
      <x:c r="J6" s="626" t="str">
        <x:v>C:/Users/Admin（无密码）/.codex/visualizations/2026/09/27/01a0e0b7-3c23-7c00-aeba-e67e75596ac8/qa-20260927/unauth-api.json；admin-commission-guard.txt</x:v>
      </x:c>
      <x:c r="K6" s="626" t="str">
        <x:v>Codex</x:v>
      </x:c>
      <x:c r="L6" s="16" t="n">
        <x:v>46292.413194444445</x:v>
      </x:c>
      <x:c r="M6" s="6" t="str">
        <x:f>IF(H6="通过",IF(COUNTBLANK(I6:L6)=0,"记录齐全","待补证据"),H6)</x:f>
        <x:v>暂时测不了</x:v>
      </x:c>
    </x:row>
    <x:row r="7" ht="94" customHeight="1">
      <x:c r="A7" s="612" t="str">
        <x:v>OPS-02</x:v>
      </x:c>
      <x:c r="B7" s="612" t="str">
        <x:v>账号与范围</x:v>
      </x:c>
      <x:c r="C7" s="612" t="str">
        <x:v>必须先测</x:v>
      </x:c>
      <x:c r="D7" s="613" t="str">
        <x:v>只读账号不能操作</x:v>
      </x:c>
      <x:c r="E7" s="613" t="str">
        <x:v>只读账号尝试编辑、启停、删除、创建调测、开始处理和完成待办。</x:v>
      </x:c>
      <x:c r="F7" s="613" t="str">
        <x:v>可读资料但不能写入；不能只靠隐藏按钮保护。</x:v>
      </x:c>
      <x:c r="G7" s="613" t="str">
        <x:v>写操作拒绝结果、前后状态</x:v>
      </x:c>
      <x:c r="H7" s="626" t="str">
        <x:v>还没测</x:v>
      </x:c>
      <x:c r="I7" s="626" t="str"/>
      <x:c r="J7" s="626" t="str"/>
      <x:c r="K7" s="626" t="str"/>
      <x:c r="L7" s="627" t="str"/>
      <x:c r="M7" s="6" t="str">
        <x:f>IF(H7="通过",IF(COUNTBLANK(I7:L7)=0,"记录齐全","待补证据"),H7)</x:f>
        <x:v>还没测</x:v>
      </x:c>
    </x:row>
    <x:row r="8" ht="94" customHeight="1">
      <x:c r="A8" s="612" t="str">
        <x:v>OPS-03</x:v>
      </x:c>
      <x:c r="B8" s="612" t="str">
        <x:v>账号与范围</x:v>
      </x:c>
      <x:c r="C8" s="612" t="str">
        <x:v>必须先测</x:v>
      </x:c>
      <x:c r="D8" s="613" t="str">
        <x:v>设备操作与连接管理分权</x:v>
      </x:c>
      <x:c r="E8" s="613" t="str">
        <x:v>分别使用仅devices.op、另有interfaces.read、再有interfaces.op的账号。</x:v>
      </x:c>
      <x:c r="F8" s="613" t="str">
        <x:v>设备操作不自动获得接入配置管理；能看连接不等于能修改。</x:v>
      </x:c>
      <x:c r="G8" s="613" t="str">
        <x:v>三个账号与入口/操作对照</x:v>
      </x:c>
      <x:c r="H8" s="626" t="str">
        <x:v>还没测</x:v>
      </x:c>
      <x:c r="I8" s="626" t="str"/>
      <x:c r="J8" s="626" t="str"/>
      <x:c r="K8" s="626" t="str"/>
      <x:c r="L8" s="627" t="str"/>
      <x:c r="M8" s="6" t="str">
        <x:f>IF(H8="通过",IF(COUNTBLANK(I8:L8)=0,"记录齐全","待补证据"),H8)</x:f>
        <x:v>还没测</x:v>
      </x:c>
    </x:row>
    <x:row r="9" ht="94" customHeight="1">
      <x:c r="A9" s="612" t="str">
        <x:v>OPS-04</x:v>
      </x:c>
      <x:c r="B9" s="612" t="str">
        <x:v>账号与范围</x:v>
      </x:c>
      <x:c r="C9" s="612" t="str">
        <x:v>必须先测</x:v>
      </x:c>
      <x:c r="D9" s="613" t="str">
        <x:v>不能跨单位和区域</x:v>
      </x:c>
      <x:c r="E9" s="613" t="str">
        <x:v>甲范围账号查乙范围设备、状态、报告、维护任务及消息；开发协助直接访问接口。</x:v>
      </x:c>
      <x:c r="F9" s="613" t="str">
        <x:v>列表、详情、操作和未读数均不泄露范围外资料。</x:v>
      </x:c>
      <x:c r="G9" s="613" t="str">
        <x:v>范围映射、设备/任务ID、响应</x:v>
      </x:c>
      <x:c r="H9" s="626" t="str">
        <x:v>还没测</x:v>
      </x:c>
      <x:c r="I9" s="626" t="str"/>
      <x:c r="J9" s="626" t="str"/>
      <x:c r="K9" s="626" t="str"/>
      <x:c r="L9" s="627" t="str"/>
      <x:c r="M9" s="6" t="str">
        <x:f>IF(H9="通过",IF(COUNTBLANK(I9:L9)=0,"记录齐全","待补证据"),H9)</x:f>
        <x:v>还没测</x:v>
      </x:c>
    </x:row>
    <x:row r="10" ht="94" customHeight="1">
      <x:c r="A10" s="612" t="str">
        <x:v>OPS-05</x:v>
      </x:c>
      <x:c r="B10" s="612" t="str">
        <x:v>账号与范围</x:v>
      </x:c>
      <x:c r="C10" s="612" t="str">
        <x:v>必须先测</x:v>
      </x:c>
      <x:c r="D10" s="613" t="str">
        <x:v>操作中撤权或停用账号</x:v>
      </x:c>
      <x:c r="E10" s="613" t="str">
        <x:v>保持调测或维护页面打开，管理员撤权，再提交下一步。</x:v>
      </x:c>
      <x:c r="F10" s="613" t="str">
        <x:v>重新检查当前权限，不靠旧页面继续操作；不清除已有历史。</x:v>
      </x:c>
      <x:c r="G10" s="613" t="str">
        <x:v>撤权时间、拒绝结果、历史</x:v>
      </x:c>
      <x:c r="H10" s="626" t="str">
        <x:v>还没测</x:v>
      </x:c>
      <x:c r="I10" s="626" t="str"/>
      <x:c r="J10" s="626" t="str"/>
      <x:c r="K10" s="626" t="str"/>
      <x:c r="L10" s="627" t="str"/>
      <x:c r="M10" s="6" t="str">
        <x:f>IF(H10="通过",IF(COUNTBLANK(I10:L10)=0,"记录齐全","待补证据"),H10)</x:f>
        <x:v>还没测</x:v>
      </x:c>
    </x:row>
    <x:row r="11" ht="94" customHeight="1">
      <x:c r="A11" s="612" t="str">
        <x:v>OPS-06</x:v>
      </x:c>
      <x:c r="B11" s="612" t="str">
        <x:v>账号与范围</x:v>
      </x:c>
      <x:c r="C11" s="612" t="str">
        <x:v>重要检查</x:v>
      </x:c>
      <x:c r="D11" s="613" t="str">
        <x:v>敏感连接配置按权隐藏</x:v>
      </x:c>
      <x:c r="E11" s="613" t="str">
        <x:v>只有monitoring.read的账号查看设备信息，再用获准设备操作账号对照。</x:v>
      </x:c>
      <x:c r="F11" s="613" t="str">
        <x:v>无权者连接信息脱敏；错误日志和页面不显示密码或凭据值。</x:v>
      </x:c>
      <x:c r="G11" s="613" t="str">
        <x:v>字段脱敏对照、错误提示</x:v>
      </x:c>
      <x:c r="H11" s="626" t="str">
        <x:v>还没测</x:v>
      </x:c>
      <x:c r="I11" s="626" t="str"/>
      <x:c r="J11" s="626" t="str"/>
      <x:c r="K11" s="626" t="str"/>
      <x:c r="L11" s="627" t="str"/>
      <x:c r="M11" s="6" t="str">
        <x:f>IF(H11="通过",IF(COUNTBLANK(I11:L11)=0,"记录齐全","待补证据"),H11)</x:f>
        <x:v>还没测</x:v>
      </x:c>
    </x:row>
    <x:row r="12" ht="94" customHeight="1">
      <x:c r="A12" s="614" t="str">
        <x:v>OPS-07</x:v>
      </x:c>
      <x:c r="B12" s="614" t="str">
        <x:v>设备台账与接入</x:v>
      </x:c>
      <x:c r="C12" s="614" t="str">
        <x:v>必须先测</x:v>
      </x:c>
      <x:c r="D12" s="615" t="str">
        <x:v>统一接入设备入口</x:v>
      </x:c>
      <x:c r="E12" s="615" t="str">
        <x:v>从接入设备分别选择雷达、光电、反制和天气传感器类型。</x:v>
      </x:c>
      <x:c r="F12" s="615" t="str">
        <x:v>按类型展示已支持协议；天气不再要求另找入口。</x:v>
      </x:c>
      <x:c r="G12" s="615" t="str">
        <x:v>类型与协议选项截图</x:v>
      </x:c>
      <x:c r="H12" s="626" t="str">
        <x:v>还没测</x:v>
      </x:c>
      <x:c r="I12" s="626" t="str"/>
      <x:c r="J12" s="626" t="str"/>
      <x:c r="K12" s="626" t="str"/>
      <x:c r="L12" s="627" t="str"/>
      <x:c r="M12" s="6" t="str">
        <x:f>IF(H12="通过",IF(COUNTBLANK(I12:L12)=0,"记录齐全","待补证据"),H12)</x:f>
        <x:v>还没测</x:v>
      </x:c>
    </x:row>
    <x:row r="13" ht="94" customHeight="1">
      <x:c r="A13" s="614" t="str">
        <x:v>OPS-08</x:v>
      </x:c>
      <x:c r="B13" s="614" t="str">
        <x:v>设备台账与接入</x:v>
      </x:c>
      <x:c r="C13" s="614" t="str">
        <x:v>重要检查</x:v>
      </x:c>
      <x:c r="D13" s="615" t="str">
        <x:v>切类型或协议不带错参数</x:v>
      </x:c>
      <x:c r="E13" s="615" t="str">
        <x:v>填基本资料及协议参数后切换类型和协议。</x:v>
      </x:c>
      <x:c r="F13" s="615" t="str">
        <x:v>基本资料合理保留，专用参数清除；不把TCP地址带成MQTT身份。</x:v>
      </x:c>
      <x:c r="G13" s="615" t="str">
        <x:v>切换前后表单和提交字段</x:v>
      </x:c>
      <x:c r="H13" s="626" t="str">
        <x:v>还没测</x:v>
      </x:c>
      <x:c r="I13" s="626" t="str"/>
      <x:c r="J13" s="626" t="str"/>
      <x:c r="K13" s="626" t="str"/>
      <x:c r="L13" s="627" t="str"/>
      <x:c r="M13" s="6" t="str">
        <x:f>IF(H13="通过",IF(COUNTBLANK(I13:L13)=0,"记录齐全","待补证据"),H13)</x:f>
        <x:v>还没测</x:v>
      </x:c>
    </x:row>
    <x:row r="14" ht="94" customHeight="1">
      <x:c r="A14" s="614" t="str">
        <x:v>OPS-09</x:v>
      </x:c>
      <x:c r="B14" s="614" t="str">
        <x:v>设备台账与接入</x:v>
      </x:c>
      <x:c r="C14" s="614" t="str">
        <x:v>必须先测</x:v>
      </x:c>
      <x:c r="D14" s="615" t="str">
        <x:v>保存接入配置不等于在线</x:v>
      </x:c>
      <x:c r="E14" s="615" t="str">
        <x:v>使用测试设备及有效参数登记，但不发送有效设备报文。</x:v>
      </x:c>
      <x:c r="F14" s="615" t="str">
        <x:v>台账保存可成功，在线状态仍依据真实连接和报文，不能直接显示健康在线。</x:v>
      </x:c>
      <x:c r="G14" s="615" t="str">
        <x:v>保存记录、状态、首报文时刻</x:v>
      </x:c>
      <x:c r="H14" s="626" t="str">
        <x:v>还没测</x:v>
      </x:c>
      <x:c r="I14" s="626" t="str"/>
      <x:c r="J14" s="626" t="str"/>
      <x:c r="K14" s="626" t="str"/>
      <x:c r="L14" s="627" t="str"/>
      <x:c r="M14" s="6" t="str">
        <x:f>IF(H14="通过",IF(COUNTBLANK(I14:L14)=0,"记录齐全","待补证据"),H14)</x:f>
        <x:v>还没测</x:v>
      </x:c>
    </x:row>
    <x:row r="15" ht="94" customHeight="1">
      <x:c r="A15" s="614" t="str">
        <x:v>OPS-10</x:v>
      </x:c>
      <x:c r="B15" s="614" t="str">
        <x:v>设备台账与接入</x:v>
      </x:c>
      <x:c r="C15" s="614" t="str">
        <x:v>必须先测</x:v>
      </x:c>
      <x:c r="D15" s="615" t="str">
        <x:v>编号和外部身份重复</x:v>
      </x:c>
      <x:c r="E15" s="615" t="str">
        <x:v>用已占用设备编号或相同接入身份再次登记测试设备。</x:v>
      </x:c>
      <x:c r="F15" s="615" t="str">
        <x:v>明确冲突，不产生两份同身份档案；不覆盖原设备。</x:v>
      </x:c>
      <x:c r="G15" s="615" t="str">
        <x:v>两次请求和设备数量</x:v>
      </x:c>
      <x:c r="H15" s="626" t="str">
        <x:v>还没测</x:v>
      </x:c>
      <x:c r="I15" s="626" t="str"/>
      <x:c r="J15" s="626" t="str"/>
      <x:c r="K15" s="626" t="str"/>
      <x:c r="L15" s="627" t="str"/>
      <x:c r="M15" s="6" t="str">
        <x:f>IF(H15="通过",IF(COUNTBLANK(I15:L15)=0,"记录齐全","待补证据"),H15)</x:f>
        <x:v>还没测</x:v>
      </x:c>
    </x:row>
    <x:row r="16" ht="94" customHeight="1">
      <x:c r="A16" s="614" t="str">
        <x:v>OPS-11</x:v>
      </x:c>
      <x:c r="B16" s="614" t="str">
        <x:v>设备台账与接入</x:v>
      </x:c>
      <x:c r="C16" s="614" t="str">
        <x:v>重要检查</x:v>
      </x:c>
      <x:c r="D16" s="615" t="str">
        <x:v>一个匹配接入通道</x:v>
      </x:c>
      <x:c r="E16" s="615" t="str">
        <x:v>同单位区域只有一条启用live通道，选择该范围。</x:v>
      </x:c>
      <x:c r="F16" s="615" t="str">
        <x:v>自动带入匹配通道；不能带入其他范围或停用通道。</x:v>
      </x:c>
      <x:c r="G16" s="615" t="str">
        <x:v>通道配置与表单</x:v>
      </x:c>
      <x:c r="H16" s="626" t="str">
        <x:v>还没测</x:v>
      </x:c>
      <x:c r="I16" s="626" t="str"/>
      <x:c r="J16" s="626" t="str"/>
      <x:c r="K16" s="626" t="str"/>
      <x:c r="L16" s="627" t="str"/>
      <x:c r="M16" s="6" t="str">
        <x:f>IF(H16="通过",IF(COUNTBLANK(I16:L16)=0,"记录齐全","待补证据"),H16)</x:f>
        <x:v>还没测</x:v>
      </x:c>
    </x:row>
    <x:row r="17" ht="94" customHeight="1">
      <x:c r="A17" s="614" t="str">
        <x:v>OPS-12</x:v>
      </x:c>
      <x:c r="B17" s="614" t="str">
        <x:v>设备台账与接入</x:v>
      </x:c>
      <x:c r="C17" s="614" t="str">
        <x:v>必须先测</x:v>
      </x:c>
      <x:c r="D17" s="615" t="str">
        <x:v>多个或没有匹配通道</x:v>
      </x:c>
      <x:c r="E17" s="615" t="str">
        <x:v>两组测试范围分别配置多个可用通道、没有可用通道。</x:v>
      </x:c>
      <x:c r="F17" s="615" t="str">
        <x:v>多个要求选择；没有则提示并阻止提交；不偷偷选replay通道。</x:v>
      </x:c>
      <x:c r="G17" s="615" t="str">
        <x:v>两组范围、选项、提交结果</x:v>
      </x:c>
      <x:c r="H17" s="626" t="str">
        <x:v>还没测</x:v>
      </x:c>
      <x:c r="I17" s="626" t="str"/>
      <x:c r="J17" s="626" t="str"/>
      <x:c r="K17" s="626" t="str"/>
      <x:c r="L17" s="627" t="str"/>
      <x:c r="M17" s="6" t="str">
        <x:f>IF(H17="通过",IF(COUNTBLANK(I17:L17)=0,"记录齐全","待补证据"),H17)</x:f>
        <x:v>还没测</x:v>
      </x:c>
    </x:row>
    <x:row r="18" ht="94" customHeight="1">
      <x:c r="A18" s="614" t="str">
        <x:v>OPS-13</x:v>
      </x:c>
      <x:c r="B18" s="614" t="str">
        <x:v>设备台账与接入</x:v>
      </x:c>
      <x:c r="C18" s="614" t="str">
        <x:v>必须先测</x:v>
      </x:c>
      <x:c r="D18" s="615" t="str">
        <x:v>修改范围清除旧通道</x:v>
      </x:c>
      <x:c r="E18" s="615" t="str">
        <x:v>新建设备先选甲范围通道，再换乙单位或区域。</x:v>
      </x:c>
      <x:c r="F18" s="615" t="str">
        <x:v>旧通道不继续提交；按乙范围重新匹配。</x:v>
      </x:c>
      <x:c r="G18" s="615" t="str">
        <x:v>前后范围与提交字段</x:v>
      </x:c>
      <x:c r="H18" s="626" t="str">
        <x:v>还没测</x:v>
      </x:c>
      <x:c r="I18" s="626" t="str"/>
      <x:c r="J18" s="626" t="str"/>
      <x:c r="K18" s="626" t="str"/>
      <x:c r="L18" s="627" t="str"/>
      <x:c r="M18" s="6" t="str">
        <x:f>IF(H18="通过",IF(COUNTBLANK(I18:L18)=0,"记录齐全","待补证据"),H18)</x:f>
        <x:v>还没测</x:v>
      </x:c>
    </x:row>
    <x:row r="19" ht="94" customHeight="1">
      <x:c r="A19" s="614" t="str">
        <x:v>OPS-14</x:v>
      </x:c>
      <x:c r="B19" s="614" t="str">
        <x:v>设备台账与接入</x:v>
      </x:c>
      <x:c r="C19" s="614" t="str">
        <x:v>必须先测</x:v>
      </x:c>
      <x:c r="D19" s="615" t="str">
        <x:v>编辑不能换接入身份</x:v>
      </x:c>
      <x:c r="E19" s="615" t="str">
        <x:v>编辑已登记设备含旧停用或replay通道，尝试改内部/外部身份及通道。</x:v>
      </x:c>
      <x:c r="F19" s="615" t="str">
        <x:v>按当前契约锁定接入身份与原通道；允许编辑项携带当前版本。</x:v>
      </x:c>
      <x:c r="G19" s="615" t="str">
        <x:v>编辑字段、版本、保存结果</x:v>
      </x:c>
      <x:c r="H19" s="626" t="str">
        <x:v>还没测</x:v>
      </x:c>
      <x:c r="I19" s="626" t="str"/>
      <x:c r="J19" s="626" t="str"/>
      <x:c r="K19" s="626" t="str"/>
      <x:c r="L19" s="627" t="str"/>
      <x:c r="M19" s="6" t="str">
        <x:f>IF(H19="通过",IF(COUNTBLANK(I19:L19)=0,"记录齐全","待补证据"),H19)</x:f>
        <x:v>还没测</x:v>
      </x:c>
    </x:row>
    <x:row r="20" ht="94" customHeight="1">
      <x:c r="A20" s="614" t="str">
        <x:v>OPS-15</x:v>
      </x:c>
      <x:c r="B20" s="614" t="str">
        <x:v>设备台账与接入</x:v>
      </x:c>
      <x:c r="C20" s="614" t="str">
        <x:v>重要检查</x:v>
      </x:c>
      <x:c r="D20" s="615" t="str">
        <x:v>天气传感器只登记档案</x:v>
      </x:c>
      <x:c r="E20" s="615" t="str">
        <x:v>在统一入口填写天气传感器，尝试启用和填写不存在的协议参数。</x:v>
      </x:c>
      <x:c r="F20" s="615" t="str">
        <x:v>当前保存停用、待接入档案；不要求地址/端口，不声称已采到天气。</x:v>
      </x:c>
      <x:c r="G20" s="615" t="str">
        <x:v>档案状态、协议说明</x:v>
      </x:c>
      <x:c r="H20" s="626" t="str">
        <x:v>还没测</x:v>
      </x:c>
      <x:c r="I20" s="626" t="str"/>
      <x:c r="J20" s="626" t="str"/>
      <x:c r="K20" s="626" t="str"/>
      <x:c r="L20" s="627" t="str"/>
      <x:c r="M20" s="6" t="str">
        <x:f>IF(H20="通过",IF(COUNTBLANK(I20:L20)=0,"记录齐全","待补证据"),H20)</x:f>
        <x:v>还没测</x:v>
      </x:c>
    </x:row>
    <x:row r="21" ht="94" customHeight="1">
      <x:c r="A21" s="614" t="str">
        <x:v>OPS-16</x:v>
      </x:c>
      <x:c r="B21" s="614" t="str">
        <x:v>设备台账与接入</x:v>
      </x:c>
      <x:c r="C21" s="614" t="str">
        <x:v>必须先测</x:v>
      </x:c>
      <x:c r="D21" s="615" t="str">
        <x:v>启用停用及并发编辑</x:v>
      </x:c>
      <x:c r="E21" s="615" t="str">
        <x:v>对测试设备启停；两人用同版本编辑，一人先保存。</x:v>
      </x:c>
      <x:c r="F21" s="615" t="str">
        <x:v>启停结果回读；旧版本拒绝覆盖，提示刷新；停用影响订阅或操作按协议生效。</x:v>
      </x:c>
      <x:c r="G21" s="615" t="str">
        <x:v>版本、启停事件、接收记录</x:v>
      </x:c>
      <x:c r="H21" s="626" t="str">
        <x:v>还没测</x:v>
      </x:c>
      <x:c r="I21" s="626" t="str"/>
      <x:c r="J21" s="626" t="str"/>
      <x:c r="K21" s="626" t="str"/>
      <x:c r="L21" s="627" t="str"/>
      <x:c r="M21" s="6" t="str">
        <x:f>IF(H21="通过",IF(COUNTBLANK(I21:L21)=0,"记录齐全","待补证据"),H21)</x:f>
        <x:v>还没测</x:v>
      </x:c>
    </x:row>
    <x:row r="22" ht="94" customHeight="1">
      <x:c r="A22" s="614" t="str">
        <x:v>OPS-17</x:v>
      </x:c>
      <x:c r="B22" s="614" t="str">
        <x:v>设备台账与接入</x:v>
      </x:c>
      <x:c r="C22" s="614" t="str">
        <x:v>重要检查</x:v>
      </x:c>
      <x:c r="D22" s="615" t="str">
        <x:v>档案资料型号匹配</x:v>
      </x:c>
      <x:c r="E22" s="615" t="str">
        <x:v>查已匹配和未匹配型号，手动选资料后切换设备。</x:v>
      </x:c>
      <x:c r="F22" s="615" t="str">
        <x:v>厂家标称资料与实际状态分开；不近似误配，切换不残留上一台资料。</x:v>
      </x:c>
      <x:c r="G22" s="615" t="str">
        <x:v>型号、资料、切换截图</x:v>
      </x:c>
      <x:c r="H22" s="626" t="str">
        <x:v>还没测</x:v>
      </x:c>
      <x:c r="I22" s="626" t="str"/>
      <x:c r="J22" s="626" t="str"/>
      <x:c r="K22" s="626" t="str"/>
      <x:c r="L22" s="627" t="str"/>
      <x:c r="M22" s="6" t="str">
        <x:f>IF(H22="通过",IF(COUNTBLANK(I22:L22)=0,"记录齐全","待补证据"),H22)</x:f>
        <x:v>还没测</x:v>
      </x:c>
    </x:row>
    <x:row r="23" ht="94" customHeight="1">
      <x:c r="A23" s="614" t="str">
        <x:v>OPS-18</x:v>
      </x:c>
      <x:c r="B23" s="614" t="str">
        <x:v>设备台账与接入</x:v>
      </x:c>
      <x:c r="C23" s="614" t="str">
        <x:v>必须先测</x:v>
      </x:c>
      <x:c r="D23" s="615" t="str">
        <x:v>有未完成工作不能删除</x:v>
      </x:c>
      <x:c r="E23" s="615" t="str">
        <x:v>分别准备启用设备、停用但有未完成指令/调测/跟踪的测试设备。</x:v>
      </x:c>
      <x:c r="F23" s="615" t="str">
        <x:v>均按具体条件拒绝删除；不能让正在执行的设备从台账消失。</x:v>
      </x:c>
      <x:c r="G23" s="615" t="str">
        <x:v>拒绝原因和活动任务ID</x:v>
      </x:c>
      <x:c r="H23" s="626" t="str">
        <x:v>还没测</x:v>
      </x:c>
      <x:c r="I23" s="626" t="str"/>
      <x:c r="J23" s="626" t="str"/>
      <x:c r="K23" s="626" t="str"/>
      <x:c r="L23" s="627" t="str"/>
      <x:c r="M23" s="6" t="str">
        <x:f>IF(H23="通过",IF(COUNTBLANK(I23:L23)=0,"记录齐全","待补证据"),H23)</x:f>
        <x:v>还没测</x:v>
      </x:c>
    </x:row>
    <x:row r="24" ht="94" customHeight="1">
      <x:c r="A24" s="614" t="str">
        <x:v>OPS-19</x:v>
      </x:c>
      <x:c r="B24" s="614" t="str">
        <x:v>设备台账与接入</x:v>
      </x:c>
      <x:c r="C24" s="614" t="str">
        <x:v>必须先测</x:v>
      </x:c>
      <x:c r="D24" s="615" t="str">
        <x:v>停用空闲设备逻辑删除</x:v>
      </x:c>
      <x:c r="E24" s="615" t="str">
        <x:v>专用可弃测试设备停用且无活动工作，填原因删除并重查。</x:v>
      </x:c>
      <x:c r="F24" s="615" t="str">
        <x:v>从日常台账、树、地图和统计移除；历史命令、事件、证据保留，身份不能复用。</x:v>
      </x:c>
      <x:c r="G24" s="615" t="str">
        <x:v>删除原因、历史引用、前后数量</x:v>
      </x:c>
      <x:c r="H24" s="626" t="str">
        <x:v>还没测</x:v>
      </x:c>
      <x:c r="I24" s="626" t="str"/>
      <x:c r="J24" s="626" t="str"/>
      <x:c r="K24" s="626" t="str"/>
      <x:c r="L24" s="627" t="str"/>
      <x:c r="M24" s="6" t="str">
        <x:f>IF(H24="通过",IF(COUNTBLANK(I24:L24)=0,"记录齐全","待补证据"),H24)</x:f>
        <x:v>还没测</x:v>
      </x:c>
    </x:row>
    <x:row r="25" ht="94" customHeight="1">
      <x:c r="A25" s="614" t="str">
        <x:v>OPS-20</x:v>
      </x:c>
      <x:c r="B25" s="614" t="str">
        <x:v>设备台账与接入</x:v>
      </x:c>
      <x:c r="C25" s="614" t="str">
        <x:v>重要检查</x:v>
      </x:c>
      <x:c r="D25" s="615" t="str">
        <x:v>筛选分页和删空末页</x:v>
      </x:c>
      <x:c r="E25" s="615" t="str">
        <x:v>准备超过三页设备，组合类型/范围/状态/关键词，删除末页最后一条测试档案。</x:v>
      </x:c>
      <x:c r="F25" s="615" t="str">
        <x:v>总数与筛选一致，退回有效页，选中详情清理；错误不冒充空列表。</x:v>
      </x:c>
      <x:c r="G25" s="615" t="str">
        <x:v>查询条件、页码、总数</x:v>
      </x:c>
      <x:c r="H25" s="626" t="str">
        <x:v>还没测</x:v>
      </x:c>
      <x:c r="I25" s="626" t="str"/>
      <x:c r="J25" s="626" t="str"/>
      <x:c r="K25" s="626" t="str"/>
      <x:c r="L25" s="627" t="str"/>
      <x:c r="M25" s="6" t="str">
        <x:f>IF(H25="通过",IF(COUNTBLANK(I25:L25)=0,"记录齐全","待补证据"),H25)</x:f>
        <x:v>还没测</x:v>
      </x:c>
    </x:row>
    <x:row r="26" ht="94" customHeight="1">
      <x:c r="A26" s="616" t="str">
        <x:v>OPS-21</x:v>
      </x:c>
      <x:c r="B26" s="616" t="str">
        <x:v>实时监测</x:v>
      </x:c>
      <x:c r="C26" s="616" t="str">
        <x:v>必须先测</x:v>
      </x:c>
      <x:c r="D26" s="617" t="str">
        <x:v>在线离线健康告警分开</x:v>
      </x:c>
      <x:c r="E26" s="617" t="str">
        <x:v>用在线健康、在线异常、离线、未知设备对照总览、设备树和详情。</x:v>
      </x:c>
      <x:c r="F26" s="617" t="str">
        <x:v>状态、总数同源；有心跳不等于GOOD，无数据不等于健康。</x:v>
      </x:c>
      <x:c r="G26" s="617" t="str">
        <x:v>同批设备状态与统计</x:v>
      </x:c>
      <x:c r="H26" s="626" t="str">
        <x:v>还没测</x:v>
      </x:c>
      <x:c r="I26" s="626" t="str"/>
      <x:c r="J26" s="626" t="str"/>
      <x:c r="K26" s="626" t="str"/>
      <x:c r="L26" s="627" t="str"/>
      <x:c r="M26" s="6" t="str">
        <x:f>IF(H26="通过",IF(COUNTBLANK(I26:L26)=0,"记录齐全","待补证据"),H26)</x:f>
        <x:v>还没测</x:v>
      </x:c>
    </x:row>
    <x:row r="27" ht="94" customHeight="1">
      <x:c r="A27" s="616" t="str">
        <x:v>OPS-22</x:v>
      </x:c>
      <x:c r="B27" s="616" t="str">
        <x:v>实时监测</x:v>
      </x:c>
      <x:c r="C27" s="616" t="str">
        <x:v>重要检查</x:v>
      </x:c>
      <x:c r="D27" s="617" t="str">
        <x:v>轮询与暂停刷新</x:v>
      </x:c>
      <x:c r="E27" s="617" t="str">
        <x:v>观察总览约10秒、当前设备约2秒刷新；暂停、手动刷新、切设备、再恢复。</x:v>
      </x:c>
      <x:c r="F27" s="617" t="str">
        <x:v>暂停停止自动轮询；手动刷新和切换仍可查；不多开重复轮询。</x:v>
      </x:c>
      <x:c r="G27" s="617" t="str">
        <x:v>请求时间与刷新状态</x:v>
      </x:c>
      <x:c r="H27" s="626" t="str">
        <x:v>还没测</x:v>
      </x:c>
      <x:c r="I27" s="626" t="str"/>
      <x:c r="J27" s="626" t="str"/>
      <x:c r="K27" s="626" t="str"/>
      <x:c r="L27" s="627" t="str"/>
      <x:c r="M27" s="6" t="str">
        <x:f>IF(H27="通过",IF(COUNTBLANK(I27:L27)=0,"记录齐全","待补证据"),H27)</x:f>
        <x:v>还没测</x:v>
      </x:c>
    </x:row>
    <x:row r="28" ht="94" customHeight="1">
      <x:c r="A28" s="616" t="str">
        <x:v>OPS-23</x:v>
      </x:c>
      <x:c r="B28" s="616" t="str">
        <x:v>实时监测</x:v>
      </x:c>
      <x:c r="C28" s="616" t="str">
        <x:v>必须先测</x:v>
      </x:c>
      <x:c r="D28" s="617" t="str">
        <x:v>快速切换设备不串读数</x:v>
      </x:c>
      <x:c r="E28" s="617" t="str">
        <x:v>甲设备读取延迟时切换乙设备，再让甲响应到达。</x:v>
      </x:c>
      <x:c r="F28" s="617" t="str">
        <x:v>乙详情不被甲旧响应覆盖；筛选为空不留旧读数。</x:v>
      </x:c>
      <x:c r="G28" s="617" t="str">
        <x:v>两设备ID、响应顺序、页面</x:v>
      </x:c>
      <x:c r="H28" s="626" t="str">
        <x:v>还没测</x:v>
      </x:c>
      <x:c r="I28" s="626" t="str"/>
      <x:c r="J28" s="626" t="str"/>
      <x:c r="K28" s="626" t="str"/>
      <x:c r="L28" s="627" t="str"/>
      <x:c r="M28" s="6" t="str">
        <x:f>IF(H28="通过",IF(COUNTBLANK(I28:L28)=0,"记录齐全","待补证据"),H28)</x:f>
        <x:v>还没测</x:v>
      </x:c>
    </x:row>
    <x:row r="29" ht="94" customHeight="1">
      <x:c r="A29" s="616" t="str">
        <x:v>OPS-24</x:v>
      </x:c>
      <x:c r="B29" s="616" t="str">
        <x:v>实时监测</x:v>
      </x:c>
      <x:c r="C29" s="616" t="str">
        <x:v>重要检查</x:v>
      </x:c>
      <x:c r="D29" s="617" t="str">
        <x:v>读取失败不能留成实时成功</x:v>
      </x:c>
      <x:c r="E29" s="617" t="str">
        <x:v>制造当前设备信息接口失败后恢复。</x:v>
      </x:c>
      <x:c r="F29" s="617" t="str">
        <x:v>旧读数清理或明确标失效，错误独立提示并可重试，不编造正常。</x:v>
      </x:c>
      <x:c r="G29" s="617" t="str">
        <x:v>失败/恢复响应、页面状态</x:v>
      </x:c>
      <x:c r="H29" s="626" t="str">
        <x:v>还没测</x:v>
      </x:c>
      <x:c r="I29" s="626" t="str"/>
      <x:c r="J29" s="626" t="str"/>
      <x:c r="K29" s="626" t="str"/>
      <x:c r="L29" s="627" t="str"/>
      <x:c r="M29" s="6" t="str">
        <x:f>IF(H29="通过",IF(COUNTBLANK(I29:L29)=0,"记录齐全","待补证据"),H29)</x:f>
        <x:v>还没测</x:v>
      </x:c>
    </x:row>
    <x:row r="30" ht="94" customHeight="1">
      <x:c r="A30" s="616" t="str">
        <x:v>OPS-25</x:v>
      </x:c>
      <x:c r="B30" s="616" t="str">
        <x:v>实时监测</x:v>
      </x:c>
      <x:c r="C30" s="616" t="str">
        <x:v>必须先测</x:v>
      </x:c>
      <x:c r="D30" s="617" t="str">
        <x:v>不同协议按各自时限离线</x:v>
      </x:c>
      <x:c r="E30" s="617" t="str">
        <x:v>MQTT工参与光电心跳分别暂停；开测先记录实际配置。</x:v>
      </x:c>
      <x:c r="F30" s="617" t="str">
        <x:v>分别按本协议时限判断，不套用同一值；默认MQTT工参30秒、EO心跳3秒，非保证实时无延迟。</x:v>
      </x:c>
      <x:c r="G30" s="617" t="str">
        <x:v>协议、配置、末心跳与离线时间</x:v>
      </x:c>
      <x:c r="H30" s="626" t="str">
        <x:v>还没测</x:v>
      </x:c>
      <x:c r="I30" s="626" t="str"/>
      <x:c r="J30" s="626" t="str"/>
      <x:c r="K30" s="626" t="str"/>
      <x:c r="L30" s="627" t="str"/>
      <x:c r="M30" s="6" t="str">
        <x:f>IF(H30="通过",IF(COUNTBLANK(I30:L30)=0,"记录齐全","待补证据"),H30)</x:f>
        <x:v>还没测</x:v>
      </x:c>
    </x:row>
    <x:row r="31" ht="94" customHeight="1">
      <x:c r="A31" s="616" t="str">
        <x:v>OPS-26</x:v>
      </x:c>
      <x:c r="B31" s="616" t="str">
        <x:v>实时监测</x:v>
      </x:c>
      <x:c r="C31" s="616" t="str">
        <x:v>必须先测</x:v>
      </x:c>
      <x:c r="D31" s="617" t="str">
        <x:v>异常事件不重复生成</x:v>
      </x:c>
      <x:c r="E31" s="617" t="str">
        <x:v>让同设备同类心跳超时持续多个检查周期。</x:v>
      </x:c>
      <x:c r="F31" s="617" t="str">
        <x:v>同类未恢复异常不重复创建；不同异常不可误合并。</x:v>
      </x:c>
      <x:c r="G31" s="617" t="str">
        <x:v>设备与事件ID、周期记录</x:v>
      </x:c>
      <x:c r="H31" s="626" t="str">
        <x:v>还没测</x:v>
      </x:c>
      <x:c r="I31" s="626" t="str"/>
      <x:c r="J31" s="626" t="str"/>
      <x:c r="K31" s="626" t="str"/>
      <x:c r="L31" s="627" t="str"/>
      <x:c r="M31" s="6" t="str">
        <x:f>IF(H31="通过",IF(COUNTBLANK(I31:L31)=0,"记录齐全","待补证据"),H31)</x:f>
        <x:v>还没测</x:v>
      </x:c>
    </x:row>
    <x:row r="32" ht="94" customHeight="1">
      <x:c r="A32" s="616" t="str">
        <x:v>OPS-27</x:v>
      </x:c>
      <x:c r="B32" s="616" t="str">
        <x:v>实时监测</x:v>
      </x:c>
      <x:c r="C32" s="616" t="str">
        <x:v>必须先测</x:v>
      </x:c>
      <x:c r="D32" s="617" t="str">
        <x:v>恢复心跳只证明连接恢复</x:v>
      </x:c>
      <x:c r="E32" s="617" t="str">
        <x:v>MQTT超时后恢复新鲜心跳，但健康仍未知。</x:v>
      </x:c>
      <x:c r="F32" s="617" t="str">
        <x:v>连接事件按条件可核验恢复；设备整体运维完成仍不能仅靠心跳通过。</x:v>
      </x:c>
      <x:c r="G32" s="617" t="str">
        <x:v>新心跳、事件核验、健康字段</x:v>
      </x:c>
      <x:c r="H32" s="626" t="str">
        <x:v>还没测</x:v>
      </x:c>
      <x:c r="I32" s="626" t="str"/>
      <x:c r="J32" s="626" t="str"/>
      <x:c r="K32" s="626" t="str"/>
      <x:c r="L32" s="627" t="str"/>
      <x:c r="M32" s="6" t="str">
        <x:f>IF(H32="通过",IF(COUNTBLANK(I32:L32)=0,"记录齐全","待补证据"),H32)</x:f>
        <x:v>还没测</x:v>
      </x:c>
    </x:row>
    <x:row r="33" ht="94" customHeight="1">
      <x:c r="A33" s="616" t="str">
        <x:v>OPS-28</x:v>
      </x:c>
      <x:c r="B33" s="616" t="str">
        <x:v>实时监测</x:v>
      </x:c>
      <x:c r="C33" s="616" t="str">
        <x:v>重要检查</x:v>
      </x:c>
      <x:c r="D33" s="617" t="str">
        <x:v>当前目标与历史目标分开</x:v>
      </x:c>
      <x:c r="E33" s="617" t="str">
        <x:v>发送感知目标后停发，设备心跳继续。</x:v>
      </x:c>
      <x:c r="F33" s="617" t="str">
        <x:v>目标显示最后观测/过期事实；不能把心跳当成目标仍实时上报。</x:v>
      </x:c>
      <x:c r="G33" s="617" t="str">
        <x:v>目标与心跳两组时间</x:v>
      </x:c>
      <x:c r="H33" s="626" t="str">
        <x:v>还没测</x:v>
      </x:c>
      <x:c r="I33" s="626" t="str"/>
      <x:c r="J33" s="626" t="str"/>
      <x:c r="K33" s="626" t="str"/>
      <x:c r="L33" s="627" t="str"/>
      <x:c r="M33" s="6" t="str">
        <x:f>IF(H33="通过",IF(COUNTBLANK(I33:L33)=0,"记录齐全","待补证据"),H33)</x:f>
        <x:v>还没测</x:v>
      </x:c>
    </x:row>
    <x:row r="34" ht="94" customHeight="1">
      <x:c r="A34" s="616" t="str">
        <x:v>OPS-29</x:v>
      </x:c>
      <x:c r="B34" s="616" t="str">
        <x:v>实时监测</x:v>
      </x:c>
      <x:c r="C34" s="616" t="str">
        <x:v>重要检查</x:v>
      </x:c>
      <x:c r="D34" s="617" t="str">
        <x:v>长告警列表明确展示范围</x:v>
      </x:c>
      <x:c r="E34" s="617" t="str">
        <x:v>准备超过20条可见待处理异常，按级别筛选并定位设备。</x:v>
      </x:c>
      <x:c r="F34" s="617" t="str">
        <x:v>总数和当前显示范围明确；最近20条不冒充全部，定位设备正确。</x:v>
      </x:c>
      <x:c r="G34" s="617" t="str">
        <x:v>事件总数、展示提示、定位ID</x:v>
      </x:c>
      <x:c r="H34" s="626" t="str">
        <x:v>还没测</x:v>
      </x:c>
      <x:c r="I34" s="626" t="str"/>
      <x:c r="J34" s="626" t="str"/>
      <x:c r="K34" s="626" t="str"/>
      <x:c r="L34" s="627" t="str"/>
      <x:c r="M34" s="6" t="str">
        <x:f>IF(H34="通过",IF(COUNTBLANK(I34:L34)=0,"记录齐全","待补证据"),H34)</x:f>
        <x:v>还没测</x:v>
      </x:c>
    </x:row>
    <x:row r="35" ht="94" customHeight="1">
      <x:c r="A35" s="616" t="str">
        <x:v>OPS-30</x:v>
      </x:c>
      <x:c r="B35" s="616" t="str">
        <x:v>实时监测</x:v>
      </x:c>
      <x:c r="C35" s="616" t="str">
        <x:v>必须先测</x:v>
      </x:c>
      <x:c r="D35" s="617" t="str">
        <x:v>协议不支持重启或急停</x:v>
      </x:c>
      <x:c r="E35" s="617" t="str">
        <x:v>对未声明重启/急停的测试协议尝试现有对应入口。</x:v>
      </x:c>
      <x:c r="F35" s="617" t="str">
        <x:v>不可用原因清楚；不伪造重启或急停成功。四通道全关与射频停机核查分开。</x:v>
      </x:c>
      <x:c r="G35" s="617" t="str">
        <x:v>能力说明、拒绝响应、设备回执</x:v>
      </x:c>
      <x:c r="H35" s="626" t="str">
        <x:v>还没测</x:v>
      </x:c>
      <x:c r="I35" s="626" t="str"/>
      <x:c r="J35" s="626" t="str"/>
      <x:c r="K35" s="626" t="str"/>
      <x:c r="L35" s="627" t="str"/>
      <x:c r="M35" s="6" t="str">
        <x:f>IF(H35="通过",IF(COUNTBLANK(I35:L35)=0,"记录齐全","待补证据"),H35)</x:f>
        <x:v>还没测</x:v>
      </x:c>
    </x:row>
    <x:row r="36" ht="94" customHeight="1">
      <x:c r="A36" s="618" t="str">
        <x:v>OPS-31</x:v>
      </x:c>
      <x:c r="B36" s="618" t="str">
        <x:v>接入调测</x:v>
      </x:c>
      <x:c r="C36" s="618" t="str">
        <x:v>必须先测</x:v>
      </x:c>
      <x:c r="D36" s="619" t="str">
        <x:v>支持的TCP设备完整调测</x:v>
      </x:c>
      <x:c r="E36" s="619" t="str">
        <x:v>测试TCP设备依次创建任务、连接、保存参数、开始、查看报告。</x:v>
      </x:c>
      <x:c r="F36" s="619" t="str">
        <x:v>按状态逐步推进，202只表示受理；结果由协议检测产生。</x:v>
      </x:c>
      <x:c r="G36" s="619" t="str">
        <x:v>任务、状态事件、报告</x:v>
      </x:c>
      <x:c r="H36" s="626" t="str">
        <x:v>还没测</x:v>
      </x:c>
      <x:c r="I36" s="626" t="str"/>
      <x:c r="J36" s="626" t="str"/>
      <x:c r="K36" s="626" t="str"/>
      <x:c r="L36" s="627" t="str"/>
      <x:c r="M36" s="6" t="str">
        <x:f>IF(H36="通过",IF(COUNTBLANK(I36:L36)=0,"记录齐全","待补证据"),H36)</x:f>
        <x:v>还没测</x:v>
      </x:c>
    </x:row>
    <x:row r="37" ht="94" customHeight="1">
      <x:c r="A37" s="618" t="str">
        <x:v>OPS-32</x:v>
      </x:c>
      <x:c r="B37" s="618" t="str">
        <x:v>接入调测</x:v>
      </x:c>
      <x:c r="C37" s="618" t="str">
        <x:v>必须先测</x:v>
      </x:c>
      <x:c r="D37" s="619" t="str">
        <x:v>主动上报协议不假装调测</x:v>
      </x:c>
      <x:c r="E37" s="619" t="str">
        <x:v>选task_supported=false的MQTT设备查看接入诊断。</x:v>
      </x:c>
      <x:c r="F37" s="619" t="str">
        <x:v>不创建不支持的调测任务，改查工参/样本/接收状态，不给虚假通过。</x:v>
      </x:c>
      <x:c r="G37" s="619" t="str">
        <x:v>能力字段、诊断样本</x:v>
      </x:c>
      <x:c r="H37" s="626" t="str">
        <x:v>还没测</x:v>
      </x:c>
      <x:c r="I37" s="626" t="str"/>
      <x:c r="J37" s="626" t="str"/>
      <x:c r="K37" s="626" t="str"/>
      <x:c r="L37" s="627" t="str"/>
      <x:c r="M37" s="6" t="str">
        <x:f>IF(H37="通过",IF(COUNTBLANK(I37:L37)=0,"记录齐全","待补证据"),H37)</x:f>
        <x:v>还没测</x:v>
      </x:c>
    </x:row>
    <x:row r="38" ht="94" customHeight="1">
      <x:c r="A38" s="618" t="str">
        <x:v>OPS-33</x:v>
      </x:c>
      <x:c r="B38" s="618" t="str">
        <x:v>接入调测</x:v>
      </x:c>
      <x:c r="C38" s="618" t="str">
        <x:v>必须先测</x:v>
      </x:c>
      <x:c r="D38" s="619" t="str">
        <x:v>跳步骤不能执行</x:v>
      </x:c>
      <x:c r="E38" s="619" t="str">
        <x:v>创建任务后绕过连接尝试保存或开始；开发协助接口验证。</x:v>
      </x:c>
      <x:c r="F38" s="619" t="str">
        <x:v>服务端拒绝非法跳步，状态不变。</x:v>
      </x:c>
      <x:c r="G38" s="619" t="str">
        <x:v>非法动作响应、任务版本</x:v>
      </x:c>
      <x:c r="H38" s="626" t="str">
        <x:v>还没测</x:v>
      </x:c>
      <x:c r="I38" s="626" t="str"/>
      <x:c r="J38" s="626" t="str"/>
      <x:c r="K38" s="626" t="str"/>
      <x:c r="L38" s="627" t="str"/>
      <x:c r="M38" s="6" t="str">
        <x:f>IF(H38="通过",IF(COUNTBLANK(I38:L38)=0,"记录齐全","待补证据"),H38)</x:f>
        <x:v>还没测</x:v>
      </x:c>
    </x:row>
    <x:row r="39" ht="94" customHeight="1">
      <x:c r="A39" s="618" t="str">
        <x:v>OPS-34</x:v>
      </x:c>
      <x:c r="B39" s="618" t="str">
        <x:v>接入调测</x:v>
      </x:c>
      <x:c r="C39" s="618" t="str">
        <x:v>必须先测</x:v>
      </x:c>
      <x:c r="D39" s="619" t="str">
        <x:v>取消未结束任务</x:v>
      </x:c>
      <x:c r="E39" s="619" t="str">
        <x:v>在连接中或调测中取消专用测试任务，再等待迟到回执。</x:v>
      </x:c>
      <x:c r="F39" s="619" t="str">
        <x:v>取消按当前契约生效，迟到结果不将已取消任务改成成功。</x:v>
      </x:c>
      <x:c r="G39" s="619" t="str">
        <x:v>取消时间、回执、终态</x:v>
      </x:c>
      <x:c r="H39" s="626" t="str">
        <x:v>还没测</x:v>
      </x:c>
      <x:c r="I39" s="626" t="str"/>
      <x:c r="J39" s="626" t="str"/>
      <x:c r="K39" s="626" t="str"/>
      <x:c r="L39" s="627" t="str"/>
      <x:c r="M39" s="6" t="str">
        <x:f>IF(H39="通过",IF(COUNTBLANK(I39:L39)=0,"记录齐全","待补证据"),H39)</x:f>
        <x:v>还没测</x:v>
      </x:c>
    </x:row>
    <x:row r="40" ht="94" customHeight="1">
      <x:c r="A40" s="618" t="str">
        <x:v>OPS-35</x:v>
      </x:c>
      <x:c r="B40" s="618" t="str">
        <x:v>接入调测</x:v>
      </x:c>
      <x:c r="C40" s="618" t="str">
        <x:v>重要检查</x:v>
      </x:c>
      <x:c r="D40" s="619" t="str">
        <x:v>重新调测保留旧报告</x:v>
      </x:c>
      <x:c r="E40" s="619" t="str">
        <x:v>失败任务创建同设备新任务，关联前次任务；再试关联另一设备。</x:v>
      </x:c>
      <x:c r="F40" s="619" t="str">
        <x:v>同设备历史链保留，跨设备前次任务拒绝；旧报告不覆盖。</x:v>
      </x:c>
      <x:c r="G40" s="619" t="str">
        <x:v>新旧任务ID、前次关联</x:v>
      </x:c>
      <x:c r="H40" s="626" t="str">
        <x:v>还没测</x:v>
      </x:c>
      <x:c r="I40" s="626" t="str"/>
      <x:c r="J40" s="626" t="str"/>
      <x:c r="K40" s="626" t="str"/>
      <x:c r="L40" s="627" t="str"/>
      <x:c r="M40" s="6" t="str">
        <x:f>IF(H40="通过",IF(COUNTBLANK(I40:L40)=0,"记录齐全","待补证据"),H40)</x:f>
        <x:v>还没测</x:v>
      </x:c>
    </x:row>
    <x:row r="41" ht="94" customHeight="1">
      <x:c r="A41" s="618" t="str">
        <x:v>OPS-36</x:v>
      </x:c>
      <x:c r="B41" s="618" t="str">
        <x:v>接入调测</x:v>
      </x:c>
      <x:c r="C41" s="618" t="str">
        <x:v>必须先测</x:v>
      </x:c>
      <x:c r="D41" s="619" t="str">
        <x:v>配置快照不随台账漂移</x:v>
      </x:c>
      <x:c r="E41" s="619" t="str">
        <x:v>任务建立并保存参数后，经获准方式修改设备后续配置。</x:v>
      </x:c>
      <x:c r="F41" s="619" t="str">
        <x:v>旧任务的来源、协议、参数和安全范围仍是当时快照。</x:v>
      </x:c>
      <x:c r="G41" s="619" t="str">
        <x:v>任务快照、台账新版本</x:v>
      </x:c>
      <x:c r="H41" s="626" t="str">
        <x:v>还没测</x:v>
      </x:c>
      <x:c r="I41" s="626" t="str"/>
      <x:c r="J41" s="626" t="str"/>
      <x:c r="K41" s="626" t="str"/>
      <x:c r="L41" s="627" t="str"/>
      <x:c r="M41" s="6" t="str">
        <x:f>IF(H41="通过",IF(COUNTBLANK(I41:L41)=0,"记录齐全","待补证据"),H41)</x:f>
        <x:v>还没测</x:v>
      </x:c>
    </x:row>
    <x:row r="42" ht="94" customHeight="1">
      <x:c r="A42" s="618" t="str">
        <x:v>OPS-37</x:v>
      </x:c>
      <x:c r="B42" s="618" t="str">
        <x:v>接入调测</x:v>
      </x:c>
      <x:c r="C42" s="618" t="str">
        <x:v>必须先测</x:v>
      </x:c>
      <x:c r="D42" s="619" t="str">
        <x:v>连接失败不回退模拟成功</x:v>
      </x:c>
      <x:c r="E42" s="619" t="str">
        <x:v>live测试设备配置不可达地址或协议错误，再做调测。</x:v>
      </x:c>
      <x:c r="F42" s="619" t="str">
        <x:v>失败或不可判定如实显示，不切mock补成功。</x:v>
      </x:c>
      <x:c r="G42" s="619" t="str">
        <x:v>来源、错误、报告标记</x:v>
      </x:c>
      <x:c r="H42" s="626" t="str">
        <x:v>还没测</x:v>
      </x:c>
      <x:c r="I42" s="626" t="str"/>
      <x:c r="J42" s="626" t="str"/>
      <x:c r="K42" s="626" t="str"/>
      <x:c r="L42" s="627" t="str"/>
      <x:c r="M42" s="6" t="str">
        <x:f>IF(H42="通过",IF(COUNTBLANK(I42:L42)=0,"记录齐全","待补证据"),H42)</x:f>
        <x:v>还没测</x:v>
      </x:c>
    </x:row>
    <x:row r="43" ht="94" customHeight="1">
      <x:c r="A43" s="618" t="str">
        <x:v>OPS-38</x:v>
      </x:c>
      <x:c r="B43" s="618" t="str">
        <x:v>接入调测</x:v>
      </x:c>
      <x:c r="C43" s="618" t="str">
        <x:v>重要检查</x:v>
      </x:c>
      <x:c r="D43" s="619" t="str">
        <x:v>雷达待机没有点迹</x:v>
      </x:c>
      <x:c r="E43" s="619" t="str">
        <x:v>雷达通信正常但待机，不产生业务点迹或航迹。</x:v>
      </x:c>
      <x:c r="F43" s="619" t="str">
        <x:v>区分连接通过与业务数据不可判定；不将没有业务帧当完整通过。</x:v>
      </x:c>
      <x:c r="G43" s="619" t="str">
        <x:v>工作模式、原始样本、分项报告</x:v>
      </x:c>
      <x:c r="H43" s="626" t="str">
        <x:v>还没测</x:v>
      </x:c>
      <x:c r="I43" s="626" t="str"/>
      <x:c r="J43" s="626" t="str"/>
      <x:c r="K43" s="626" t="str"/>
      <x:c r="L43" s="627" t="str"/>
      <x:c r="M43" s="6" t="str">
        <x:f>IF(H43="通过",IF(COUNTBLANK(I43:L43)=0,"记录齐全","待补证据"),H43)</x:f>
        <x:v>还没测</x:v>
      </x:c>
    </x:row>
    <x:row r="44" ht="94" customHeight="1">
      <x:c r="A44" s="618" t="str">
        <x:v>OPS-39</x:v>
      </x:c>
      <x:c r="B44" s="618" t="str">
        <x:v>接入调测</x:v>
      </x:c>
      <x:c r="C44" s="618" t="str">
        <x:v>必须先测</x:v>
      </x:c>
      <x:c r="D44" s="619" t="str">
        <x:v>四通道只读调测边界</x:v>
      </x:c>
      <x:c r="E44" s="619" t="str">
        <x:v>对测试四通道设备执行接入调测并检查收发报文。</x:v>
      </x:c>
      <x:c r="F44" s="619" t="str">
        <x:v>调测只查询状态，不因检查自动开启通道；报告通过不代表射频已验证。</x:v>
      </x:c>
      <x:c r="G44" s="619" t="str">
        <x:v>原始报文、通道状态、报告</x:v>
      </x:c>
      <x:c r="H44" s="626" t="str">
        <x:v>还没测</x:v>
      </x:c>
      <x:c r="I44" s="626" t="str"/>
      <x:c r="J44" s="626" t="str"/>
      <x:c r="K44" s="626" t="str"/>
      <x:c r="L44" s="627" t="str"/>
      <x:c r="M44" s="6" t="str">
        <x:f>IF(H44="通过",IF(COUNTBLANK(I44:L44)=0,"记录齐全","待补证据"),H44)</x:f>
        <x:v>还没测</x:v>
      </x:c>
    </x:row>
    <x:row r="45" ht="94" customHeight="1">
      <x:c r="A45" s="618" t="str">
        <x:v>OPS-40</x:v>
      </x:c>
      <x:c r="B45" s="618" t="str">
        <x:v>接入调测</x:v>
      </x:c>
      <x:c r="C45" s="618" t="str">
        <x:v>重要检查</x:v>
      </x:c>
      <x:c r="D45" s="619" t="str">
        <x:v>进行中不能串设备和报告</x:v>
      </x:c>
      <x:c r="E45" s="619" t="str">
        <x:v>任务进行中尝试切另一设备，结束后查两台设备的历史。</x:v>
      </x:c>
      <x:c r="F45" s="619" t="str">
        <x:v>按当前规则阻止切换；报告、日志和设备ID始终对应，长日志能查看。</x:v>
      </x:c>
      <x:c r="G45" s="619" t="str">
        <x:v>任务设备对应、页面提示</x:v>
      </x:c>
      <x:c r="H45" s="626" t="str">
        <x:v>还没测</x:v>
      </x:c>
      <x:c r="I45" s="626" t="str"/>
      <x:c r="J45" s="626" t="str"/>
      <x:c r="K45" s="626" t="str"/>
      <x:c r="L45" s="627" t="str"/>
      <x:c r="M45" s="6" t="str">
        <x:f>IF(H45="通过",IF(COUNTBLANK(I45:L45)=0,"记录齐全","待补证据"),H45)</x:f>
        <x:v>还没测</x:v>
      </x:c>
    </x:row>
    <x:row r="46" ht="94" customHeight="1">
      <x:c r="A46" s="620" t="str">
        <x:v>OPS-41</x:v>
      </x:c>
      <x:c r="B46" s="620" t="str">
        <x:v>维护工作流</x:v>
      </x:c>
      <x:c r="C46" s="620" t="str">
        <x:v>必须先测</x:v>
      </x:c>
      <x:c r="D46" s="621" t="str">
        <x:v>前台报修生成后台同一待办</x:v>
      </x:c>
      <x:c r="E46" s="621" t="str">
        <x:v>在前台计划未见目标且设备异常场景发通知，快速重复操作。</x:v>
      </x:c>
      <x:c r="F46" s="621" t="str">
        <x:v>后台关联同设备和原事项；防重，不因报修直接改设备正常。</x:v>
      </x:c>
      <x:c r="G46" s="621" t="str">
        <x:v>前台来源ID、维护任务ID、通知记录</x:v>
      </x:c>
      <x:c r="H46" s="626" t="str">
        <x:v>还没测</x:v>
      </x:c>
      <x:c r="I46" s="626" t="str"/>
      <x:c r="J46" s="626" t="str"/>
      <x:c r="K46" s="626" t="str"/>
      <x:c r="L46" s="627" t="str"/>
      <x:c r="M46" s="6" t="str">
        <x:f>IF(H46="通过",IF(COUNTBLANK(I46:L46)=0,"记录齐全","待补证据"),H46)</x:f>
        <x:v>还没测</x:v>
      </x:c>
    </x:row>
    <x:row r="47" ht="94" customHeight="1">
      <x:c r="A47" s="620" t="str">
        <x:v>OPS-42</x:v>
      </x:c>
      <x:c r="B47" s="620" t="str">
        <x:v>维护工作流</x:v>
      </x:c>
      <x:c r="C47" s="620" t="str">
        <x:v>必须先测</x:v>
      </x:c>
      <x:c r="D47" s="621" t="str">
        <x:v>开始处理记录真实人员</x:v>
      </x:c>
      <x:c r="E47" s="621" t="str">
        <x:v>两账号同时开始同一待处理任务。</x:v>
      </x:c>
      <x:c r="F47" s="621" t="str">
        <x:v>只一次有效状态推进，处理人正确；另一账号看到冲突或最新状态。</x:v>
      </x:c>
      <x:c r="G47" s="621" t="str">
        <x:v>版本、处理人、事件数</x:v>
      </x:c>
      <x:c r="H47" s="626" t="str">
        <x:v>还没测</x:v>
      </x:c>
      <x:c r="I47" s="626" t="str"/>
      <x:c r="J47" s="626" t="str"/>
      <x:c r="K47" s="626" t="str"/>
      <x:c r="L47" s="627" t="str"/>
      <x:c r="M47" s="6" t="str">
        <x:f>IF(H47="通过",IF(COUNTBLANK(I47:L47)=0,"记录齐全","待补证据"),H47)</x:f>
        <x:v>还没测</x:v>
      </x:c>
    </x:row>
    <x:row r="48" ht="94" customHeight="1">
      <x:c r="A48" s="620" t="str">
        <x:v>OPS-43</x:v>
      </x:c>
      <x:c r="B48" s="620" t="str">
        <x:v>维护工作流</x:v>
      </x:c>
      <x:c r="C48" s="620" t="str">
        <x:v>重要检查</x:v>
      </x:c>
      <x:c r="D48" s="621" t="str">
        <x:v>保存进展不等于完成</x:v>
      </x:c>
      <x:c r="E48" s="621" t="str">
        <x:v>处理中填写空白、1字、正常说明、超过1000字。</x:v>
      </x:c>
      <x:c r="F48" s="621" t="str">
        <x:v>按2–1000字校验；有效说明追加历史，不将任务办结。</x:v>
      </x:c>
      <x:c r="G48" s="621" t="str">
        <x:v>输入长度、事件及任务状态</x:v>
      </x:c>
      <x:c r="H48" s="626" t="str">
        <x:v>还没测</x:v>
      </x:c>
      <x:c r="I48" s="626" t="str"/>
      <x:c r="J48" s="626" t="str"/>
      <x:c r="K48" s="626" t="str"/>
      <x:c r="L48" s="627" t="str"/>
      <x:c r="M48" s="6" t="str">
        <x:f>IF(H48="通过",IF(COUNTBLANK(I48:L48)=0,"记录齐全","待补证据"),H48)</x:f>
        <x:v>还没测</x:v>
      </x:c>
    </x:row>
    <x:row r="49" ht="94" customHeight="1">
      <x:c r="A49" s="620" t="str">
        <x:v>OPS-44</x:v>
      </x:c>
      <x:c r="B49" s="620" t="str">
        <x:v>维护工作流</x:v>
      </x:c>
      <x:c r="C49" s="620" t="str">
        <x:v>必须先测</x:v>
      </x:c>
      <x:c r="D49" s="621" t="str">
        <x:v>关联调测不能偷偷启动</x:v>
      </x:c>
      <x:c r="E49" s="621" t="str">
        <x:v>关联同设备同来源的可见调测；再试跨设备/来源或无commissioning.read账号。</x:v>
      </x:c>
      <x:c r="F49" s="621" t="str">
        <x:v>合法关联只建立关系；错误关联或缺权拒绝，不启动新调测。</x:v>
      </x:c>
      <x:c r="G49" s="621" t="str">
        <x:v>关联ID、权限、设备命令计数</x:v>
      </x:c>
      <x:c r="H49" s="626" t="str">
        <x:v>还没测</x:v>
      </x:c>
      <x:c r="I49" s="626" t="str"/>
      <x:c r="J49" s="626" t="str"/>
      <x:c r="K49" s="626" t="str"/>
      <x:c r="L49" s="627" t="str"/>
      <x:c r="M49" s="6" t="str">
        <x:f>IF(H49="通过",IF(COUNTBLANK(I49:L49)=0,"记录齐全","待补证据"),H49)</x:f>
        <x:v>还没测</x:v>
      </x:c>
    </x:row>
    <x:row r="50" ht="94" customHeight="1">
      <x:c r="A50" s="620" t="str">
        <x:v>OPS-45</x:v>
      </x:c>
      <x:c r="B50" s="620" t="str">
        <x:v>维护工作流</x:v>
      </x:c>
      <x:c r="C50" s="620" t="str">
        <x:v>必须先测</x:v>
      </x:c>
      <x:c r="D50" s="621" t="str">
        <x:v>活动指令阻止提交核验</x:v>
      </x:c>
      <x:c r="E50" s="621" t="str">
        <x:v>设备仍有执行中指令、调测或跟踪，尝试提交恢复核验。</x:v>
      </x:c>
      <x:c r="F50" s="621" t="str">
        <x:v>指出未结束工作并阻止提交；不替用户自动结束任务。</x:v>
      </x:c>
      <x:c r="G50" s="621" t="str">
        <x:v>活动任务ID、阻断原因</x:v>
      </x:c>
      <x:c r="H50" s="626" t="str">
        <x:v>还没测</x:v>
      </x:c>
      <x:c r="I50" s="626" t="str"/>
      <x:c r="J50" s="626" t="str"/>
      <x:c r="K50" s="626" t="str"/>
      <x:c r="L50" s="627" t="str"/>
      <x:c r="M50" s="6" t="str">
        <x:f>IF(H50="通过",IF(COUNTBLANK(I50:L50)=0,"记录齐全","待补证据"),H50)</x:f>
        <x:v>还没测</x:v>
      </x:c>
    </x:row>
    <x:row r="51" ht="94" customHeight="1">
      <x:c r="A51" s="620" t="str">
        <x:v>OPS-46</x:v>
      </x:c>
      <x:c r="B51" s="620" t="str">
        <x:v>维护工作流</x:v>
      </x:c>
      <x:c r="C51" s="620" t="str">
        <x:v>必须先测</x:v>
      </x:c>
      <x:c r="D51" s="621" t="str">
        <x:v>有未恢复异常不能完成</x:v>
      </x:c>
      <x:c r="E51" s="621" t="str">
        <x:v>设备在线GOOD，但保留一个未恢复异常事件。</x:v>
      </x:c>
      <x:c r="F51" s="621" t="str">
        <x:v>须先完成设备异常核验；维护流程不能替代关闭异常。</x:v>
      </x:c>
      <x:c r="G51" s="621" t="str">
        <x:v>异常ID、核验结果、完成拒绝</x:v>
      </x:c>
      <x:c r="H51" s="626" t="str">
        <x:v>还没测</x:v>
      </x:c>
      <x:c r="I51" s="626" t="str"/>
      <x:c r="J51" s="626" t="str"/>
      <x:c r="K51" s="626" t="str"/>
      <x:c r="L51" s="627" t="str"/>
      <x:c r="M51" s="6" t="str">
        <x:f>IF(H51="通过",IF(COUNTBLANK(I51:L51)=0,"记录齐全","待补证据"),H51)</x:f>
        <x:v>还没测</x:v>
      </x:c>
    </x:row>
    <x:row r="52" ht="94" customHeight="1">
      <x:c r="A52" s="620" t="str">
        <x:v>OPS-47</x:v>
      </x:c>
      <x:c r="B52" s="620" t="str">
        <x:v>维护工作流</x:v>
      </x:c>
      <x:c r="C52" s="620" t="str">
        <x:v>必须先测</x:v>
      </x:c>
      <x:c r="D52" s="621" t="str">
        <x:v>旧数据或未来数据不能恢复</x:v>
      </x:c>
      <x:c r="E52" s="621" t="str">
        <x:v>分别使用报修前状态、超过300秒状态、未来心跳。</x:v>
      </x:c>
      <x:c r="F52" s="621" t="str">
        <x:v>缺报修后新鲜可信依据，结果UNKNOWN；不允许完成。</x:v>
      </x:c>
      <x:c r="G52" s="621" t="str">
        <x:v>报修时间、状态/心跳时刻、原因</x:v>
      </x:c>
      <x:c r="H52" s="626" t="str">
        <x:v>还没测</x:v>
      </x:c>
      <x:c r="I52" s="626" t="str"/>
      <x:c r="J52" s="626" t="str"/>
      <x:c r="K52" s="626" t="str"/>
      <x:c r="L52" s="627" t="str"/>
      <x:c r="M52" s="6" t="str">
        <x:f>IF(H52="通过",IF(COUNTBLANK(I52:L52)=0,"记录齐全","待补证据"),H52)</x:f>
        <x:v>还没测</x:v>
      </x:c>
    </x:row>
    <x:row r="53" ht="94" customHeight="1">
      <x:c r="A53" s="620" t="str">
        <x:v>OPS-48</x:v>
      </x:c>
      <x:c r="B53" s="620" t="str">
        <x:v>维护工作流</x:v>
      </x:c>
      <x:c r="C53" s="620" t="str">
        <x:v>必须先测</x:v>
      </x:c>
      <x:c r="D53" s="621" t="str">
        <x:v>在线但健康未知不能恢复</x:v>
      </x:c>
      <x:c r="E53" s="621" t="str">
        <x:v>只恢复心跳，健康或有无告警字段缺失。</x:v>
      </x:c>
      <x:c r="F53" s="621" t="str">
        <x:v>核验UNKNOWN，不用在线代替整体健康。</x:v>
      </x:c>
      <x:c r="G53" s="621" t="str">
        <x:v>状态字段、核验结果</x:v>
      </x:c>
      <x:c r="H53" s="626" t="str">
        <x:v>还没测</x:v>
      </x:c>
      <x:c r="I53" s="626" t="str"/>
      <x:c r="J53" s="626" t="str"/>
      <x:c r="K53" s="626" t="str"/>
      <x:c r="L53" s="627" t="str"/>
      <x:c r="M53" s="6" t="str">
        <x:f>IF(H53="通过",IF(COUNTBLANK(I53:L53)=0,"记录齐全","待补证据"),H53)</x:f>
        <x:v>还没测</x:v>
      </x:c>
    </x:row>
    <x:row r="54" ht="94" customHeight="1">
      <x:c r="A54" s="620" t="str">
        <x:v>OPS-49</x:v>
      </x:c>
      <x:c r="B54" s="620" t="str">
        <x:v>维护工作流</x:v>
      </x:c>
      <x:c r="C54" s="620" t="str">
        <x:v>必须先测</x:v>
      </x:c>
      <x:c r="D54" s="621" t="str">
        <x:v>停用或仍异常不能恢复</x:v>
      </x:c>
      <x:c r="E54" s="621" t="str">
        <x:v>设备停用、离线、非GOOD或明确有告警，分别留子批次。</x:v>
      </x:c>
      <x:c r="F54" s="621" t="str">
        <x:v>相应核验失败并解释；不改成已完成。</x:v>
      </x:c>
      <x:c r="G54" s="621" t="str">
        <x:v>各批次状态及失败原因</x:v>
      </x:c>
      <x:c r="H54" s="626" t="str">
        <x:v>还没测</x:v>
      </x:c>
      <x:c r="I54" s="626" t="str"/>
      <x:c r="J54" s="626" t="str"/>
      <x:c r="K54" s="626" t="str"/>
      <x:c r="L54" s="627" t="str"/>
      <x:c r="M54" s="6" t="str">
        <x:f>IF(H54="通过",IF(COUNTBLANK(I54:L54)=0,"记录齐全","待补证据"),H54)</x:f>
        <x:v>还没测</x:v>
      </x:c>
    </x:row>
    <x:row r="55" ht="94" customHeight="1">
      <x:c r="A55" s="620" t="str">
        <x:v>OPS-50</x:v>
      </x:c>
      <x:c r="B55" s="620" t="str">
        <x:v>维护工作流</x:v>
      </x:c>
      <x:c r="C55" s="620" t="str">
        <x:v>必须先测</x:v>
      </x:c>
      <x:c r="D55" s="621" t="str">
        <x:v>来源改变不能冒充恢复</x:v>
      </x:c>
      <x:c r="E55" s="621" t="str">
        <x:v>报修后尝试把原设备数据换为不同source_mode或模拟标记。</x:v>
      </x:c>
      <x:c r="F55" s="621" t="str">
        <x:v>核验UNKNOWN，来源不一致不能用模拟结果证明真设备修好。</x:v>
      </x:c>
      <x:c r="G55" s="621" t="str">
        <x:v>报修来源快照、当前来源</x:v>
      </x:c>
      <x:c r="H55" s="626" t="str">
        <x:v>还没测</x:v>
      </x:c>
      <x:c r="I55" s="626" t="str"/>
      <x:c r="J55" s="626" t="str"/>
      <x:c r="K55" s="626" t="str"/>
      <x:c r="L55" s="627" t="str"/>
      <x:c r="M55" s="6" t="str">
        <x:f>IF(H55="通过",IF(COUNTBLANK(I55:L55)=0,"记录齐全","待补证据"),H55)</x:f>
        <x:v>还没测</x:v>
      </x:c>
    </x:row>
    <x:row r="56" ht="94" customHeight="1">
      <x:c r="A56" s="620" t="str">
        <x:v>OPS-51</x:v>
      </x:c>
      <x:c r="B56" s="620" t="str">
        <x:v>维护工作流</x:v>
      </x:c>
      <x:c r="C56" s="620" t="str">
        <x:v>必须先测</x:v>
      </x:c>
      <x:c r="D56" s="621" t="str">
        <x:v>核验通过后仍需确认完成</x:v>
      </x:c>
      <x:c r="E56" s="621" t="str">
        <x:v>新鲜在线GOOD无告警，无未恢复事件和活动工作，进行核验。</x:v>
      </x:c>
      <x:c r="F56" s="621" t="str">
        <x:v>PASS后仍待恢复核验；填写完成说明、再次检查通过才完成。</x:v>
      </x:c>
      <x:c r="G56" s="621" t="str">
        <x:v>PASS时间、完成事件、设备事实</x:v>
      </x:c>
      <x:c r="H56" s="626" t="str">
        <x:v>还没测</x:v>
      </x:c>
      <x:c r="I56" s="626" t="str"/>
      <x:c r="J56" s="626" t="str"/>
      <x:c r="K56" s="626" t="str"/>
      <x:c r="L56" s="627" t="str"/>
      <x:c r="M56" s="6" t="str">
        <x:f>IF(H56="通过",IF(COUNTBLANK(I56:L56)=0,"记录齐全","待补证据"),H56)</x:f>
        <x:v>还没测</x:v>
      </x:c>
    </x:row>
    <x:row r="57" ht="94" customHeight="1">
      <x:c r="A57" s="620" t="str">
        <x:v>OPS-52</x:v>
      </x:c>
      <x:c r="B57" s="620" t="str">
        <x:v>维护工作流</x:v>
      </x:c>
      <x:c r="C57" s="620" t="str">
        <x:v>必须先测</x:v>
      </x:c>
      <x:c r="D57" s="621" t="str">
        <x:v>核验通过超过5分钟再完成</x:v>
      </x:c>
      <x:c r="E57" s="621" t="str">
        <x:v>取得PASS后保持新鲜设备上报，但等原核验超过300秒再点完成。</x:v>
      </x:c>
      <x:c r="F57" s="621" t="str">
        <x:v>原PASS失效，要求重新核验；不能只看设备在线自动办结。</x:v>
      </x:c>
      <x:c r="G57" s="621" t="str">
        <x:v>原核验与提交时间、拒绝结果</x:v>
      </x:c>
      <x:c r="H57" s="626" t="str">
        <x:v>还没测</x:v>
      </x:c>
      <x:c r="I57" s="626" t="str"/>
      <x:c r="J57" s="626" t="str"/>
      <x:c r="K57" s="626" t="str"/>
      <x:c r="L57" s="627" t="str"/>
      <x:c r="M57" s="6" t="str">
        <x:f>IF(H57="通过",IF(COUNTBLANK(I57:L57)=0,"记录齐全","待补证据"),H57)</x:f>
        <x:v>还没测</x:v>
      </x:c>
    </x:row>
    <x:row r="58" ht="94" customHeight="1">
      <x:c r="A58" s="620" t="str">
        <x:v>OPS-53</x:v>
      </x:c>
      <x:c r="B58" s="620" t="str">
        <x:v>维护工作流</x:v>
      </x:c>
      <x:c r="C58" s="620" t="str">
        <x:v>必须先测</x:v>
      </x:c>
      <x:c r="D58" s="621" t="str">
        <x:v>核验后再坏不能完成</x:v>
      </x:c>
      <x:c r="E58" s="621" t="str">
        <x:v>PASS后、完成前重新产生异常或停止有效上报。</x:v>
      </x:c>
      <x:c r="F58" s="621" t="str">
        <x:v>完成时重新检查并拒绝；旧PASS不能盖住当前问题。</x:v>
      </x:c>
      <x:c r="G58" s="621" t="str">
        <x:v>两次状态、完成拒绝</x:v>
      </x:c>
      <x:c r="H58" s="626" t="str">
        <x:v>还没测</x:v>
      </x:c>
      <x:c r="I58" s="626" t="str"/>
      <x:c r="J58" s="626" t="str"/>
      <x:c r="K58" s="626" t="str"/>
      <x:c r="L58" s="627" t="str"/>
      <x:c r="M58" s="6" t="str">
        <x:f>IF(H58="通过",IF(COUNTBLANK(I58:L58)=0,"记录齐全","待补证据"),H58)</x:f>
        <x:v>还没测</x:v>
      </x:c>
    </x:row>
    <x:row r="59" ht="94" customHeight="1">
      <x:c r="A59" s="620" t="str">
        <x:v>OPS-54</x:v>
      </x:c>
      <x:c r="B59" s="620" t="str">
        <x:v>维护工作流</x:v>
      </x:c>
      <x:c r="C59" s="620" t="str">
        <x:v>必须先测</x:v>
      </x:c>
      <x:c r="D59" s="621" t="str">
        <x:v>失败后恢复处理再核验</x:v>
      </x:c>
      <x:c r="E59" s="621" t="str">
        <x:v>待核验失败后点恢复处理，追加进展，再提交核验。</x:v>
      </x:c>
      <x:c r="F59" s="621" t="str">
        <x:v>回到处理中，当前核验摘要清除，旧失败事件保留；新一轮独立检查。</x:v>
      </x:c>
      <x:c r="G59" s="621" t="str">
        <x:v>各阶段版本与历史事件</x:v>
      </x:c>
      <x:c r="H59" s="626" t="str">
        <x:v>还没测</x:v>
      </x:c>
      <x:c r="I59" s="626" t="str"/>
      <x:c r="J59" s="626" t="str"/>
      <x:c r="K59" s="626" t="str"/>
      <x:c r="L59" s="627" t="str"/>
      <x:c r="M59" s="6" t="str">
        <x:f>IF(H59="通过",IF(COUNTBLANK(I59:L59)=0,"记录齐全","待补证据"),H59)</x:f>
        <x:v>还没测</x:v>
      </x:c>
    </x:row>
    <x:row r="60" ht="94" customHeight="1">
      <x:c r="A60" s="620" t="str">
        <x:v>OPS-55</x:v>
      </x:c>
      <x:c r="B60" s="620" t="str">
        <x:v>维护工作流</x:v>
      </x:c>
      <x:c r="C60" s="620" t="str">
        <x:v>必须先测</x:v>
      </x:c>
      <x:c r="D60" s="621" t="str">
        <x:v>重试和旧接口不能绕过流程</x:v>
      </x:c>
      <x:c r="E60" s="621" t="str">
        <x:v>同请求同键重复，再用同键不同内容及旧handling入口提交。</x:v>
      </x:c>
      <x:c r="F60" s="621" t="str">
        <x:v>同请求不重复事件且按当前权限返回最新状态；不同内容/旧接口拒绝。</x:v>
      </x:c>
      <x:c r="G60" s="621" t="str">
        <x:v>请求键、事件数、拒绝码</x:v>
      </x:c>
      <x:c r="H60" s="626" t="str">
        <x:v>还没测</x:v>
      </x:c>
      <x:c r="I60" s="626" t="str"/>
      <x:c r="J60" s="626" t="str"/>
      <x:c r="K60" s="626" t="str"/>
      <x:c r="L60" s="627" t="str"/>
      <x:c r="M60" s="6" t="str">
        <x:f>IF(H60="通过",IF(COUNTBLANK(I60:L60)=0,"记录齐全","待补证据"),H60)</x:f>
        <x:v>还没测</x:v>
      </x:c>
    </x:row>
    <x:row r="61" ht="94" customHeight="1">
      <x:c r="A61" s="620" t="str">
        <x:v>OPS-56</x:v>
      </x:c>
      <x:c r="B61" s="620" t="str">
        <x:v>维护工作流</x:v>
      </x:c>
      <x:c r="C61" s="620" t="str">
        <x:v>重要检查</x:v>
      </x:c>
      <x:c r="D61" s="621" t="str">
        <x:v>完成与历史反馈分别展示</x:v>
      </x:c>
      <x:c r="E61" s="621" t="str">
        <x:v>查看COMPLETED、LEGACY_HANDLED及各处理中阶段，组合状态筛选。</x:v>
      </x:c>
      <x:c r="F61" s="621" t="str">
        <x:v>历史已反馈不补造恢复PASS；完成及历史只读；未完成覆盖处理中/待核验且总数一致。</x:v>
      </x:c>
      <x:c r="G61" s="621" t="str">
        <x:v>状态、筛选总数、历史核验</x:v>
      </x:c>
      <x:c r="H61" s="626" t="str">
        <x:v>还没测</x:v>
      </x:c>
      <x:c r="I61" s="626" t="str"/>
      <x:c r="J61" s="626" t="str"/>
      <x:c r="K61" s="626" t="str"/>
      <x:c r="L61" s="627" t="str"/>
      <x:c r="M61" s="6" t="str">
        <x:f>IF(H61="通过",IF(COUNTBLANK(I61:L61)=0,"记录齐全","待补证据"),H61)</x:f>
        <x:v>还没测</x:v>
      </x:c>
    </x:row>
    <x:row r="62" ht="94" customHeight="1">
      <x:c r="A62" s="622" t="str">
        <x:v>OPS-57</x:v>
      </x:c>
      <x:c r="B62" s="622" t="str">
        <x:v>站内消息与通知</x:v>
      </x:c>
      <x:c r="C62" s="622" t="str">
        <x:v>必须先测</x:v>
      </x:c>
      <x:c r="D62" s="623" t="str">
        <x:v>读取消息不等于标已读</x:v>
      </x:c>
      <x:c r="E62" s="623" t="str">
        <x:v>打开消息列表、刷新分页，另一页面查看未读数和任务。</x:v>
      </x:c>
      <x:c r="F62" s="623" t="str">
        <x:v>GET不改变已读、任务状态、版本及通知回执。</x:v>
      </x:c>
      <x:c r="G62" s="623" t="str">
        <x:v>读取前后时间与未读数</x:v>
      </x:c>
      <x:c r="H62" s="626" t="str">
        <x:v>还没测</x:v>
      </x:c>
      <x:c r="I62" s="626" t="str"/>
      <x:c r="J62" s="626" t="str"/>
      <x:c r="K62" s="626" t="str"/>
      <x:c r="L62" s="627" t="str"/>
      <x:c r="M62" s="6" t="str">
        <x:f>IF(H62="通过",IF(COUNTBLANK(I62:L62)=0,"记录齐全","待补证据"),H62)</x:f>
        <x:v>还没测</x:v>
      </x:c>
    </x:row>
    <x:row r="63" ht="94" customHeight="1">
      <x:c r="A63" s="622" t="str">
        <x:v>OPS-58</x:v>
      </x:c>
      <x:c r="B63" s="622" t="str">
        <x:v>站内消息与通知</x:v>
      </x:c>
      <x:c r="C63" s="622" t="str">
        <x:v>必须先测</x:v>
      </x:c>
      <x:c r="D63" s="623" t="str">
        <x:v>各账号已读互不影响</x:v>
      </x:c>
      <x:c r="E63" s="623" t="str">
        <x:v>甲标记已读，再重复标记，乙账号查看同任务。</x:v>
      </x:c>
      <x:c r="F63" s="623" t="str">
        <x:v>甲保留第一次已读时间；乙仍按自身已读状态；任务未因此完成。</x:v>
      </x:c>
      <x:c r="G63" s="623" t="str">
        <x:v>两账号已读时间、任务状态</x:v>
      </x:c>
      <x:c r="H63" s="626" t="str">
        <x:v>还没测</x:v>
      </x:c>
      <x:c r="I63" s="626" t="str"/>
      <x:c r="J63" s="626" t="str"/>
      <x:c r="K63" s="626" t="str"/>
      <x:c r="L63" s="627" t="str"/>
      <x:c r="M63" s="6" t="str">
        <x:f>IF(H63="通过",IF(COUNTBLANK(I63:L63)=0,"记录齐全","待补证据"),H63)</x:f>
        <x:v>还没测</x:v>
      </x:c>
    </x:row>
    <x:row r="64" ht="94" customHeight="1">
      <x:c r="A64" s="622" t="str">
        <x:v>OPS-59</x:v>
      </x:c>
      <x:c r="B64" s="622" t="str">
        <x:v>站内消息与通知</x:v>
      </x:c>
      <x:c r="C64" s="622" t="str">
        <x:v>重要检查</x:v>
      </x:c>
      <x:c r="D64" s="623" t="str">
        <x:v>消息定位到同一设备待办</x:v>
      </x:c>
      <x:c r="E64" s="623" t="str">
        <x:v>点击可见维护消息进入接入调测，再返回列表。</x:v>
      </x:c>
      <x:c r="F64" s="623" t="str">
        <x:v>定位同任务同设备；设备已删或权限改变时说明原因，不换成别的设备。</x:v>
      </x:c>
      <x:c r="G64" s="623" t="str">
        <x:v>消息、路由、任务及设备ID</x:v>
      </x:c>
      <x:c r="H64" s="626" t="str">
        <x:v>还没测</x:v>
      </x:c>
      <x:c r="I64" s="626" t="str"/>
      <x:c r="J64" s="626" t="str"/>
      <x:c r="K64" s="626" t="str"/>
      <x:c r="L64" s="627" t="str"/>
      <x:c r="M64" s="6" t="str">
        <x:f>IF(H64="通过",IF(COUNTBLANK(I64:L64)=0,"记录齐全","待补证据"),H64)</x:f>
        <x:v>还没测</x:v>
      </x:c>
    </x:row>
    <x:row r="65" ht="94" customHeight="1">
      <x:c r="A65" s="622" t="str">
        <x:v>OPS-60</x:v>
      </x:c>
      <x:c r="B65" s="622" t="str">
        <x:v>站内消息与通知</x:v>
      </x:c>
      <x:c r="C65" s="622" t="str">
        <x:v>必须先测</x:v>
      </x:c>
      <x:c r="D65" s="623" t="str">
        <x:v>通知状态及历史送达不混淆</x:v>
      </x:c>
      <x:c r="E65" s="623" t="str">
        <x:v>准备未发送、结果未知、提交、送达、失败及迟到回执记录。</x:v>
      </x:c>
      <x:c r="F65" s="623" t="str">
        <x:v>状态分别显示；后一次失败不抹掉先前送达，模拟不冒充真实送达。</x:v>
      </x:c>
      <x:c r="G65" s="623" t="str">
        <x:v>通知快照、每次投递和回执</x:v>
      </x:c>
      <x:c r="H65" s="626" t="str">
        <x:v>还没测</x:v>
      </x:c>
      <x:c r="I65" s="626" t="str"/>
      <x:c r="J65" s="626" t="str"/>
      <x:c r="K65" s="626" t="str"/>
      <x:c r="L65" s="627" t="str"/>
      <x:c r="M65" s="6" t="str">
        <x:f>IF(H65="通过",IF(COUNTBLANK(I65:L65)=0,"记录齐全","待补证据"),H65)</x:f>
        <x:v>还没测</x:v>
      </x:c>
    </x:row>
    <x:row r="66" ht="94" customHeight="1">
      <x:c r="A66" s="624" t="str">
        <x:v>OPS-61</x:v>
      </x:c>
      <x:c r="B66" s="624" t="str">
        <x:v>前后台一致与恢复</x:v>
      </x:c>
      <x:c r="C66" s="624" t="str">
        <x:v>必须先测</x:v>
      </x:c>
      <x:c r="D66" s="625" t="str">
        <x:v>后台修好后前台同步</x:v>
      </x:c>
      <x:c r="E66" s="625" t="str">
        <x:v>按F33完成后台恢复，回到原飞行计划、设备点和异常记录。</x:v>
      </x:c>
      <x:c r="F66" s="625" t="str">
        <x:v>按同设备当前事实更新；历史报修和通知保留，修好不等于无人机已经起飞。</x:v>
      </x:c>
      <x:c r="G66" s="625" t="str">
        <x:v>同设备前后台状态与时间</x:v>
      </x:c>
      <x:c r="H66" s="626" t="str">
        <x:v>还没测</x:v>
      </x:c>
      <x:c r="I66" s="626" t="str"/>
      <x:c r="J66" s="626" t="str"/>
      <x:c r="K66" s="626" t="str"/>
      <x:c r="L66" s="627" t="str"/>
      <x:c r="M66" s="6" t="str">
        <x:f>IF(H66="通过",IF(COUNTBLANK(I66:L66)=0,"记录齐全","待补证据"),H66)</x:f>
        <x:v>还没测</x:v>
      </x:c>
    </x:row>
    <x:row r="67" ht="94" customHeight="1">
      <x:c r="A67" s="624" t="str">
        <x:v>OPS-62</x:v>
      </x:c>
      <x:c r="B67" s="624" t="str">
        <x:v>前后台一致与恢复</x:v>
      </x:c>
      <x:c r="C67" s="624" t="str">
        <x:v>必须先测</x:v>
      </x:c>
      <x:c r="D67" s="625" t="str">
        <x:v>保存时断网先查结果</x:v>
      </x:c>
      <x:c r="E67" s="625" t="str">
        <x:v>在开始、提交核验、完成等提交后模拟响应丢失，再恢复。</x:v>
      </x:c>
      <x:c r="F67" s="625" t="str">
        <x:v>先回查原请求和当前版本，不重复推进或凭页面超时当失败。</x:v>
      </x:c>
      <x:c r="G67" s="625" t="str">
        <x:v>请求键、状态、事件条数</x:v>
      </x:c>
      <x:c r="H67" s="626" t="str">
        <x:v>还没测</x:v>
      </x:c>
      <x:c r="I67" s="626" t="str"/>
      <x:c r="J67" s="626" t="str"/>
      <x:c r="K67" s="626" t="str"/>
      <x:c r="L67" s="627" t="str"/>
      <x:c r="M67" s="6" t="str">
        <x:f>IF(H67="通过",IF(COUNTBLANK(I67:L67)=0,"记录齐全","待补证据"),H67)</x:f>
        <x:v>还没测</x:v>
      </x:c>
    </x:row>
    <x:row r="68" ht="94" customHeight="1">
      <x:c r="A68" s="624" t="str">
        <x:v>OPS-63</x:v>
      </x:c>
      <x:c r="B68" s="624" t="str">
        <x:v>前后台一致与恢复</x:v>
      </x:c>
      <x:c r="C68" s="624" t="str">
        <x:v>重要检查</x:v>
      </x:c>
      <x:c r="D68" s="625" t="str">
        <x:v>离开页面及服务恢复</x:v>
      </x:c>
      <x:c r="E68" s="625" t="str">
        <x:v>调测/维护进行中关闭页面，测试环境服务恢复后重新登录。</x:v>
      </x:c>
      <x:c r="F68" s="625" t="str">
        <x:v>查询持久状态和原任务，不重复创建；未取得设备结果仍显示未知/处理中。</x:v>
      </x:c>
      <x:c r="G68" s="625" t="str">
        <x:v>任务ID、恢复前后事件、状态</x:v>
      </x:c>
      <x:c r="H68" s="626" t="str">
        <x:v>还没测</x:v>
      </x:c>
      <x:c r="I68" s="626" t="str"/>
      <x:c r="J68" s="626" t="str"/>
      <x:c r="K68" s="626" t="str"/>
      <x:c r="L68" s="627" t="str"/>
      <x:c r="M68" s="6" t="str">
        <x:f>IF(H68="通过",IF(COUNTBLANK(I68:L68)=0,"记录齐全","待补证据"),H68)</x:f>
        <x:v>还没测</x:v>
      </x:c>
    </x:row>
    <x:row r="69" ht="94" customHeight="1">
      <x:c r="A69" s="624" t="str">
        <x:v>OPS-64</x:v>
      </x:c>
      <x:c r="B69" s="624" t="str">
        <x:v>前后台一致与恢复</x:v>
      </x:c>
      <x:c r="C69" s="624" t="str">
        <x:v>必须先测</x:v>
      </x:c>
      <x:c r="D69" s="625" t="str">
        <x:v>全过程审计可追溯</x:v>
      </x:c>
      <x:c r="E69" s="625" t="str">
        <x:v>从接入、启停、调测到维护完成，再按设备和任务查看审计。</x:v>
      </x:c>
      <x:c r="F69" s="625" t="str">
        <x:v>账号、时间、对象、动作、结果可对应；拒绝与失败留痕，不记录凭据原文。</x:v>
      </x:c>
      <x:c r="G69" s="625" t="str">
        <x:v>审计ID、设备/任务/命令对应</x:v>
      </x:c>
      <x:c r="H69" s="626" t="str">
        <x:v>还没测</x:v>
      </x:c>
      <x:c r="I69" s="626" t="str"/>
      <x:c r="J69" s="626" t="str"/>
      <x:c r="K69" s="626" t="str"/>
      <x:c r="L69" s="627" t="str"/>
      <x:c r="M69" s="6" t="str">
        <x:f>IF(H69="通过",IF(COUNTBLANK(I69:L69)=0,"记录齐全","待补证据"),H69)</x:f>
        <x:v>还没测</x:v>
      </x:c>
    </x:row>
  </x:sheetData>
  <x:mergeCells>
    <x:mergeCell ref="A3:M3"/>
    <x:mergeCell ref="A4:M4"/>
  </x:mergeCells>
  <x:conditionalFormatting sqref="H6:H69">
    <x:cfRule type="cellIs" dxfId="46" priority="1" operator="equal">
      <x:formula>"还没测"</x:formula>
    </x:cfRule>
    <x:cfRule type="cellIs" dxfId="47" priority="2" operator="equal">
      <x:formula>"通过"</x:formula>
    </x:cfRule>
    <x:cfRule type="cellIs" dxfId="48" priority="3" operator="equal">
      <x:formula>"记录齐全"</x:formula>
    </x:cfRule>
    <x:cfRule type="cellIs" dxfId="49" priority="4" operator="equal">
      <x:formula>"有问题"</x:formula>
    </x:cfRule>
    <x:cfRule type="cellIs" dxfId="50" priority="5" operator="equal">
      <x:formula>"暂时测不了"</x:formula>
    </x:cfRule>
    <x:cfRule type="cellIs" dxfId="51" priority="6" operator="equal">
      <x:formula>"待补证据"</x:formula>
    </x:cfRule>
    <x:cfRule type="cellIs" dxfId="52" priority="7" operator="equal">
      <x:formula>"进行中"</x:formula>
    </x:cfRule>
  </x:conditionalFormatting>
  <x:conditionalFormatting sqref="M6:M69">
    <x:cfRule type="cellIs" dxfId="53" priority="8" operator="equal">
      <x:formula>"还没测"</x:formula>
    </x:cfRule>
    <x:cfRule type="cellIs" dxfId="54" priority="9" operator="equal">
      <x:formula>"通过"</x:formula>
    </x:cfRule>
    <x:cfRule type="cellIs" dxfId="55" priority="10" operator="equal">
      <x:formula>"记录齐全"</x:formula>
    </x:cfRule>
    <x:cfRule type="cellIs" dxfId="56" priority="11" operator="equal">
      <x:formula>"有问题"</x:formula>
    </x:cfRule>
    <x:cfRule type="cellIs" dxfId="57" priority="12" operator="equal">
      <x:formula>"暂时测不了"</x:formula>
    </x:cfRule>
    <x:cfRule type="cellIs" dxfId="58" priority="13" operator="equal">
      <x:formula>"待补证据"</x:formula>
    </x:cfRule>
    <x:cfRule type="cellIs" dxfId="59" priority="14" operator="equal">
      <x:formula>"进行中"</x:formula>
    </x:cfRule>
  </x:conditionalFormatting>
  <x:dataValidations count="1">
    <x:dataValidation type="list" sqref="H6:H69">
      <x:formula1>"还没测,通过,有问题,暂时测不了"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556e70ac45a4f70"/>
  </x:tableParts>
</x:worksheet>
</file>

<file path=xl/worksheets/sheet11.xml><?xml version="1.0" encoding="utf-8"?>
<x:worksheet xmlns:x="http://schemas.openxmlformats.org/spreadsheetml/2006/main">
  <x:sheetPr>
    <x:tabColor rgb="FF2563E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3" hidden="0" customWidth="1"/>
    <x:col min="3" max="3" width="47" hidden="0" customWidth="1"/>
    <x:col min="4" max="4" width="62" hidden="0" customWidth="1"/>
    <x:col min="5" max="5" width="18" hidden="0" customWidth="1"/>
    <x:col min="6" max="6" width="48" hidden="0" customWidth="1"/>
    <x:col min="7" max="7" width="58" hidden="0" customWidth="1"/>
  </x:cols>
  <x:sheetData>
    <x:row r="1" ht="38" customHeight="1">
      <x:c r="A1" s="644" t="str">
        <x:v>第一轮实际执行与证据</x:v>
      </x:c>
      <x:c r="B1" s="644"/>
      <x:c r="C1" s="644"/>
      <x:c r="D1" s="644"/>
      <x:c r="E1" s="644"/>
      <x:c r="F1" s="644"/>
      <x:c r="G1" s="644"/>
    </x:row>
    <x:row r="2" ht="42" customHeight="1">
      <x:c r="A2" s="646" t="str">
        <x:v>2026-09-27，北京时间。只记录，不修复。以下子检查通过不代表其所属整条用例或业务流程通过。</x:v>
      </x:c>
      <x:c r="B2" s="646"/>
      <x:c r="C2" s="646"/>
      <x:c r="D2" s="646"/>
      <x:c r="E2" s="646"/>
      <x:c r="F2" s="646"/>
      <x:c r="G2" s="646"/>
    </x:row>
    <x:row r="4" ht="32" customHeight="1">
      <x:c r="A4" s="648" t="str">
        <x:v>记录编号</x:v>
      </x:c>
      <x:c r="B4" s="648" t="str">
        <x:v>关联范围</x:v>
      </x:c>
      <x:c r="C4" s="648" t="str">
        <x:v>执行内容</x:v>
      </x:c>
      <x:c r="D4" s="648" t="str">
        <x:v>实际结果</x:v>
      </x:c>
      <x:c r="E4" s="648" t="str">
        <x:v>结论</x:v>
      </x:c>
      <x:c r="F4" s="648" t="str">
        <x:v>证据文件（见下方目录）</x:v>
      </x:c>
      <x:c r="G4" s="648" t="str">
        <x:v>下一步/限制</x:v>
      </x:c>
    </x:row>
    <x:row r="5" ht="94" customHeight="1">
      <x:c r="A5" s="649" t="str">
        <x:v>RUN-01</x:v>
      </x:c>
      <x:c r="B5" s="649" t="str">
        <x:v>环境</x:v>
      </x:c>
      <x:c r="C5" s="649" t="str">
        <x:v>打开5173前台、5175后台、8766模拟器</x:v>
      </x:c>
      <x:c r="D5" s="649" t="str">
        <x:v>三个页面均正常加载；均未登录。</x:v>
      </x:c>
      <x:c r="E5" s="649" t="str">
        <x:v>通过</x:v>
      </x:c>
      <x:c r="F5" s="649" t="str">
        <x:v>front-help.png；admin-login.png；sim-inbox.txt</x:v>
      </x:c>
      <x:c r="G5" s="649" t="str">
        <x:v>仅证明页面可打开，不代表后端全流程可用。</x:v>
      </x:c>
    </x:row>
    <x:row r="6" ht="94" customHeight="1">
      <x:c r="A6" s="650" t="str">
        <x:v>RUN-02</x:v>
      </x:c>
      <x:c r="B6" s="650" t="str">
        <x:v>AUTH-02空字段</x:v>
      </x:c>
      <x:c r="C6" s="650" t="str">
        <x:v>清空前台字段后，用键盘提交；填写虚构账号后保持密码为空再提交</x:v>
      </x:c>
      <x:c r="D6" s="650" t="str">
        <x:v>分别提示“请输入登录账号。”与“请输入密码。”。</x:v>
      </x:c>
      <x:c r="E6" s="650" t="str">
        <x:v>通过</x:v>
      </x:c>
      <x:c r="F6" s="650" t="str">
        <x:v>front-empty-account.txt；front-empty-password.txt</x:v>
      </x:c>
      <x:c r="G6" s="650" t="str">
        <x:v>未覆盖停用账号、有效账号恢复。</x:v>
      </x:c>
    </x:row>
    <x:row r="7" ht="94" customHeight="1">
      <x:c r="A7" s="649" t="str">
        <x:v>RUN-03</x:v>
      </x:c>
      <x:c r="B7" s="649" t="str">
        <x:v>AUTH-02无效账号</x:v>
      </x:c>
      <x:c r="C7" s="649" t="str">
        <x:v>输入QA-NONEXIST-20260927及非凭据测试字符串，提交</x:v>
      </x:c>
      <x:c r="D7" s="649" t="str">
        <x:v>显示“账号或密码错误”，仍停留登录页。</x:v>
      </x:c>
      <x:c r="E7" s="649" t="str">
        <x:v>通过</x:v>
      </x:c>
      <x:c r="F7" s="649" t="str">
        <x:v>front-invalid-account.txt；front-invalid-account.png</x:v>
      </x:c>
      <x:c r="G7" s="649" t="str">
        <x:v>未使用或猜测任何真实账号密码。</x:v>
      </x:c>
    </x:row>
    <x:row r="8" ht="94" customHeight="1">
      <x:c r="A8" s="650" t="str">
        <x:v>RUN-04</x:v>
      </x:c>
      <x:c r="B8" s="650" t="str">
        <x:v>前台忘记密码</x:v>
      </x:c>
      <x:c r="C8" s="650" t="str">
        <x:v>聚焦忘记密码后按Enter</x:v>
      </x:c>
      <x:c r="D8" s="650" t="str">
        <x:v>弹出联系系统管理员说明及只记账号不存密码提示。</x:v>
      </x:c>
      <x:c r="E8" s="650" t="str">
        <x:v>通过</x:v>
      </x:c>
      <x:c r="F8" s="650" t="str">
        <x:v>front-help.txt；front-help.png</x:v>
      </x:c>
      <x:c r="G8" s="650" t="str">
        <x:v>早先鼠标操作无响应尚未稳定复现，未列为产品缺陷。</x:v>
      </x:c>
    </x:row>
    <x:row r="9" ht="94" customHeight="1">
      <x:c r="A9" s="649" t="str">
        <x:v>RUN-05</x:v>
      </x:c>
      <x:c r="B9" s="649" t="str">
        <x:v>后台登录</x:v>
      </x:c>
      <x:c r="C9" s="649" t="str">
        <x:v>账号和密码清空后提交</x:v>
      </x:c>
      <x:c r="D9" s="649" t="str">
        <x:v>出现“请输入账号”“请输入密码”，未进入管理页面。</x:v>
      </x:c>
      <x:c r="E9" s="649" t="str">
        <x:v>通过</x:v>
      </x:c>
      <x:c r="F9" s="649" t="str">
        <x:v>admin-empty-fields.txt；admin-empty-fields.png</x:v>
      </x:c>
      <x:c r="G9" s="649" t="str">
        <x:v>不同角色的成功登录尚未验证。</x:v>
      </x:c>
    </x:row>
    <x:row r="10" ht="94" customHeight="1">
      <x:c r="A10" s="650" t="str">
        <x:v>RUN-06</x:v>
      </x:c>
      <x:c r="B10" s="650" t="str">
        <x:v>AUTH/OPS访问保护</x:v>
      </x:c>
      <x:c r="C10" s="650" t="str">
        <x:v>未登录访问前台合法性页及后台设备管理、实时监测、接入调测</x:v>
      </x:c>
      <x:c r="D10" s="650" t="str">
        <x:v>全部回登录页；后台redirect分别保留对应运维地址。</x:v>
      </x:c>
      <x:c r="E10" s="650" t="str">
        <x:v>通过</x:v>
      </x:c>
      <x:c r="F10" s="650" t="str">
        <x:v>route-guards.json；admin-monitor-guard.txt；admin-commission-guard.txt</x:v>
      </x:c>
      <x:c r="G10" s="650" t="str">
        <x:v>仅未登录变体，不代表已登录角色/范围隔离通过。</x:v>
      </x:c>
    </x:row>
    <x:row r="11" ht="94" customHeight="1">
      <x:c r="A11" s="649" t="str">
        <x:v>RUN-07</x:v>
      </x:c>
      <x:c r="B11" s="649" t="str">
        <x:v>OPS接口访问保护</x:v>
      </x:c>
      <x:c r="C11" s="649" t="str">
        <x:v>无Authorization读取9个已核对路由的只读接口</x:v>
      </x:c>
      <x:c r="D11" s="649" t="str">
        <x:v>9个接口全部401：身份、设备、监测概览/树、维护待办/消息、调测、连接配置、感知目标。</x:v>
      </x:c>
      <x:c r="E11" s="649" t="str">
        <x:v>通过</x:v>
      </x:c>
      <x:c r="F11" s="649" t="str">
        <x:v>unauth-api.json</x:v>
      </x:c>
      <x:c r="G11" s="649" t="str">
        <x:v>未检查登录后对象级越权；无写操作。</x:v>
      </x:c>
    </x:row>
    <x:row r="12" ht="94" customHeight="1">
      <x:c r="A12" s="650" t="str">
        <x:v>RUN-08</x:v>
      </x:c>
      <x:c r="B12" s="650" t="str">
        <x:v>模拟器收件箱</x:v>
      </x:c>
      <x:c r="C12" s="650" t="str">
        <x:v>未登录打开收件箱并切换飞手短信</x:v>
      </x:c>
      <x:c r="D12" s="650" t="str">
        <x:v>显示“请先登录本机测试系统，读取通知与业务资料。”；没有冒充收信成功。</x:v>
      </x:c>
      <x:c r="E12" s="650" t="str">
        <x:v>通过</x:v>
      </x:c>
      <x:c r="F12" s="650" t="str">
        <x:v>sim-inbox.txt；sim-inbox.png</x:v>
      </x:c>
      <x:c r="G12" s="650" t="str">
        <x:v>未核对实际通知送达、播放和回执。</x:v>
      </x:c>
    </x:row>
    <x:row r="13" ht="94" customHeight="1">
      <x:c r="A13" s="649" t="str">
        <x:v>RUN-09</x:v>
      </x:c>
      <x:c r="B13" s="649" t="str">
        <x:v>后台页面标题</x:v>
      </x:c>
      <x:c r="C13" s="649" t="str">
        <x:v>初次打开、刷新及三种运维深链回登录</x:v>
      </x:c>
      <x:c r="D13" s="649" t="str">
        <x:v>标题“登录 - undefined”重复出现。</x:v>
      </x:c>
      <x:c r="E13" s="649" t="str">
        <x:v>有问题</x:v>
      </x:c>
      <x:c r="F13" s="649" t="str">
        <x:v>admin-title.txt；admin-login.png</x:v>
      </x:c>
      <x:c r="G13" s="649" t="str">
        <x:v>BUG-001；尚未修改。</x:v>
      </x:c>
    </x:row>
    <x:row r="14" ht="94" customHeight="1">
      <x:c r="A14" s="650" t="str">
        <x:v>RUN-10</x:v>
      </x:c>
      <x:c r="B14" s="650" t="str">
        <x:v>模拟器地图</x:v>
      </x:c>
      <x:c r="C14" s="650" t="str">
        <x:v>打开地图并读取控制台</x:v>
      </x:c>
      <x:c r="D14" s="650" t="str">
        <x:v>3个theme-tex纹理缺失告警；地图最终加载，视觉影响待核实。</x:v>
      </x:c>
      <x:c r="E14" s="650" t="str">
        <x:v>待核实</x:v>
      </x:c>
      <x:c r="F14" s="650" t="str">
        <x:v>sim-console.json</x:v>
      </x:c>
      <x:c r="G14" s="650" t="str">
        <x:v>OBS-001；不计为已证实业务故障。</x:v>
      </x:c>
    </x:row>
    <x:row r="15" ht="94" customHeight="1">
      <x:c r="A15" s="649" t="str">
        <x:v>RUN-11</x:v>
      </x:c>
      <x:c r="B15" s="649" t="str">
        <x:v>后台现有自动化</x:v>
      </x:c>
      <x:c r="C15" s="649" t="str">
        <x:v>运行10个指定Vitest测试文件</x:v>
      </x:c>
      <x:c r="D15" s="649" t="str">
        <x:v>共51项通过、0失败、0跳过。涵盖设备权限/删除/资料、维护调测/消息/工作流、监测、自动规则、认证路由。</x:v>
      </x:c>
      <x:c r="E15" s="649" t="str">
        <x:v>通过</x:v>
      </x:c>
      <x:c r="F15" s="649" t="str">
        <x:v>admin-unit-results.json</x:v>
      </x:c>
      <x:c r="G15" s="649" t="str">
        <x:v>本地组件/模型检查，不能代替真实后端、设备或完整业务流程。</x:v>
      </x:c>
    </x:row>
    <x:row r="16" ht="94" customHeight="1">
      <x:c r="A16" s="650" t="str">
        <x:v>RUN-12</x:v>
      </x:c>
      <x:c r="B16" s="650" t="str">
        <x:v>完整流程准备</x:v>
      </x:c>
      <x:c r="C16" s="650" t="str">
        <x:v>尝试开始F01规则准备和F31设备准备</x:v>
      </x:c>
      <x:c r="D16" s="650" t="str">
        <x:v>缺有效账号，尚不能回读规则、通道、设备及权限。</x:v>
      </x:c>
      <x:c r="E16" s="650" t="str">
        <x:v>暂时测不了</x:v>
      </x:c>
      <x:c r="F16" s="650" t="str">
        <x:v>BLOCK-001；admin-login.png</x:v>
      </x:c>
      <x:c r="G16" s="650" t="str">
        <x:v>F01/F31第1步受阻，其余未执行的流程仍标还没测。</x:v>
      </x:c>
    </x:row>
    <x:row r="18" ht="44" customHeight="1">
      <x:c r="A18" s="652" t="str">
        <x:v>证据目录：C:/Users/Admin（无密码）/.codex/visualizations/2026/09/27/01a0e0b7-3c23-7c00-aeba-e67e75596ac8/qa-20260927</x:v>
      </x:c>
      <x:c r="B18" s="652"/>
      <x:c r="C18" s="652"/>
      <x:c r="D18" s="652"/>
      <x:c r="E18" s="652"/>
      <x:c r="F18" s="652"/>
      <x:c r="G18" s="652"/>
    </x:row>
    <x:row r="19" ht="44" customHeight="1">
      <x:c r="A19" s="654" t="str">
        <x:v>本轮未改代码、运行配置、权限或业务记录；未启动模拟批次、未发通知、未操作设备。原计划的12项审查结论仍属文档/逻辑核对，不等于本轮运行缺陷。</x:v>
      </x:c>
      <x:c r="B19" s="654"/>
      <x:c r="C19" s="654"/>
      <x:c r="D19" s="654"/>
      <x:c r="E19" s="654"/>
      <x:c r="F19" s="654"/>
      <x:c r="G19" s="654"/>
    </x:row>
  </x:sheetData>
  <x:mergeCells>
    <x:mergeCell ref="A1:G1"/>
    <x:mergeCell ref="A2:G2"/>
    <x:mergeCell ref="A18:G18"/>
    <x:mergeCell ref="A19:G19"/>
  </x:mergeCells>
  <x:conditionalFormatting sqref="E5:E16">
    <x:cfRule type="cellIs" dxfId="74" priority="1" operator="equal">
      <x:formula>"通过"</x:formula>
    </x:cfRule>
    <x:cfRule type="cellIs" dxfId="75" priority="2" operator="equal">
      <x:formula>"有问题"</x:formula>
    </x:cfRule>
    <x:cfRule type="cellIs" dxfId="76" priority="3" operator="equal">
      <x:formula>"待核实"</x:formula>
    </x:cfRule>
    <x:cfRule type="cellIs" dxfId="77" priority="4" operator="equal">
      <x:formula>"暂时测不了"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a45a7250eb64588"/>
  </x:tableParts>
</x:worksheet>
</file>