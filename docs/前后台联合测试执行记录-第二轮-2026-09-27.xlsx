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da254d637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d32b74b0c1524868"/>
    <x:sheet xmlns:r="http://schemas.openxmlformats.org/officeDocument/2006/relationships" name="测试清单" sheetId="2" r:id="R3d971b82e48c4fb7"/>
    <x:sheet xmlns:r="http://schemas.openxmlformats.org/officeDocument/2006/relationships" name="准备与流程" sheetId="3" r:id="R71afab179c2e4075"/>
    <x:sheet xmlns:r="http://schemas.openxmlformats.org/officeDocument/2006/relationships" name="问题记录" sheetId="4" r:id="Rc2b6ee7e44f84aee"/>
    <x:sheet xmlns:r="http://schemas.openxmlformats.org/officeDocument/2006/relationships" name="自动手动组合" sheetId="5" r:id="R422ddb95395e4756"/>
    <x:sheet xmlns:r="http://schemas.openxmlformats.org/officeDocument/2006/relationships" name="全流程验收" sheetId="6" r:id="R8d564890663b40c3"/>
    <x:sheet xmlns:r="http://schemas.openxmlformats.org/officeDocument/2006/relationships" name="流程步骤记录" sheetId="7" r:id="R6d93966209c64380"/>
    <x:sheet xmlns:r="http://schemas.openxmlformats.org/officeDocument/2006/relationships" name="审查结论" sheetId="8" r:id="R221f5613135a4971"/>
    <x:sheet xmlns:r="http://schemas.openxmlformats.org/officeDocument/2006/relationships" name="补充测试清单" sheetId="9" r:id="R0d499a97cc2b4654"/>
    <x:sheet xmlns:r="http://schemas.openxmlformats.org/officeDocument/2006/relationships" name="设备运维清单" sheetId="10" r:id="R2d63927c3f0e47b8"/>
    <x:sheet xmlns:r="http://schemas.openxmlformats.org/officeDocument/2006/relationships" name="本轮执行记录" sheetId="11" r:id="R05c9a54cb464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51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</x:fonts>
  <x:fills count="8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6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  <x:xf numFmtId="0" fontId="0" fillId="73" borderId="0" xfId="0" applyNumberFormat="1" applyFont="1" applyFill="1" applyBorder="1"/>
    <x:xf numFmtId="0" fontId="46" fillId="73" borderId="0" xfId="0" applyNumberFormat="1" applyFont="1" applyFill="1" applyBorder="1"/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24" fillId="74" borderId="0" xfId="0" applyNumberFormat="1" applyFont="1" applyFill="1" applyBorder="1"/>
    <x:xf numFmtId="0" fontId="1" fillId="75" borderId="0" xfId="0" applyNumberFormat="1" applyFont="1" applyFill="1" applyBorder="1" applyAlignment="1">
      <x:alignment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50" fillId="77" borderId="0" xfId="0" applyNumberFormat="1" applyFont="1" applyFill="1" applyBorder="1"/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1" fillId="8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8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a74dd296447b6" /><Relationship Type="http://schemas.openxmlformats.org/officeDocument/2006/relationships/theme" Target="/xl/theme/theme1.xml" Id="Re6bc16a6e0334efa" /><Relationship Type="http://schemas.openxmlformats.org/officeDocument/2006/relationships/sharedStrings" Target="/xl/sharedStrings.xml" Id="R3d351625c13446b1" /><Relationship Type="http://schemas.openxmlformats.org/officeDocument/2006/relationships/worksheet" Target="/xl/worksheets/sheet1.xml" Id="Rd32b74b0c1524868" /><Relationship Type="http://schemas.openxmlformats.org/officeDocument/2006/relationships/worksheet" Target="/xl/worksheets/sheet2.xml" Id="R3d971b82e48c4fb7" /><Relationship Type="http://schemas.openxmlformats.org/officeDocument/2006/relationships/worksheet" Target="/xl/worksheets/sheet3.xml" Id="R71afab179c2e4075" /><Relationship Type="http://schemas.openxmlformats.org/officeDocument/2006/relationships/worksheet" Target="/xl/worksheets/sheet4.xml" Id="Rc2b6ee7e44f84aee" /><Relationship Type="http://schemas.openxmlformats.org/officeDocument/2006/relationships/worksheet" Target="/xl/worksheets/sheet5.xml" Id="R422ddb95395e4756" /><Relationship Type="http://schemas.openxmlformats.org/officeDocument/2006/relationships/worksheet" Target="/xl/worksheets/sheet6.xml" Id="R8d564890663b40c3" /><Relationship Type="http://schemas.openxmlformats.org/officeDocument/2006/relationships/worksheet" Target="/xl/worksheets/sheet7.xml" Id="R6d93966209c64380" /><Relationship Type="http://schemas.openxmlformats.org/officeDocument/2006/relationships/worksheet" Target="/xl/worksheets/sheet8.xml" Id="R221f5613135a4971" /><Relationship Type="http://schemas.openxmlformats.org/officeDocument/2006/relationships/worksheet" Target="/xl/worksheets/sheet9.xml" Id="R0d499a97cc2b4654" /><Relationship Type="http://schemas.openxmlformats.org/officeDocument/2006/relationships/worksheet" Target="/xl/worksheets/sheet10.xml" Id="R2d63927c3f0e47b8" /><Relationship Type="http://schemas.openxmlformats.org/officeDocument/2006/relationships/worksheet" Target="/xl/worksheets/sheet11.xml" Id="R05c9a54cb4644e56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4c8077a0184e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29ab2c88a2f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1b9c96665584d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4ea039af5af45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c27a97efdb340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b2bb1a371fa40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8bbf684f32b44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c756f897c1049c0" /><Relationship Type="http://schemas.openxmlformats.org/officeDocument/2006/relationships/table" Target="/xl/tables/table9.xml" Id="Ra9fc8d5e689d414b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前后台联合测试执行记录 第二轮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2</x:v>
      </x:c>
      <x:c r="E6" s="259" t="n">
        <x:f>COUNTIF('测试清单'!$F$6:$F$157,"还没测")</x:f>
        <x:v>150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测试账号已成功登录前台和后台，原账号阻塞解除。随后数据库25432端口中断，刷新和模拟器登录超时，完整业务流程受阻。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累计1项已复现界面问题、1项地图观察。新增1项环境中断，已留证；未修复代码、未恢复服务、未启动模拟批次。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2</x:v>
      </x:c>
      <x:c r="F13" s="20" t="n">
        <x:f>COUNTIFS('测试清单'!$B$6:$B$157,A13,'测试清单'!$F$6:$F$157,"还没测")</x:f>
        <x:v>10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2</x:v>
      </x:c>
      <x:c r="E45" s="465" t="n">
        <x:f>COUNTIF('全流程验收'!G6:G41,"还没测")</x:f>
        <x:v>34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0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未确认</x:v>
      </x:c>
      <x:c r="C62" s="579" t="str"/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34" customHeight="1">
      <x:c r="A66" s="466" t="str">
        <x:v>审查日期2026-09-27；版本核对依据是当前源码与提供的文档。运行环境、真实硬件和正式算法本次未实测。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0</x:v>
      </x:c>
      <x:c r="C72" s="642" t="n">
        <x:f>COUNTIF('设备运维清单'!M6:M69,"有问题")</x:f>
        <x:v>0</x:v>
      </x:c>
      <x:c r="D72" s="642" t="n">
        <x:f>COUNTIF('设备运维清单'!M6:M69,"暂时测不了")</x:f>
        <x:v>1</x:v>
      </x:c>
      <x:c r="E72" s="642" t="n">
        <x:f>COUNTIF('设备运维清单'!M6:M69,"还没测")</x:f>
        <x:v>63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38" customHeight="1">
      <x:c r="A76" s="6" t="str">
        <x:v>本次只新增测试计划，未操作设备、修改配置或执行业务测试。源文件和已有填写内容保留。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暂时测不了</x:v>
      </x:c>
      <x:c r="G6" s="26" t="str">
        <x:v>有效账号登录成功并进入合法性页，身份为超级管理员。刷新时后端数据库中断，无法完成会话刷新与业务回读验证；不是凭据错误。</x:v>
      </x:c>
      <x:c r="H6" s="26" t="str">
        <x:v>Codex</x:v>
      </x:c>
      <x:c r="I6" s="27" t="n">
        <x:v>46292.413194444445</x:v>
      </x:c>
      <x:c r="J6" s="26" t="str">
        <x:v>C:/Users/Admin（无密码）/.codex/visualizations/2026/09/27/01a0e0b7-3c23-7c00-aeba-e67e75596ac8/qa-20260927-round2/front-backend-timeout.png；database-connection-errors.txt</x:v>
      </x:c>
      <x:c r="K6" s="26" t="str">
        <x:v>BLOCK-002</x:v>
      </x:c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暂时测不了</x:v>
      </x:c>
      <x:c r="G7" s="15" t="str">
        <x:v>第一轮空字段、虚构账号拒绝通过；第二轮有效账号登录成功。尚无停用账号分支，整项仍未完整验收。</x:v>
      </x:c>
      <x:c r="H7" s="15" t="str">
        <x:v>Codex</x:v>
      </x:c>
      <x:c r="I7" s="16" t="n">
        <x:v>46292.413194444445</x:v>
      </x:c>
      <x:c r="J7" s="15" t="str">
        <x:v>C:/Users/Admin（无密码）/.codex/visualizations/2026/09/27/01a0e0b7-3c23-7c00-aeba-e67e75596ac8/qa-20260927/front-empty-account.txt；front-empty-password.txt；front-invalid-account.txt</x:v>
      </x:c>
      <x:c r="K7" s="15" t="str">
        <x:v>缺停用测试账号；BLOCK-002</x:v>
      </x:c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115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4c8077a0184ef9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本轮只记录，不修改。BUG为已复现问题；OBS为待核实观察；BLOCK为执行条件不足，不混算产品缺陷。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138" customHeight="1">
      <x:c r="A6" s="15" t="str">
        <x:v>BUG-001</x:v>
      </x:c>
      <x:c r="B6" s="15" t="str">
        <x:v>后台登录页（新增观察项）</x:v>
      </x:c>
      <x:c r="C6" s="15" t="str">
        <x:v>后台多个页面的标签标题出现 undefined</x:v>
      </x:c>
      <x:c r="D6" s="15" t="str">
        <x:v>打开后台登录页；登录后进入设备接入调测，再查看设备管理。</x:v>
      </x:c>
      <x:c r="E6" s="15" t="str">
        <x:v>各标签标题应显示正确页面名称及平台名称。</x:v>
      </x:c>
      <x:c r="F6" s="15" t="str">
        <x:v>登录页标题为“登录 - undefined”；登录后调测页仍为“设备接入调测 - undefined”。</x:v>
      </x:c>
      <x:c r="G6" s="15" t="str">
        <x:v>轻微体验</x:v>
      </x:c>
      <x:c r="H6" s="15" t="str">
        <x:v>待分配</x:v>
      </x:c>
      <x:c r="I6" s="15" t="str">
        <x:v>待处理</x:v>
      </x:c>
      <x:c r="J6" s="15" t="str">
        <x:v>未修复。第二轮确认登录后仍出现；见admin-service-error.txt及本轮执行记录RUN-14。</x:v>
      </x:c>
    </x:row>
    <x:row r="7" ht="138" customHeight="1">
      <x:c r="A7" s="15" t="str">
        <x:v>OBS-001</x:v>
      </x:c>
      <x:c r="B7" s="15" t="str">
        <x:v>SIM-01（部分观察）</x:v>
      </x:c>
      <x:c r="C7" s="15" t="str">
        <x:v>模拟器地图缺少3个纹理的控制台告警</x:v>
      </x:c>
      <x:c r="D7" s="15" t="str">
        <x:v>打开8766信号地图，等待地图加载，读取浏览器控制台。</x:v>
      </x:c>
      <x:c r="E7" s="15" t="str">
        <x:v>地图所用纹理应能加载，无缺图告警。</x:v>
      </x:c>
      <x:c r="F7" s="15" t="str">
        <x:v>出现theme-tex-farm、theme-tex-forest、theme-tex-urban could not be loaded。地图加载提示随后消失；尚未判定业务影响。</x:v>
      </x:c>
      <x:c r="G7" s="15" t="str">
        <x:v>一般问题</x:v>
      </x:c>
      <x:c r="H7" s="15" t="str">
        <x:v>待分配</x:v>
      </x:c>
      <x:c r="I7" s="15" t="str">
        <x:v>暂缓并说明</x:v>
      </x:c>
      <x:c r="J7" s="15" t="str">
        <x:v>仅记观察，未定为业务缺陷。证据sim-console.json。需在完整地图视口复核纹理实际影响。</x:v>
      </x:c>
    </x:row>
    <x:row r="8" ht="138" customHeight="1">
      <x:c r="A8" s="15" t="str">
        <x:v>BLOCK-001</x:v>
      </x:c>
      <x:c r="B8" s="15" t="str">
        <x:v>AUTH-01、AUTH-02部分、OPS-01部分、F01/F31起步</x:v>
      </x:c>
      <x:c r="C8" s="15" t="str">
        <x:v>缺少有效测试登录及角色账号</x:v>
      </x:c>
      <x:c r="D8" s="15" t="str">
        <x:v>按用户提供的三个地址打开系统，检查当前登录状态。</x:v>
      </x:c>
      <x:c r="E8" s="15" t="str">
        <x:v>使用指定测试账号进入前台、后台及模拟器，再准备隔离批次。</x:v>
      </x:c>
      <x:c r="F8" s="15" t="str">
        <x:v>三个入口均未登录；截至本轮记录未取得有效账号。空值及虚构账号拒绝已局部检查。</x:v>
      </x:c>
      <x:c r="G8" s="15" t="str">
        <x:v>影响主要操作</x:v>
      </x:c>
      <x:c r="H8" s="15" t="str">
        <x:v>测试准备负责人</x:v>
      </x:c>
      <x:c r="I8" s="15" t="str">
        <x:v>复测通过</x:v>
      </x:c>
      <x:c r="J8" s="15" t="str">
        <x:v>2026-09-27第二轮已解除：用户提供账号，前台进入合法性页、后台进入设备接入调测。密码不记录在文档中。后续受BLOCK-002影响。</x:v>
      </x:c>
    </x:row>
    <x:row r="9" ht="168" customHeight="1">
      <x:c r="A9" s="15" t="str">
        <x:v>BLOCK-002</x:v>
      </x:c>
      <x:c r="B9" s="15" t="str">
        <x:v>AUTH-01刷新、F01/F31准备、模拟器登录、全部依赖数据库业务</x:v>
      </x:c>
      <x:c r="C9" s="15" t="str">
        <x:v>测试中途数据库连接中断</x:v>
      </x:c>
      <x:c r="D9" s="15" t="str">
        <x:v>约18:05登录前台和后台成功；刷新前台，登录模拟器，再读取设备页。核查后端日志和监听端口。</x:v>
      </x:c>
      <x:c r="E9" s="15" t="str">
        <x:v>数据库持续可用，已登录会话可读取业务资料，模拟器能完成登录。</x:v>
      </x:c>
      <x:c r="F9" s="15" t="str">
        <x:v>前台提示后端响应超时；模拟器提示无法连接API；后台读取失败。8081仍监听，25432无监听；日志Connection refused、连接池约30秒超时。</x:v>
      </x:c>
      <x:c r="G9" s="15" t="str">
        <x:v>影响主要操作</x:v>
      </x:c>
      <x:c r="H9" s="15" t="str">
        <x:v>运行环境负责人</x:v>
      </x:c>
      <x:c r="I9" s="15" t="str">
        <x:v>待处理</x:v>
      </x:c>
      <x:c r="J9" s="15" t="str">
        <x:v>环境故障，暂不定为业务代码缺陷。未重启、未改配置、未清库。证据见第二轮目录database-connection-errors.txt、service-status.json及三端截图。</x:v>
      </x:c>
    </x:row>
    <x:row r="10" ht="6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ab2c88a2f4286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83" t="str">
        <x:v>Codex</x:v>
      </x:c>
      <x:c r="I6" s="536" t="n">
        <x:v>46292.413194444445</x:v>
      </x:c>
      <x:c r="J6" s="483" t="str">
        <x:v>BLOCK-002：数据库中断；未产生业务模拟批次/事件</x:v>
      </x:c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626" t="str">
        <x:v>Codex</x:v>
      </x:c>
      <x:c r="I36" s="16" t="n">
        <x:v>46292.413194444445</x:v>
      </x:c>
      <x:c r="J36" s="626" t="str">
        <x:v>BLOCK-002：数据库中断；未产生业务模拟批次/事件</x:v>
      </x:c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/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还没测</x:v>
      </x:c>
      <x:c r="H37" s="626" t="str"/>
      <x:c r="I37" s="627" t="str"/>
      <x:c r="J37" s="626" t="str"/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/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还没测</x:v>
      </x:c>
      <x:c r="H38" s="626" t="str"/>
      <x:c r="I38" s="627" t="str"/>
      <x:c r="J38" s="626" t="str"/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/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还没测</x:v>
      </x:c>
      <x:c r="H39" s="626" t="str"/>
      <x:c r="I39" s="627" t="str"/>
      <x:c r="J39" s="626" t="str"/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/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还没测</x:v>
      </x:c>
      <x:c r="H40" s="626" t="str"/>
      <x:c r="I40" s="627" t="str"/>
      <x:c r="J40" s="626" t="str"/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b9c96665584d8c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暂时测不了</x:v>
      </x:c>
      <x:c r="H6" s="531" t="str">
        <x:v>账号已验证。数据库25432端口中断，无法核对规则、通道、当前设备；后续步骤仍未执行，BLOCK-002。</x:v>
      </x:c>
      <x:c r="I6" s="531" t="str">
        <x:v>Codex</x:v>
      </x:c>
      <x:c r="J6" s="532" t="n">
        <x:v>46292.413194444445</x:v>
      </x:c>
      <x:c r="K6" s="531" t="str">
        <x:v>C:/Users/Admin（无密码）/.codex/visualizations/2026/09/27/01a0e0b7-3c23-7c00-aeba-e67e75596ac8/qa-20260927-round2/database-connection-errors.txt；service-status.json</x:v>
      </x:c>
      <x:c r="L6" s="531" t="str">
        <x:v>QA-20260927-PRECHECK（无业务事件）</x:v>
      </x:c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暂时测不了</x:v>
      </x:c>
      <x:c r="H306" s="626" t="str">
        <x:v>账号已验证。数据库25432端口中断，无法核对规则、通道、当前设备；后续步骤仍未执行，BLOCK-002。</x:v>
      </x:c>
      <x:c r="I306" s="626" t="str">
        <x:v>Codex</x:v>
      </x:c>
      <x:c r="J306" s="16" t="n">
        <x:v>46292.413194444445</x:v>
      </x:c>
      <x:c r="K306" s="626" t="str">
        <x:v>C:/Users/Admin（无密码）/.codex/visualizations/2026/09/27/01a0e0b7-3c23-7c00-aeba-e67e75596ac8/qa-20260927-round2/database-connection-errors.txt；service-status.json</x:v>
      </x:c>
      <x:c r="L306" s="626" t="str">
        <x:v>QA-20260927-PRECHECK（无业务事件）</x:v>
      </x:c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还没测</x:v>
      </x:c>
      <x:c r="H316" s="626" t="str"/>
      <x:c r="I316" s="626" t="str"/>
      <x:c r="J316" s="627" t="str"/>
      <x:c r="K316" s="626" t="str"/>
      <x:c r="L316" s="626" t="str"/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还没测</x:v>
      </x:c>
      <x:c r="H317" s="626" t="str"/>
      <x:c r="I317" s="626" t="str"/>
      <x:c r="J317" s="627" t="str"/>
      <x:c r="K317" s="626" t="str"/>
      <x:c r="L317" s="626" t="str"/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还没测</x:v>
      </x:c>
      <x:c r="H318" s="626" t="str"/>
      <x:c r="I318" s="626" t="str"/>
      <x:c r="J318" s="627" t="str"/>
      <x:c r="K318" s="626" t="str"/>
      <x:c r="L318" s="626" t="str"/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还没测</x:v>
      </x:c>
      <x:c r="H319" s="626" t="str"/>
      <x:c r="I319" s="626" t="str"/>
      <x:c r="J319" s="627" t="str"/>
      <x:c r="K319" s="626" t="str"/>
      <x:c r="L319" s="626" t="str"/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还没测</x:v>
      </x:c>
      <x:c r="H320" s="626" t="str"/>
      <x:c r="I320" s="626" t="str"/>
      <x:c r="J320" s="627" t="str"/>
      <x:c r="K320" s="626" t="str"/>
      <x:c r="L320" s="626" t="str"/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还没测</x:v>
      </x:c>
      <x:c r="H321" s="626" t="str"/>
      <x:c r="I321" s="626" t="str"/>
      <x:c r="J321" s="627" t="str"/>
      <x:c r="K321" s="626" t="str"/>
      <x:c r="L321" s="626" t="str"/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还没测</x:v>
      </x:c>
      <x:c r="H322" s="626" t="str"/>
      <x:c r="I322" s="626" t="str"/>
      <x:c r="J322" s="627" t="str"/>
      <x:c r="K322" s="626" t="str"/>
      <x:c r="L322" s="626" t="str"/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还没测</x:v>
      </x:c>
      <x:c r="H323" s="626" t="str"/>
      <x:c r="I323" s="626" t="str"/>
      <x:c r="J323" s="627" t="str"/>
      <x:c r="K323" s="626" t="str"/>
      <x:c r="L323" s="626" t="str"/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还没测</x:v>
      </x:c>
      <x:c r="H324" s="626" t="str"/>
      <x:c r="I324" s="626" t="str"/>
      <x:c r="J324" s="627" t="str"/>
      <x:c r="K324" s="626" t="str"/>
      <x:c r="L324" s="626" t="str"/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还没测</x:v>
      </x:c>
      <x:c r="H325" s="626" t="str"/>
      <x:c r="I325" s="626" t="str"/>
      <x:c r="J325" s="627" t="str"/>
      <x:c r="K325" s="626" t="str"/>
      <x:c r="L325" s="626" t="str"/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还没测</x:v>
      </x:c>
      <x:c r="H326" s="626" t="str"/>
      <x:c r="I326" s="626" t="str"/>
      <x:c r="J326" s="627" t="str"/>
      <x:c r="K326" s="626" t="str"/>
      <x:c r="L326" s="626" t="str"/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还没测</x:v>
      </x:c>
      <x:c r="H327" s="626" t="str"/>
      <x:c r="I327" s="626" t="str"/>
      <x:c r="J327" s="627" t="str"/>
      <x:c r="K327" s="626" t="str"/>
      <x:c r="L327" s="626" t="str"/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还没测</x:v>
      </x:c>
      <x:c r="H328" s="626" t="str"/>
      <x:c r="I328" s="626" t="str"/>
      <x:c r="J328" s="627" t="str"/>
      <x:c r="K328" s="626" t="str"/>
      <x:c r="L328" s="626" t="str"/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还没测</x:v>
      </x:c>
      <x:c r="H329" s="626" t="str"/>
      <x:c r="I329" s="626" t="str"/>
      <x:c r="J329" s="627" t="str"/>
      <x:c r="K329" s="626" t="str"/>
      <x:c r="L329" s="626" t="str"/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还没测</x:v>
      </x:c>
      <x:c r="H330" s="626" t="str"/>
      <x:c r="I330" s="626" t="str"/>
      <x:c r="J330" s="627" t="str"/>
      <x:c r="K330" s="626" t="str"/>
      <x:c r="L330" s="626" t="str"/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还没测</x:v>
      </x:c>
      <x:c r="H336" s="626" t="str"/>
      <x:c r="I336" s="626" t="str"/>
      <x:c r="J336" s="627" t="str"/>
      <x:c r="K336" s="626" t="str"/>
      <x:c r="L336" s="626" t="str"/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还没测</x:v>
      </x:c>
      <x:c r="H337" s="626" t="str"/>
      <x:c r="I337" s="626" t="str"/>
      <x:c r="J337" s="627" t="str"/>
      <x:c r="K337" s="626" t="str"/>
      <x:c r="L337" s="626" t="str"/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还没测</x:v>
      </x:c>
      <x:c r="H338" s="626" t="str"/>
      <x:c r="I338" s="626" t="str"/>
      <x:c r="J338" s="627" t="str"/>
      <x:c r="K338" s="626" t="str"/>
      <x:c r="L338" s="626" t="str"/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还没测</x:v>
      </x:c>
      <x:c r="H339" s="626" t="str"/>
      <x:c r="I339" s="626" t="str"/>
      <x:c r="J339" s="627" t="str"/>
      <x:c r="K339" s="626" t="str"/>
      <x:c r="L339" s="626" t="str"/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还没测</x:v>
      </x:c>
      <x:c r="H340" s="626" t="str"/>
      <x:c r="I340" s="626" t="str"/>
      <x:c r="J340" s="627" t="str"/>
      <x:c r="K340" s="626" t="str"/>
      <x:c r="L340" s="626" t="str"/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还没测</x:v>
      </x:c>
      <x:c r="H341" s="626" t="str"/>
      <x:c r="I341" s="626" t="str"/>
      <x:c r="J341" s="627" t="str"/>
      <x:c r="K341" s="626" t="str"/>
      <x:c r="L341" s="626" t="str"/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还没测</x:v>
      </x:c>
      <x:c r="H346" s="626" t="str"/>
      <x:c r="I346" s="626" t="str"/>
      <x:c r="J346" s="627" t="str"/>
      <x:c r="K346" s="626" t="str"/>
      <x:c r="L346" s="626" t="str"/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a039af5af451c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3c27a97efdb34045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2bb1a371fa4047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64项检查，黄色H至L列填写结果和证据。F31至F36为6条新增完整流程。当前只是测试安排，协议不支持或资料不足时如实记录。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94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暂时测不了</x:v>
      </x:c>
      <x:c r="I6" s="626" t="str">
        <x:v>管理员成功进入设备接入调测，读取17台设备。已检查未登录保护；缺无菜单/无读取权限账号。随后数据库中断，不能完成全部角色变体。</x:v>
      </x:c>
      <x:c r="J6" s="626" t="str">
        <x:v>C:/Users/Admin（无密码）/.codex/visualizations/2026/09/27/01a0e0b7-3c23-7c00-aeba-e67e75596ac8/qa-20260927-round2/admin-service-error.txt；第一轮unauth-api.json</x:v>
      </x:c>
      <x:c r="K6" s="626" t="str">
        <x:v>Codex</x:v>
      </x:c>
      <x:c r="L6" s="16" t="n">
        <x:v>46292.413194444445</x:v>
      </x:c>
      <x:c r="M6" s="6" t="str">
        <x:f>IF(H6="通过",IF(COUNTBLANK(I6:L6)=0,"记录齐全","待补证据"),H6)</x:f>
        <x:v>暂时测不了</x:v>
      </x:c>
    </x:row>
    <x:row r="7" ht="94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还没测</x:v>
      </x:c>
      <x:c r="I7" s="626" t="str"/>
      <x:c r="J7" s="626" t="str"/>
      <x:c r="K7" s="626" t="str"/>
      <x:c r="L7" s="627" t="str"/>
      <x:c r="M7" s="6" t="str">
        <x:f>IF(H7="通过",IF(COUNTBLANK(I7:L7)=0,"记录齐全","待补证据"),H7)</x:f>
        <x:v>还没测</x:v>
      </x:c>
    </x:row>
    <x:row r="8" ht="94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还没测</x:v>
      </x:c>
      <x:c r="I8" s="626" t="str"/>
      <x:c r="J8" s="626" t="str"/>
      <x:c r="K8" s="626" t="str"/>
      <x:c r="L8" s="627" t="str"/>
      <x:c r="M8" s="6" t="str">
        <x:f>IF(H8="通过",IF(COUNTBLANK(I8:L8)=0,"记录齐全","待补证据"),H8)</x:f>
        <x:v>还没测</x:v>
      </x:c>
    </x:row>
    <x:row r="9" ht="94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还没测</x:v>
      </x:c>
      <x:c r="I9" s="626" t="str"/>
      <x:c r="J9" s="626" t="str"/>
      <x:c r="K9" s="626" t="str"/>
      <x:c r="L9" s="627" t="str"/>
      <x:c r="M9" s="6" t="str">
        <x:f>IF(H9="通过",IF(COUNTBLANK(I9:L9)=0,"记录齐全","待补证据"),H9)</x:f>
        <x:v>还没测</x:v>
      </x:c>
    </x:row>
    <x:row r="10" ht="94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还没测</x:v>
      </x:c>
      <x:c r="I10" s="626" t="str"/>
      <x:c r="J10" s="626" t="str"/>
      <x:c r="K10" s="626" t="str"/>
      <x:c r="L10" s="627" t="str"/>
      <x:c r="M10" s="6" t="str">
        <x:f>IF(H10="通过",IF(COUNTBLANK(I10:L10)=0,"记录齐全","待补证据"),H10)</x:f>
        <x:v>还没测</x:v>
      </x:c>
    </x:row>
    <x:row r="11" ht="94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还没测</x:v>
      </x:c>
      <x:c r="I11" s="626" t="str"/>
      <x:c r="J11" s="626" t="str"/>
      <x:c r="K11" s="626" t="str"/>
      <x:c r="L11" s="627" t="str"/>
      <x:c r="M11" s="6" t="str">
        <x:f>IF(H11="通过",IF(COUNTBLANK(I11:L11)=0,"记录齐全","待补证据"),H11)</x:f>
        <x:v>还没测</x:v>
      </x:c>
    </x:row>
    <x:row r="12" ht="94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还没测</x:v>
      </x:c>
      <x:c r="I12" s="626" t="str"/>
      <x:c r="J12" s="626" t="str"/>
      <x:c r="K12" s="626" t="str"/>
      <x:c r="L12" s="627" t="str"/>
      <x:c r="M12" s="6" t="str">
        <x:f>IF(H12="通过",IF(COUNTBLANK(I12:L12)=0,"记录齐全","待补证据"),H12)</x:f>
        <x:v>还没测</x:v>
      </x:c>
    </x:row>
    <x:row r="13" ht="94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还没测</x:v>
      </x:c>
      <x:c r="I13" s="626" t="str"/>
      <x:c r="J13" s="626" t="str"/>
      <x:c r="K13" s="626" t="str"/>
      <x:c r="L13" s="627" t="str"/>
      <x:c r="M13" s="6" t="str">
        <x:f>IF(H13="通过",IF(COUNTBLANK(I13:L13)=0,"记录齐全","待补证据"),H13)</x:f>
        <x:v>还没测</x:v>
      </x:c>
    </x:row>
    <x:row r="14" ht="94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还没测</x:v>
      </x:c>
      <x:c r="I14" s="626" t="str"/>
      <x:c r="J14" s="626" t="str"/>
      <x:c r="K14" s="626" t="str"/>
      <x:c r="L14" s="627" t="str"/>
      <x:c r="M14" s="6" t="str">
        <x:f>IF(H14="通过",IF(COUNTBLANK(I14:L14)=0,"记录齐全","待补证据"),H14)</x:f>
        <x:v>还没测</x:v>
      </x:c>
    </x:row>
    <x:row r="15" ht="94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还没测</x:v>
      </x:c>
      <x:c r="I15" s="626" t="str"/>
      <x:c r="J15" s="626" t="str"/>
      <x:c r="K15" s="626" t="str"/>
      <x:c r="L15" s="627" t="str"/>
      <x:c r="M15" s="6" t="str">
        <x:f>IF(H15="通过",IF(COUNTBLANK(I15:L15)=0,"记录齐全","待补证据"),H15)</x:f>
        <x:v>还没测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94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还没测</x:v>
      </x:c>
      <x:c r="I19" s="626" t="str"/>
      <x:c r="J19" s="626" t="str"/>
      <x:c r="K19" s="626" t="str"/>
      <x:c r="L19" s="627" t="str"/>
      <x:c r="M19" s="6" t="str">
        <x:f>IF(H19="通过",IF(COUNTBLANK(I19:L19)=0,"记录齐全","待补证据"),H19)</x:f>
        <x:v>还没测</x:v>
      </x:c>
    </x:row>
    <x:row r="20" ht="94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还没测</x:v>
      </x:c>
      <x:c r="I20" s="626" t="str"/>
      <x:c r="J20" s="626" t="str"/>
      <x:c r="K20" s="626" t="str"/>
      <x:c r="L20" s="627" t="str"/>
      <x:c r="M20" s="6" t="str">
        <x:f>IF(H20="通过",IF(COUNTBLANK(I20:L20)=0,"记录齐全","待补证据"),H20)</x:f>
        <x:v>还没测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还没测</x:v>
      </x:c>
      <x:c r="I21" s="626" t="str"/>
      <x:c r="J21" s="626" t="str"/>
      <x:c r="K21" s="626" t="str"/>
      <x:c r="L21" s="627" t="str"/>
      <x:c r="M21" s="6" t="str">
        <x:f>IF(H21="通过",IF(COUNTBLANK(I21:L21)=0,"记录齐全","待补证据"),H21)</x:f>
        <x:v>还没测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94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还没测</x:v>
      </x:c>
      <x:c r="I25" s="626" t="str"/>
      <x:c r="J25" s="626" t="str"/>
      <x:c r="K25" s="626" t="str"/>
      <x:c r="L25" s="627" t="str"/>
      <x:c r="M25" s="6" t="str">
        <x:f>IF(H25="通过",IF(COUNTBLANK(I25:L25)=0,"记录齐全","待补证据"),H25)</x:f>
        <x:v>还没测</x:v>
      </x:c>
    </x:row>
    <x:row r="26" ht="94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还没测</x:v>
      </x:c>
      <x:c r="I26" s="626" t="str"/>
      <x:c r="J26" s="626" t="str"/>
      <x:c r="K26" s="626" t="str"/>
      <x:c r="L26" s="627" t="str"/>
      <x:c r="M26" s="6" t="str">
        <x:f>IF(H26="通过",IF(COUNTBLANK(I26:L26)=0,"记录齐全","待补证据"),H26)</x:f>
        <x:v>还没测</x:v>
      </x:c>
    </x:row>
    <x:row r="27" ht="94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还没测</x:v>
      </x:c>
      <x:c r="I27" s="626" t="str"/>
      <x:c r="J27" s="626" t="str"/>
      <x:c r="K27" s="626" t="str"/>
      <x:c r="L27" s="627" t="str"/>
      <x:c r="M27" s="6" t="str">
        <x:f>IF(H27="通过",IF(COUNTBLANK(I27:L27)=0,"记录齐全","待补证据"),H27)</x:f>
        <x:v>还没测</x:v>
      </x:c>
    </x:row>
    <x:row r="28" ht="94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还没测</x:v>
      </x:c>
      <x:c r="I28" s="626" t="str"/>
      <x:c r="J28" s="626" t="str"/>
      <x:c r="K28" s="626" t="str"/>
      <x:c r="L28" s="627" t="str"/>
      <x:c r="M28" s="6" t="str">
        <x:f>IF(H28="通过",IF(COUNTBLANK(I28:L28)=0,"记录齐全","待补证据"),H28)</x:f>
        <x:v>还没测</x:v>
      </x:c>
    </x:row>
    <x:row r="29" ht="94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还没测</x:v>
      </x:c>
      <x:c r="I29" s="626" t="str"/>
      <x:c r="J29" s="626" t="str"/>
      <x:c r="K29" s="626" t="str"/>
      <x:c r="L29" s="627" t="str"/>
      <x:c r="M29" s="6" t="str">
        <x:f>IF(H29="通过",IF(COUNTBLANK(I29:L29)=0,"记录齐全","待补证据"),H29)</x:f>
        <x:v>还没测</x:v>
      </x:c>
    </x:row>
    <x:row r="30" ht="94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还没测</x:v>
      </x:c>
      <x:c r="I30" s="626" t="str"/>
      <x:c r="J30" s="626" t="str"/>
      <x:c r="K30" s="626" t="str"/>
      <x:c r="L30" s="627" t="str"/>
      <x:c r="M30" s="6" t="str">
        <x:f>IF(H30="通过",IF(COUNTBLANK(I30:L30)=0,"记录齐全","待补证据"),H30)</x:f>
        <x:v>还没测</x:v>
      </x:c>
    </x:row>
    <x:row r="31" ht="94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还没测</x:v>
      </x:c>
      <x:c r="I31" s="626" t="str"/>
      <x:c r="J31" s="626" t="str"/>
      <x:c r="K31" s="626" t="str"/>
      <x:c r="L31" s="627" t="str"/>
      <x:c r="M31" s="6" t="str">
        <x:f>IF(H31="通过",IF(COUNTBLANK(I31:L31)=0,"记录齐全","待补证据"),H31)</x:f>
        <x:v>还没测</x:v>
      </x:c>
    </x:row>
    <x:row r="32" ht="94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还没测</x:v>
      </x:c>
      <x:c r="I32" s="626" t="str"/>
      <x:c r="J32" s="626" t="str"/>
      <x:c r="K32" s="626" t="str"/>
      <x:c r="L32" s="627" t="str"/>
      <x:c r="M32" s="6" t="str">
        <x:f>IF(H32="通过",IF(COUNTBLANK(I32:L32)=0,"记录齐全","待补证据"),H32)</x:f>
        <x:v>还没测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还没测</x:v>
      </x:c>
      <x:c r="I35" s="626" t="str"/>
      <x:c r="J35" s="626" t="str"/>
      <x:c r="K35" s="626" t="str"/>
      <x:c r="L35" s="627" t="str"/>
      <x:c r="M35" s="6" t="str">
        <x:f>IF(H35="通过",IF(COUNTBLANK(I35:L35)=0,"记录齐全","待补证据"),H35)</x:f>
        <x:v>还没测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94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还没测</x:v>
      </x:c>
      <x:c r="I37" s="626" t="str"/>
      <x:c r="J37" s="626" t="str"/>
      <x:c r="K37" s="626" t="str"/>
      <x:c r="L37" s="627" t="str"/>
      <x:c r="M37" s="6" t="str">
        <x:f>IF(H37="通过",IF(COUNTBLANK(I37:L37)=0,"记录齐全","待补证据"),H37)</x:f>
        <x:v>还没测</x:v>
      </x:c>
    </x:row>
    <x:row r="38" ht="94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还没测</x:v>
      </x:c>
      <x:c r="I38" s="626" t="str"/>
      <x:c r="J38" s="626" t="str"/>
      <x:c r="K38" s="626" t="str"/>
      <x:c r="L38" s="627" t="str"/>
      <x:c r="M38" s="6" t="str">
        <x:f>IF(H38="通过",IF(COUNTBLANK(I38:L38)=0,"记录齐全","待补证据"),H38)</x:f>
        <x:v>还没测</x:v>
      </x:c>
    </x:row>
    <x:row r="39" ht="94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还没测</x:v>
      </x:c>
      <x:c r="I39" s="626" t="str"/>
      <x:c r="J39" s="626" t="str"/>
      <x:c r="K39" s="626" t="str"/>
      <x:c r="L39" s="627" t="str"/>
      <x:c r="M39" s="6" t="str">
        <x:f>IF(H39="通过",IF(COUNTBLANK(I39:L39)=0,"记录齐全","待补证据"),H39)</x:f>
        <x:v>还没测</x:v>
      </x:c>
    </x:row>
    <x:row r="40" ht="94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还没测</x:v>
      </x:c>
      <x:c r="I40" s="626" t="str"/>
      <x:c r="J40" s="626" t="str"/>
      <x:c r="K40" s="626" t="str"/>
      <x:c r="L40" s="627" t="str"/>
      <x:c r="M40" s="6" t="str">
        <x:f>IF(H40="通过",IF(COUNTBLANK(I40:L40)=0,"记录齐全","待补证据"),H40)</x:f>
        <x:v>还没测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94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还没测</x:v>
      </x:c>
      <x:c r="I42" s="626" t="str"/>
      <x:c r="J42" s="626" t="str"/>
      <x:c r="K42" s="626" t="str"/>
      <x:c r="L42" s="627" t="str"/>
      <x:c r="M42" s="6" t="str">
        <x:f>IF(H42="通过",IF(COUNTBLANK(I42:L42)=0,"记录齐全","待补证据"),H42)</x:f>
        <x:v>还没测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94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还没测</x:v>
      </x:c>
      <x:c r="I45" s="626" t="str"/>
      <x:c r="J45" s="626" t="str"/>
      <x:c r="K45" s="626" t="str"/>
      <x:c r="L45" s="627" t="str"/>
      <x:c r="M45" s="6" t="str">
        <x:f>IF(H45="通过",IF(COUNTBLANK(I45:L45)=0,"记录齐全","待补证据"),H45)</x:f>
        <x:v>还没测</x:v>
      </x:c>
    </x:row>
    <x:row r="46" ht="94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还没测</x:v>
      </x:c>
      <x:c r="I46" s="626" t="str"/>
      <x:c r="J46" s="626" t="str"/>
      <x:c r="K46" s="626" t="str"/>
      <x:c r="L46" s="627" t="str"/>
      <x:c r="M46" s="6" t="str">
        <x:f>IF(H46="通过",IF(COUNTBLANK(I46:L46)=0,"记录齐全","待补证据"),H46)</x:f>
        <x:v>还没测</x:v>
      </x:c>
    </x:row>
    <x:row r="47" ht="94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还没测</x:v>
      </x:c>
      <x:c r="I47" s="626" t="str"/>
      <x:c r="J47" s="626" t="str"/>
      <x:c r="K47" s="626" t="str"/>
      <x:c r="L47" s="627" t="str"/>
      <x:c r="M47" s="6" t="str">
        <x:f>IF(H47="通过",IF(COUNTBLANK(I47:L47)=0,"记录齐全","待补证据"),H47)</x:f>
        <x:v>还没测</x:v>
      </x:c>
    </x:row>
    <x:row r="48" ht="94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还没测</x:v>
      </x:c>
      <x:c r="I48" s="626" t="str"/>
      <x:c r="J48" s="626" t="str"/>
      <x:c r="K48" s="626" t="str"/>
      <x:c r="L48" s="627" t="str"/>
      <x:c r="M48" s="6" t="str">
        <x:f>IF(H48="通过",IF(COUNTBLANK(I48:L48)=0,"记录齐全","待补证据"),H48)</x:f>
        <x:v>还没测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还没测</x:v>
      </x:c>
      <x:c r="I52" s="626" t="str"/>
      <x:c r="J52" s="626" t="str"/>
      <x:c r="K52" s="626" t="str"/>
      <x:c r="L52" s="627" t="str"/>
      <x:c r="M52" s="6" t="str">
        <x:f>IF(H52="通过",IF(COUNTBLANK(I52:L52)=0,"记录齐全","待补证据"),H52)</x:f>
        <x:v>还没测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还没测</x:v>
      </x:c>
      <x:c r="I53" s="626" t="str"/>
      <x:c r="J53" s="626" t="str"/>
      <x:c r="K53" s="626" t="str"/>
      <x:c r="L53" s="627" t="str"/>
      <x:c r="M53" s="6" t="str">
        <x:f>IF(H53="通过",IF(COUNTBLANK(I53:L53)=0,"记录齐全","待补证据"),H53)</x:f>
        <x:v>还没测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94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还没测</x:v>
      </x:c>
      <x:c r="I59" s="626" t="str"/>
      <x:c r="J59" s="626" t="str"/>
      <x:c r="K59" s="626" t="str"/>
      <x:c r="L59" s="627" t="str"/>
      <x:c r="M59" s="6" t="str">
        <x:f>IF(H59="通过",IF(COUNTBLANK(I59:L59)=0,"记录齐全","待补证据"),H59)</x:f>
        <x:v>还没测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还没测</x:v>
      </x:c>
      <x:c r="I60" s="626" t="str"/>
      <x:c r="J60" s="626" t="str"/>
      <x:c r="K60" s="626" t="str"/>
      <x:c r="L60" s="627" t="str"/>
      <x:c r="M60" s="6" t="str">
        <x:f>IF(H60="通过",IF(COUNTBLANK(I60:L60)=0,"记录齐全","待补证据"),H60)</x:f>
        <x:v>还没测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94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还没测</x:v>
      </x:c>
      <x:c r="I62" s="626" t="str"/>
      <x:c r="J62" s="626" t="str"/>
      <x:c r="K62" s="626" t="str"/>
      <x:c r="L62" s="627" t="str"/>
      <x:c r="M62" s="6" t="str">
        <x:f>IF(H62="通过",IF(COUNTBLANK(I62:L62)=0,"记录齐全","待补证据"),H62)</x:f>
        <x:v>还没测</x:v>
      </x:c>
    </x:row>
    <x:row r="63" ht="94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还没测</x:v>
      </x:c>
      <x:c r="I63" s="626" t="str"/>
      <x:c r="J63" s="626" t="str"/>
      <x:c r="K63" s="626" t="str"/>
      <x:c r="L63" s="627" t="str"/>
      <x:c r="M63" s="6" t="str">
        <x:f>IF(H63="通过",IF(COUNTBLANK(I63:L63)=0,"记录齐全","待补证据"),H63)</x:f>
        <x:v>还没测</x:v>
      </x:c>
    </x:row>
    <x:row r="64" ht="94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还没测</x:v>
      </x:c>
      <x:c r="I64" s="626" t="str"/>
      <x:c r="J64" s="626" t="str"/>
      <x:c r="K64" s="626" t="str"/>
      <x:c r="L64" s="627" t="str"/>
      <x:c r="M64" s="6" t="str">
        <x:f>IF(H64="通过",IF(COUNTBLANK(I64:L64)=0,"记录齐全","待补证据"),H64)</x:f>
        <x:v>还没测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还没测</x:v>
      </x:c>
      <x:c r="I65" s="626" t="str"/>
      <x:c r="J65" s="626" t="str"/>
      <x:c r="K65" s="626" t="str"/>
      <x:c r="L65" s="627" t="str"/>
      <x:c r="M65" s="6" t="str">
        <x:f>IF(H65="通过",IF(COUNTBLANK(I65:L65)=0,"记录齐全","待补证据"),H65)</x:f>
        <x:v>还没测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94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还没测</x:v>
      </x:c>
      <x:c r="I67" s="626" t="str"/>
      <x:c r="J67" s="626" t="str"/>
      <x:c r="K67" s="626" t="str"/>
      <x:c r="L67" s="627" t="str"/>
      <x:c r="M67" s="6" t="str">
        <x:f>IF(H67="通过",IF(COUNTBLANK(I67:L67)=0,"记录齐全","待补证据"),H67)</x:f>
        <x:v>还没测</x:v>
      </x:c>
    </x:row>
    <x:row r="68" ht="94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还没测</x:v>
      </x:c>
      <x:c r="I68" s="626" t="str"/>
      <x:c r="J68" s="626" t="str"/>
      <x:c r="K68" s="626" t="str"/>
      <x:c r="L68" s="627" t="str"/>
      <x:c r="M68" s="6" t="str">
        <x:f>IF(H68="通过",IF(COUNTBLANK(I68:L68)=0,"记录齐全","待补证据"),H68)</x:f>
        <x:v>还没测</x:v>
      </x:c>
    </x:row>
    <x:row r="69" ht="94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还没测</x:v>
      </x:c>
      <x:c r="I69" s="626" t="str"/>
      <x:c r="J69" s="626" t="str"/>
      <x:c r="K69" s="626" t="str"/>
      <x:c r="L69" s="627" t="str"/>
      <x:c r="M69" s="6" t="str">
        <x:f>IF(H69="通过",IF(COUNTBLANK(I69:L69)=0,"记录齐全","待补证据"),H69)</x:f>
        <x:v>还没测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bbf684f32b443f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7" hidden="0" customWidth="1"/>
    <x:col min="4" max="4" width="62" hidden="0" customWidth="1"/>
    <x:col min="5" max="5" width="18" hidden="0" customWidth="1"/>
    <x:col min="6" max="6" width="48" hidden="0" customWidth="1"/>
    <x:col min="7" max="7" width="58" hidden="0" customWidth="1"/>
  </x:cols>
  <x:sheetData>
    <x:row r="1" ht="38" customHeight="1">
      <x:c r="A1" s="644" t="str">
        <x:v>累计实际执行与证据 第一轮及第二轮</x:v>
      </x:c>
      <x:c r="B1" s="644"/>
      <x:c r="C1" s="644"/>
      <x:c r="D1" s="644"/>
      <x:c r="E1" s="644"/>
      <x:c r="F1" s="644"/>
      <x:c r="G1" s="644"/>
    </x:row>
    <x:row r="2" ht="42" customHeight="1">
      <x:c r="A2" s="646" t="str">
        <x:v>2026-09-27，北京时间。只记录，不修复。以下子检查通过不代表其所属整条用例或业务流程通过。</x:v>
      </x:c>
      <x:c r="B2" s="646"/>
      <x:c r="C2" s="646"/>
      <x:c r="D2" s="646"/>
      <x:c r="E2" s="646"/>
      <x:c r="F2" s="646"/>
      <x:c r="G2" s="646"/>
    </x:row>
    <x:row r="4" ht="32" customHeight="1">
      <x:c r="A4" s="648" t="str">
        <x:v>记录编号</x:v>
      </x:c>
      <x:c r="B4" s="648" t="str">
        <x:v>关联范围</x:v>
      </x:c>
      <x:c r="C4" s="648" t="str">
        <x:v>执行内容</x:v>
      </x:c>
      <x:c r="D4" s="648" t="str">
        <x:v>实际结果</x:v>
      </x:c>
      <x:c r="E4" s="648" t="str">
        <x:v>结论</x:v>
      </x:c>
      <x:c r="F4" s="648" t="str">
        <x:v>证据文件（见下方目录）</x:v>
      </x:c>
      <x:c r="G4" s="648" t="str">
        <x:v>下一步/限制</x:v>
      </x:c>
    </x:row>
    <x:row r="5" ht="94" customHeight="1">
      <x:c r="A5" s="649" t="str">
        <x:v>RUN-01</x:v>
      </x:c>
      <x:c r="B5" s="649" t="str">
        <x:v>环境</x:v>
      </x:c>
      <x:c r="C5" s="649" t="str">
        <x:v>打开5173前台、5175后台、8766模拟器</x:v>
      </x:c>
      <x:c r="D5" s="649" t="str">
        <x:v>三个页面均正常加载；均未登录。</x:v>
      </x:c>
      <x:c r="E5" s="649" t="str">
        <x:v>通过</x:v>
      </x:c>
      <x:c r="F5" s="649" t="str">
        <x:v>front-help.png；admin-login.png；sim-inbox.txt</x:v>
      </x:c>
      <x:c r="G5" s="649" t="str">
        <x:v>仅证明页面可打开，不代表后端全流程可用。</x:v>
      </x:c>
    </x:row>
    <x:row r="6" ht="94" customHeight="1">
      <x:c r="A6" s="650" t="str">
        <x:v>RUN-02</x:v>
      </x:c>
      <x:c r="B6" s="650" t="str">
        <x:v>AUTH-02空字段</x:v>
      </x:c>
      <x:c r="C6" s="650" t="str">
        <x:v>清空前台字段后，用键盘提交；填写虚构账号后保持密码为空再提交</x:v>
      </x:c>
      <x:c r="D6" s="650" t="str">
        <x:v>分别提示“请输入登录账号。”与“请输入密码。”。</x:v>
      </x:c>
      <x:c r="E6" s="650" t="str">
        <x:v>通过</x:v>
      </x:c>
      <x:c r="F6" s="650" t="str">
        <x:v>front-empty-account.txt；front-empty-password.txt</x:v>
      </x:c>
      <x:c r="G6" s="650" t="str">
        <x:v>未覆盖停用账号、有效账号恢复。</x:v>
      </x:c>
    </x:row>
    <x:row r="7" ht="94" customHeight="1">
      <x:c r="A7" s="649" t="str">
        <x:v>RUN-03</x:v>
      </x:c>
      <x:c r="B7" s="649" t="str">
        <x:v>AUTH-02无效账号</x:v>
      </x:c>
      <x:c r="C7" s="649" t="str">
        <x:v>输入QA-NONEXIST-20260927及非凭据测试字符串，提交</x:v>
      </x:c>
      <x:c r="D7" s="649" t="str">
        <x:v>显示“账号或密码错误”，仍停留登录页。</x:v>
      </x:c>
      <x:c r="E7" s="649" t="str">
        <x:v>通过</x:v>
      </x:c>
      <x:c r="F7" s="649" t="str">
        <x:v>front-invalid-account.txt；front-invalid-account.png</x:v>
      </x:c>
      <x:c r="G7" s="649" t="str">
        <x:v>未使用或猜测任何真实账号密码。</x:v>
      </x:c>
    </x:row>
    <x:row r="8" ht="94" customHeight="1">
      <x:c r="A8" s="650" t="str">
        <x:v>RUN-04</x:v>
      </x:c>
      <x:c r="B8" s="650" t="str">
        <x:v>前台忘记密码</x:v>
      </x:c>
      <x:c r="C8" s="650" t="str">
        <x:v>聚焦忘记密码后按Enter</x:v>
      </x:c>
      <x:c r="D8" s="650" t="str">
        <x:v>弹出联系系统管理员说明及只记账号不存密码提示。</x:v>
      </x:c>
      <x:c r="E8" s="650" t="str">
        <x:v>通过</x:v>
      </x:c>
      <x:c r="F8" s="650" t="str">
        <x:v>front-help.txt；front-help.png</x:v>
      </x:c>
      <x:c r="G8" s="650" t="str">
        <x:v>早先鼠标操作无响应尚未稳定复现，未列为产品缺陷。</x:v>
      </x:c>
    </x:row>
    <x:row r="9" ht="94" customHeight="1">
      <x:c r="A9" s="649" t="str">
        <x:v>RUN-05</x:v>
      </x:c>
      <x:c r="B9" s="649" t="str">
        <x:v>后台登录</x:v>
      </x:c>
      <x:c r="C9" s="649" t="str">
        <x:v>账号和密码清空后提交</x:v>
      </x:c>
      <x:c r="D9" s="649" t="str">
        <x:v>出现“请输入账号”“请输入密码”，未进入管理页面。</x:v>
      </x:c>
      <x:c r="E9" s="649" t="str">
        <x:v>通过</x:v>
      </x:c>
      <x:c r="F9" s="649" t="str">
        <x:v>admin-empty-fields.txt；admin-empty-fields.png</x:v>
      </x:c>
      <x:c r="G9" s="649" t="str">
        <x:v>不同角色的成功登录尚未验证。</x:v>
      </x:c>
    </x:row>
    <x:row r="10" ht="94" customHeight="1">
      <x:c r="A10" s="650" t="str">
        <x:v>RUN-06</x:v>
      </x:c>
      <x:c r="B10" s="650" t="str">
        <x:v>AUTH/OPS访问保护</x:v>
      </x:c>
      <x:c r="C10" s="650" t="str">
        <x:v>未登录访问前台合法性页及后台设备管理、实时监测、接入调测</x:v>
      </x:c>
      <x:c r="D10" s="650" t="str">
        <x:v>全部回登录页；后台redirect分别保留对应运维地址。</x:v>
      </x:c>
      <x:c r="E10" s="650" t="str">
        <x:v>通过</x:v>
      </x:c>
      <x:c r="F10" s="650" t="str">
        <x:v>route-guards.json；admin-monitor-guard.txt；admin-commission-guard.txt</x:v>
      </x:c>
      <x:c r="G10" s="650" t="str">
        <x:v>仅未登录变体，不代表已登录角色/范围隔离通过。</x:v>
      </x:c>
    </x:row>
    <x:row r="11" ht="94" customHeight="1">
      <x:c r="A11" s="649" t="str">
        <x:v>RUN-07</x:v>
      </x:c>
      <x:c r="B11" s="649" t="str">
        <x:v>OPS接口访问保护</x:v>
      </x:c>
      <x:c r="C11" s="649" t="str">
        <x:v>无Authorization读取9个已核对路由的只读接口</x:v>
      </x:c>
      <x:c r="D11" s="649" t="str">
        <x:v>9个接口全部401：身份、设备、监测概览/树、维护待办/消息、调测、连接配置、感知目标。</x:v>
      </x:c>
      <x:c r="E11" s="649" t="str">
        <x:v>通过</x:v>
      </x:c>
      <x:c r="F11" s="649" t="str">
        <x:v>unauth-api.json</x:v>
      </x:c>
      <x:c r="G11" s="649" t="str">
        <x:v>未检查登录后对象级越权；无写操作。</x:v>
      </x:c>
    </x:row>
    <x:row r="12" ht="94" customHeight="1">
      <x:c r="A12" s="650" t="str">
        <x:v>RUN-08</x:v>
      </x:c>
      <x:c r="B12" s="650" t="str">
        <x:v>模拟器收件箱</x:v>
      </x:c>
      <x:c r="C12" s="650" t="str">
        <x:v>未登录打开收件箱并切换飞手短信</x:v>
      </x:c>
      <x:c r="D12" s="650" t="str">
        <x:v>显示“请先登录本机测试系统，读取通知与业务资料。”；没有冒充收信成功。</x:v>
      </x:c>
      <x:c r="E12" s="650" t="str">
        <x:v>通过</x:v>
      </x:c>
      <x:c r="F12" s="650" t="str">
        <x:v>sim-inbox.txt；sim-inbox.png</x:v>
      </x:c>
      <x:c r="G12" s="650" t="str">
        <x:v>未核对实际通知送达、播放和回执。</x:v>
      </x:c>
    </x:row>
    <x:row r="13" ht="94" customHeight="1">
      <x:c r="A13" s="649" t="str">
        <x:v>RUN-09</x:v>
      </x:c>
      <x:c r="B13" s="649" t="str">
        <x:v>后台页面标题</x:v>
      </x:c>
      <x:c r="C13" s="649" t="str">
        <x:v>初次打开、刷新及三种运维深链回登录</x:v>
      </x:c>
      <x:c r="D13" s="649" t="str">
        <x:v>标题“登录 - undefined”重复出现。</x:v>
      </x:c>
      <x:c r="E13" s="649" t="str">
        <x:v>有问题</x:v>
      </x:c>
      <x:c r="F13" s="649" t="str">
        <x:v>admin-title.txt；admin-login.png</x:v>
      </x:c>
      <x:c r="G13" s="649" t="str">
        <x:v>BUG-001；尚未修改。</x:v>
      </x:c>
    </x:row>
    <x:row r="14" ht="94" customHeight="1">
      <x:c r="A14" s="650" t="str">
        <x:v>RUN-10</x:v>
      </x:c>
      <x:c r="B14" s="650" t="str">
        <x:v>模拟器地图</x:v>
      </x:c>
      <x:c r="C14" s="650" t="str">
        <x:v>打开地图并读取控制台</x:v>
      </x:c>
      <x:c r="D14" s="650" t="str">
        <x:v>3个theme-tex纹理缺失告警；地图最终加载，视觉影响待核实。</x:v>
      </x:c>
      <x:c r="E14" s="650" t="str">
        <x:v>待核实</x:v>
      </x:c>
      <x:c r="F14" s="650" t="str">
        <x:v>sim-console.json</x:v>
      </x:c>
      <x:c r="G14" s="650" t="str">
        <x:v>OBS-001；不计为已证实业务故障。</x:v>
      </x:c>
    </x:row>
    <x:row r="15" ht="94" customHeight="1">
      <x:c r="A15" s="649" t="str">
        <x:v>RUN-11</x:v>
      </x:c>
      <x:c r="B15" s="649" t="str">
        <x:v>后台现有自动化</x:v>
      </x:c>
      <x:c r="C15" s="649" t="str">
        <x:v>运行10个指定Vitest测试文件</x:v>
      </x:c>
      <x:c r="D15" s="649" t="str">
        <x:v>共51项通过、0失败、0跳过。涵盖设备权限/删除/资料、维护调测/消息/工作流、监测、自动规则、认证路由。</x:v>
      </x:c>
      <x:c r="E15" s="649" t="str">
        <x:v>通过</x:v>
      </x:c>
      <x:c r="F15" s="649" t="str">
        <x:v>admin-unit-results.json</x:v>
      </x:c>
      <x:c r="G15" s="649" t="str">
        <x:v>本地组件/模型检查，不能代替真实后端、设备或完整业务流程。</x:v>
      </x:c>
    </x:row>
    <x:row r="16" ht="94" customHeight="1">
      <x:c r="A16" s="650" t="str">
        <x:v>RUN-12</x:v>
      </x:c>
      <x:c r="B16" s="650" t="str">
        <x:v>第一轮流程准备</x:v>
      </x:c>
      <x:c r="C16" s="650" t="str">
        <x:v>第一轮尝试F01规则准备和F31设备准备</x:v>
      </x:c>
      <x:c r="D16" s="650" t="str">
        <x:v>当时缺有效账号。第二轮用户已提供且前后台登录成功，BLOCK-001解除。</x:v>
      </x:c>
      <x:c r="E16" s="650" t="str">
        <x:v>通过</x:v>
      </x:c>
      <x:c r="F16" s="650" t="str">
        <x:v>BLOCK-001；第一轮admin-login.png</x:v>
      </x:c>
      <x:c r="G16" s="650" t="str">
        <x:v>此行为账号准备复核通过，不表示F01/F31通过；当前阻塞见BLOCK-002。</x:v>
      </x:c>
    </x:row>
    <x:row r="18" ht="44" customHeight="1">
      <x:c r="A18" s="652" t="str">
        <x:v>证据目录：C:/Users/Admin（无密码）/.codex/visualizations/2026/09/27/01a0e0b7-3c23-7c00-aeba-e67e75596ac8/qa-20260927</x:v>
      </x:c>
      <x:c r="B18" s="652"/>
      <x:c r="C18" s="652"/>
      <x:c r="D18" s="652"/>
      <x:c r="E18" s="652"/>
      <x:c r="F18" s="652"/>
      <x:c r="G18" s="652"/>
    </x:row>
    <x:row r="19" ht="44" customHeight="1">
      <x:c r="A19" s="654" t="str">
        <x:v>未改代码、配置、权限或业务记录；未启动模拟、未发通知、未操作设备。第二轮只登录与读取，认证会话/访问审计属于正常副作用。</x:v>
      </x:c>
      <x:c r="B19" s="654"/>
      <x:c r="C19" s="654"/>
      <x:c r="D19" s="654"/>
      <x:c r="E19" s="654"/>
      <x:c r="F19" s="654"/>
      <x:c r="G19" s="654"/>
    </x:row>
    <x:row r="21" ht="34" customHeight="1">
      <x:c r="A21" s="656" t="str">
        <x:v>第二轮：账号已验证，数据库服务中断</x:v>
      </x:c>
      <x:c r="B21" s="656"/>
      <x:c r="C21" s="656"/>
      <x:c r="D21" s="656"/>
      <x:c r="E21" s="656"/>
      <x:c r="F21" s="656"/>
      <x:c r="G21" s="656"/>
    </x:row>
    <x:row r="23" ht="32" customHeight="1">
      <x:c r="A23" s="658" t="str">
        <x:v>记录编号</x:v>
      </x:c>
      <x:c r="B23" s="658" t="str">
        <x:v>关联范围</x:v>
      </x:c>
      <x:c r="C23" s="658" t="str">
        <x:v>执行内容</x:v>
      </x:c>
      <x:c r="D23" s="658" t="str">
        <x:v>实际结果</x:v>
      </x:c>
      <x:c r="E23" s="658" t="str">
        <x:v>结论</x:v>
      </x:c>
      <x:c r="F23" s="658" t="str">
        <x:v>证据文件（见下方目录）</x:v>
      </x:c>
      <x:c r="G23" s="658" t="str">
        <x:v>下一步/限制</x:v>
      </x:c>
    </x:row>
    <x:row r="24" ht="112" customHeight="1">
      <x:c r="A24" s="659" t="str">
        <x:v>RUN-13</x:v>
      </x:c>
      <x:c r="B24" s="659" t="str">
        <x:v>AUTH-01登录部分</x:v>
      </x:c>
      <x:c r="C24" s="659" t="str">
        <x:v>使用用户提供的账号登录前台</x:v>
      </x:c>
      <x:c r="D24" s="659" t="str">
        <x:v>进入#/legality，显示超级管理员及8个业务导航，合法性列表0条。</x:v>
      </x:c>
      <x:c r="E24" s="661" t="str">
        <x:v>通过</x:v>
      </x:c>
      <x:c r="F24" s="659" t="str">
        <x:v>login-observation.json</x:v>
      </x:c>
      <x:c r="G24" s="659" t="str">
        <x:v>只验证成功登录；刷新受环境中断影响，AUTH-01整项仍暂时测不了。</x:v>
      </x:c>
    </x:row>
    <x:row r="25" ht="112" customHeight="1">
      <x:c r="A25" s="660" t="str">
        <x:v>RUN-14</x:v>
      </x:c>
      <x:c r="B25" s="660" t="str">
        <x:v>后台登录和运维入口</x:v>
      </x:c>
      <x:c r="C25" s="660" t="str">
        <x:v>同账号登录后台，进入设备接入调测</x:v>
      </x:c>
      <x:c r="D25" s="660" t="str">
        <x:v>显示超级管理员、17台设备及真实接入诊断，后台会话可读。标题仍带undefined。</x:v>
      </x:c>
      <x:c r="E25" s="661" t="str">
        <x:v>通过</x:v>
      </x:c>
      <x:c r="F25" s="660" t="str">
        <x:v>login-observation.json；admin-service-error.txt</x:v>
      </x:c>
      <x:c r="G25" s="660" t="str">
        <x:v>无权/只读/跨范围账号尚未准备，不能认定权限全覆盖。</x:v>
      </x:c>
    </x:row>
    <x:row r="26" ht="112" customHeight="1">
      <x:c r="A26" s="659" t="str">
        <x:v>RUN-15</x:v>
      </x:c>
      <x:c r="B26" s="659" t="str">
        <x:v>主动上报协议诊断</x:v>
      </x:c>
      <x:c r="C26" s="659" t="str">
        <x:v>查看已存在的模拟5G-A设备sim-0926151251-e9c9-1</x:v>
      </x:c>
      <x:c r="D26" s="659" t="str">
        <x:v>显示模拟数据、MQTT主动上报、不支持创建TCP式调测任务。尚未收到有效工参，必填项0/9，连接与设备状态分开展示。</x:v>
      </x:c>
      <x:c r="E26" s="661" t="str">
        <x:v>通过</x:v>
      </x:c>
      <x:c r="F26" s="659" t="str">
        <x:v>login-observation.json</x:v>
      </x:c>
      <x:c r="G26" s="659" t="str">
        <x:v>只读检查单台历史设备；未创建新调测，未验证实时恢复。</x:v>
      </x:c>
    </x:row>
    <x:row r="27" ht="112" customHeight="1">
      <x:c r="A27" s="660" t="str">
        <x:v>RUN-16</x:v>
      </x:c>
      <x:c r="B27" s="660" t="str">
        <x:v>NET异常提示</x:v>
      </x:c>
      <x:c r="C27" s="660" t="str">
        <x:v>数据库不可用时刷新前台并读取后台、登录模拟器</x:v>
      </x:c>
      <x:c r="D27" s="660" t="str">
        <x:v>前台提示响应超时并保留会话；后台提示后端无法连接；模拟器明确连接失败。</x:v>
      </x:c>
      <x:c r="E27" s="661" t="str">
        <x:v>通过</x:v>
      </x:c>
      <x:c r="F27" s="660" t="str">
        <x:v>front-backend-timeout.png；admin-service-error.png；sim-login-error.png</x:v>
      </x:c>
      <x:c r="G27" s="660" t="str">
        <x:v>通过仅指没有伪报正常；服务中断本身为BLOCK-002。</x:v>
      </x:c>
    </x:row>
    <x:row r="28" ht="112" customHeight="1">
      <x:c r="A28" s="659" t="str">
        <x:v>RUN-17</x:v>
      </x:c>
      <x:c r="B28" s="659" t="str">
        <x:v>环境故障定位</x:v>
      </x:c>
      <x:c r="C28" s="659" t="str">
        <x:v>限时接口探测、检查进程/端口及数据库异常日志</x:v>
      </x:c>
      <x:c r="D28" s="659" t="str">
        <x:v>8081与8766仍监听，25432无监听。后台日志为数据库Connection refused与Hikari连接池约30秒超时。独立登录请求6秒、7秒限时均超时。</x:v>
      </x:c>
      <x:c r="E28" s="662" t="str">
        <x:v>暂时测不了</x:v>
      </x:c>
      <x:c r="F28" s="659" t="str">
        <x:v>database-connection-errors.txt；service-status.json；login-probe.json</x:v>
      </x:c>
      <x:c r="G28" s="659" t="str">
        <x:v>未重启。需要恢复现有数据库运行后才能继续业务流程；不清库、不重建。</x:v>
      </x:c>
    </x:row>
    <x:row r="30" ht="44" customHeight="1">
      <x:c r="A30" s="652" t="str">
        <x:v>第二轮证据目录：C:/Users/Admin（无密码）/.codex/visualizations/2026/09/27/01a0e0b7-3c23-7c00-aeba-e67e75596ac8/qa-20260927-round2</x:v>
      </x:c>
      <x:c r="B30" s="652"/>
      <x:c r="C30" s="652"/>
      <x:c r="D30" s="652"/>
      <x:c r="E30" s="652"/>
      <x:c r="F30" s="652"/>
      <x:c r="G30" s="652"/>
    </x:row>
  </x:sheetData>
  <x:mergeCells>
    <x:mergeCell ref="A1:G1"/>
    <x:mergeCell ref="A2:G2"/>
    <x:mergeCell ref="A18:G18"/>
    <x:mergeCell ref="A19:G19"/>
    <x:mergeCell ref="A21:G21"/>
    <x:mergeCell ref="A30:G30"/>
  </x:mergeCells>
  <x:conditionalFormatting sqref="E5:E16">
    <x:cfRule type="cellIs" dxfId="74" priority="1" operator="equal">
      <x:formula>"通过"</x:formula>
    </x:cfRule>
    <x:cfRule type="cellIs" dxfId="75" priority="2" operator="equal">
      <x:formula>"有问题"</x:formula>
    </x:cfRule>
    <x:cfRule type="cellIs" dxfId="76" priority="3" operator="equal">
      <x:formula>"待核实"</x:formula>
    </x:cfRule>
    <x:cfRule type="cellIs" dxfId="77" priority="4" operator="equal">
      <x:formula>"暂时测不了"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dc756f897c1049c0"/>
    <x:tablePart xmlns:r="http://schemas.openxmlformats.org/officeDocument/2006/relationships" r:id="Ra9fc8d5e689d414b"/>
  </x:tableParts>
</x:worksheet>
</file>