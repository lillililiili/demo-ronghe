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2ed314e2a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81015f7b2c1e4a97"/>
    <x:sheet xmlns:r="http://schemas.openxmlformats.org/officeDocument/2006/relationships" name="测试清单" sheetId="2" r:id="R29adde3a0ce34dc1"/>
    <x:sheet xmlns:r="http://schemas.openxmlformats.org/officeDocument/2006/relationships" name="准备与流程" sheetId="3" r:id="R538ff12f9faa469f"/>
    <x:sheet xmlns:r="http://schemas.openxmlformats.org/officeDocument/2006/relationships" name="问题记录" sheetId="4" r:id="Rbc38196569e94fcc"/>
    <x:sheet xmlns:r="http://schemas.openxmlformats.org/officeDocument/2006/relationships" name="自动手动组合" sheetId="5" r:id="R9aae7aab9cba47bc"/>
    <x:sheet xmlns:r="http://schemas.openxmlformats.org/officeDocument/2006/relationships" name="全流程验收" sheetId="6" r:id="Rdce6577e0d38436a"/>
    <x:sheet xmlns:r="http://schemas.openxmlformats.org/officeDocument/2006/relationships" name="流程步骤记录" sheetId="7" r:id="R24834653040647ea"/>
    <x:sheet xmlns:r="http://schemas.openxmlformats.org/officeDocument/2006/relationships" name="审查结论" sheetId="8" r:id="Rda80115b4d184974"/>
    <x:sheet xmlns:r="http://schemas.openxmlformats.org/officeDocument/2006/relationships" name="补充测试清单" sheetId="9" r:id="Rfbb51cbe9f6f4831"/>
    <x:sheet xmlns:r="http://schemas.openxmlformats.org/officeDocument/2006/relationships" name="设备运维清单" sheetId="10" r:id="R41cbc69ab2954af5"/>
    <x:sheet xmlns:r="http://schemas.openxmlformats.org/officeDocument/2006/relationships" name="本轮执行记录" sheetId="11" r:id="R8a6ba07db493488c"/>
  </x:sheets>
</x:workbook>
</file>

<file path=xl/sharedStrings.xml><?xml version="1.0" encoding="utf-8"?>
<x:sst xmlns:x="http://schemas.openxmlformats.org/spreadsheetml/2006/main">
  <x:si>
    <x:t xml:space="preserve">检查项总数</x:t>
  </x:si>
  <x:si>
    <x:t xml:space="preserve">已通过</x:t>
  </x:si>
  <x:si>
    <x:t xml:space="preserve">有问题</x:t>
  </x:si>
  <x:si>
    <x:t xml:space="preserve">暂时测不了</x:t>
  </x:si>
  <x:si>
    <x:t xml:space="preserve">还没测</x:t>
  </x:si>
  <x:si>
    <x:t xml:space="preserve">不适用</x:t>
  </x:si>
  <x:si>
    <x:t xml:space="preserve">已执行比例</x:t>
  </x:si>
  <x:si>
    <x:t xml:space="preserve">通过比例</x:t>
  </x:si>
  <x:si>
    <x:t xml:space="preserve">模块检查和整体流程都要验收</x:t>
  </x:si>
  <x:si>
    <x:t xml:space="preserve">测试模块</x:t>
  </x:si>
  <x:si>
    <x:t xml:space="preserve">项数</x:t>
  </x:si>
  <x:si>
    <x:t xml:space="preserve">通过</x:t>
  </x:si>
  <x:si>
    <x:t xml:space="preserve">登录和账号权限</x:t>
  </x:si>
  <x:si>
    <x:t xml:space="preserve">融合感知</x:t>
  </x:si>
  <x:si>
    <x:t xml:space="preserve">飞行计划</x:t>
  </x:si>
  <x:si>
    <x:t xml:space="preserve">合法性研判</x:t>
  </x:si>
  <x:si>
    <x:t xml:space="preserve">空域管理</x:t>
  </x:si>
  <x:si>
    <x:t xml:space="preserve">风险核验和通知上级</x:t>
  </x:si>
  <x:si>
    <x:t xml:space="preserve">告警事件</x:t>
  </x:si>
  <x:si>
    <x:t xml:space="preserve">飞手短信和电话</x:t>
  </x:si>
  <x:si>
    <x:t xml:space="preserve">反制申请 审批 执行和急停</x:t>
  </x:si>
  <x:si>
    <x:t xml:space="preserve">移送与处罚</x:t>
  </x:si>
  <x:si>
    <x:t xml:space="preserve">证据和视频</x:t>
  </x:si>
  <x:si>
    <x:t xml:space="preserve">运行统计</x:t>
  </x:si>
  <x:si>
    <x:t xml:space="preserve">页面显示和大屏</x:t>
  </x:si>
  <x:si>
    <x:t xml:space="preserve">信号模拟器和前台一起测</x:t>
  </x:si>
  <x:si>
    <x:t xml:space="preserve">需要开发配合的异常测试</x:t>
  </x:si>
  <x:si>
    <x:t xml:space="preserve">规则设置改变后前台会怎样</x:t>
  </x:si>
  <x:si>
    <x:t xml:space="preserve">正式测试前先确认</x:t>
  </x:si>
  <x:si>
    <x:t xml:space="preserve">短信计时：当前业务约定10秒，代码3秒。按10秒保留验收基准；新口径须留确认记录。</x:t>
  </x:si>
  <x:si>
    <x:t xml:space="preserve">自动与手动均测试，但自动反制的人为授权依据尚需核对。8种组合均在引擎开启时按类别设置。</x:t>
  </x:si>
  <x:si>
    <x:t xml:space="preserve">哪些功能已开：自动研判、短信、电话、移送及测试数据录入办法，都要先核对。</x:t>
  </x:si>
  <x:si>
    <x:t xml:space="preserve">“暂时测不了”不算通过。“不适用”要由负责人确认并在实际现象栏写理由。</x:t>
  </x:si>
  <x:si>
    <x:t xml:space="preserve">已执行比例＝通过和有问题的项数÷适用项数。通过比例＝通过项数÷已执行项数。</x:t>
  </x:si>
  <x:si>
    <x:t xml:space="preserve">发现越权、错误反制、重复下发、急停假成功、串事件或历史被改写时，必须先处理。</x:t>
  </x:si>
  <x:si>
    <x:t xml:space="preserve">设备主链分别检查反制与干扰续链；人工处罚交接不以反制完成为前置；鸟群风险另跑独立流程。</x:t>
  </x:si>
  <x:si>
    <x:t xml:space="preserve">未填结果</x:t>
  </x:si>
  <x:si>
    <x:t xml:space="preserve">无效结果</x:t>
  </x:si>
  <x:si>
    <x:t xml:space="preserve">两项应为0；请使用清单中的下拉选项。</x:t>
  </x:si>
  <x:si>
    <x:t xml:space="preserve">整体流程验收进度</x:t>
  </x:si>
  <x:si>
    <x:t xml:space="preserve">完整流程数</x:t>
  </x:si>
  <x:si>
    <x:t xml:space="preserve">已跑通</x:t>
  </x:si>
  <x:si>
    <x:t xml:space="preserve">还没跑</x:t>
  </x:si>
  <x:si>
    <x:t xml:space="preserve">进行中</x:t>
  </x:si>
  <x:si>
    <x:t xml:space="preserve">未填步骤</x:t>
  </x:si>
  <x:si>
    <x:t xml:space="preserve">流程结论</x:t>
  </x:si>
  <x:si>
    <x:t xml:space="preserve">整体验收包括152项前台模块、48项补充、64项设备运维、36条完整流程及关键口径确认；缺任何必测环节不能算全部完成。</x:t>
  </x:si>
  <x:si>
    <x:t xml:space="preserve">异常分支以正确阻断和无误动作通过；人工交接与自动交接分开判断。硬件或算法未具备要记录暂时测不了。</x:t>
  </x:si>
  <x:si>
    <x:t xml:space="preserve">流程标记通过还需每步证据齐全。F14/F15另关联独立子场景；其他组合记录须人工核对各子批次。</x:t>
  </x:si>
  <x:si>
    <x:t xml:space="preserve">第五轮已实际执行页面、模拟工参和独立自动测试；第四轮历史保留。未修改产品代码，未发送真实短信、电话或反制指令。</x:t>
  </x:si>
  <x:si>
    <x:t xml:space="preserve">补充测试与整体验收条件</x:t>
  </x:si>
  <x:si>
    <x:t xml:space="preserve">补充项数</x:t>
  </x:si>
  <x:si>
    <x:t xml:space="preserve">记录齐全</x:t>
  </x:si>
  <x:si>
    <x:t xml:space="preserve">待补证据</x:t>
  </x:si>
  <x:si>
    <x:t xml:space="preserve">流程待补证据</x:t>
  </x:si>
  <x:si>
    <x:t xml:space="preserve">模块记录齐全</x:t>
  </x:si>
  <x:si>
    <x:t xml:space="preserve">模块“通过”需实际结果、测试人、日期、证据齐全；“不适用”必须写明原因并纳入范围确认。待补证据仍不算完整完成。</x:t>
  </x:si>
  <x:si>
    <x:t xml:space="preserve">开测和验收条件</x:t>
  </x:si>
  <x:si>
    <x:t xml:space="preserve">当前确认情况</x:t>
  </x:si>
  <x:si>
    <x:t xml:space="preserve">确认记录或版本编号</x:t>
  </x:si>
  <x:si>
    <x:t xml:space="preserve">自动执行授权依据</x:t>
  </x:si>
  <x:si>
    <x:t xml:space="preserve">未确认</x:t>
  </x:si>
  <x:si>
    <x:t xml:space="preserve">66</x:t>
  </x:si>
  <x:si>
    <x:t xml:space="preserve">短信观察时长</x:t>
  </x:si>
  <x:si>
    <x:t xml:space="preserve">范围及运行版本</x:t>
  </x:si>
  <x:si>
    <x:t xml:space="preserve">已记录当前工作区（非纯提交版本）</x:t>
  </x:si>
  <x:si>
    <x:t xml:space="preserve">源码HEAD：后台2314376c5922；前台4c225c6cc1e5。两仓库均含既有未提交修改，本轮未修改产品代码。</x:t>
  </x:si>
  <x:si>
    <x:t xml:space="preserve">未关闭关键问题数</x:t>
  </x:si>
  <x:si>
    <x:t xml:space="preserve">请负责人员核对后填写，空白不是0</x:t>
  </x:si>
  <x:si>
    <x:t xml:space="preserve">后台设备运维执行进度</x:t>
  </x:si>
  <x:si>
    <x:t xml:space="preserve">运维检查项</x:t>
  </x:si>
  <x:si>
    <x:t xml:space="preserve">新增流程数</x:t>
  </x:si>
  <x:si>
    <x:t xml:space="preserve">已跑通新增流程</x:t>
  </x:si>
  <x:si>
    <x:t xml:space="preserve">设备运维重点：接入配置、真实状态、协议调测、报修处理、恢复核验、消息已读、历史保留与权限。不能把调测通过或已反馈当修好。</x:t>
  </x:si>
  <x:si>
    <x:t xml:space="preserve">新增F31至F36用同一设备和任务串联后台、前台、模拟器。原F26保留，其详细维护闭环由F33补充。</x:t>
  </x:si>
  <x:si>
    <x:t xml:space="preserve">前台测试清单</x:t>
  </x:si>
  <x:si>
    <x:t xml:space="preserve">逐行照着做，填写右侧结果和实际现象。可以按模块、优先顺序或结果筛选。</x:t>
  </x:si>
  <x:si>
    <x:t xml:space="preserve">一行包含多种情况时，全部测完才选“通过”。部分分支已测但仍缺前提的保留阻塞；未完整执行项不计通过。</x:t>
  </x:si>
  <x:si>
    <x:t xml:space="preserve">编号</x:t>
  </x:si>
  <x:si>
    <x:t xml:space="preserve">优先顺序</x:t>
  </x:si>
  <x:si>
    <x:t xml:space="preserve">怎么测</x:t>
  </x:si>
  <x:si>
    <x:t xml:space="preserve">怎样才算正常</x:t>
  </x:si>
  <x:si>
    <x:t xml:space="preserve">测试结果</x:t>
  </x:si>
  <x:si>
    <x:t xml:space="preserve">实际看到什么</x:t>
  </x:si>
  <x:si>
    <x:t xml:space="preserve">测试人</x:t>
  </x:si>
  <x:si>
    <x:t xml:space="preserve">测试日期</x:t>
  </x:si>
  <x:si>
    <x:t xml:space="preserve">截图或证据位置</x:t>
  </x:si>
  <x:si>
    <x:t xml:space="preserve">问题编号</x:t>
  </x:si>
  <x:si>
    <x:t xml:space="preserve">必须先测</x:t>
  </x:si>
  <x:si>
    <x:t xml:space="preserve">从提供的前台地址登录，再刷新页面</x:t>
  </x:si>
  <x:si>
    <x:t xml:space="preserve">进入有权限的页面，登录身份正确，刷新后不白屏</x:t>
  </x:si>
  <x:si>
    <x:t xml:space="preserve">第五轮：恢复原后端后，前台沿用已登录的超级管理员会话；刷新后身份正确，融合感知、业务导航正常，无白屏。此前有效登录记录保留。</x:t>
  </x:si>
  <x:si>
    <x:t xml:space="preserve">Codex</x:t>
  </x:si>
  <x:si>
    <x:t xml:space="preserve">第五、六轮证据：front-session-recovered.txt；front-session-recovered.png；reachability.json</x:t>
  </x:si>
  <x:si>
    <x:t xml:space="preserve">重要检查</x:t>
  </x:si>
  <x:si>
    <x:t xml:space="preserve">不填账号密码、输错密码、使用停用账号</x:t>
  </x:si>
  <x:si>
    <x:t xml:space="preserve">分别给出清楚提示，不让无效账号进入</x:t>
  </x:si>
  <x:si>
    <x:t xml:space="preserve">第八轮：页面实测空账号提示请输入登录账号、错误口令提示账号或密码错误；正确登录恢复原证据深链。API补测停用专用只读账号时拒绝登录和旧会话，恢复后可登录。</x:t>
  </x:si>
  <x:si>
    <x:t xml:space="preserve">r8-auth-errors-ui.txt；r8-api-evidence.jsonl</x:t>
  </x:si>
  <x:si>
    <x:t xml:space="preserve">BLOCK-004</x:t>
  </x:si>
  <x:si>
    <x:t xml:space="preserve">用要求首次改密的账号登录，改密前直接打开业务页面</x:t>
  </x:si>
  <x:si>
    <x:t xml:space="preserve">先完成改密；改密后旧密码不能继续使用</x:t>
  </x:si>
  <x:si>
    <x:t xml:space="preserve">退出登录后，按浏览器后退，再刷新旧详情页</x:t>
  </x:si>
  <x:si>
    <x:t xml:space="preserve">不能继续读取或操作受保护资料</x:t>
  </x:si>
  <x:si>
    <x:t xml:space="preserve">第六轮独立标签退出登录后，浏览器后退及刷新均停留登录页，原业务数据不再可见；随后使用现有账号重新登录。</x:t>
  </x:si>
  <x:si>
    <x:t xml:space="preserve">第五、六轮证据：r6-logout-history.json；r6-logout-protected.png</x:t>
  </x:si>
  <x:si>
    <x:t xml:space="preserve">用不同权限账号打开每个业务页面和大屏</x:t>
  </x:si>
  <x:si>
    <x:t xml:space="preserve">能进哪些页面，与管理员给的权限一致；知道地址也不能绕过</x:t>
  </x:si>
  <x:si>
    <x:t xml:space="preserve">用只能看甲单位的账号，尝试查看乙单位的列表、详情、文件和视频</x:t>
  </x:si>
  <x:si>
    <x:t xml:space="preserve">不能看到、下载或处理乙单位资料；请开发协助检查直接访问也不能绕过</x:t>
  </x:si>
  <x:si>
    <x:t xml:space="preserve">第八轮：本用例要求的单位范围账号与当前产品基线不一致：范围配置已撤回，新用户默认ALL。已具备只读及第二操作员账号，但不伪造ASSIGNED范围或以全范围账号冒充范围隔离。</x:t>
  </x:si>
  <x:si>
    <x:t xml:space="preserve">qa-unblock-account-verification.json；r8-current-preconditions.json</x:t>
  </x:si>
  <x:si>
    <x:t xml:space="preserve">保持页面不关，让管理员撤销权限或停用账号，再尝试操作</x:t>
  </x:si>
  <x:si>
    <x:t xml:space="preserve">旧页面不能继续靠原来的权限办事</x:t>
  </x:si>
  <x:si>
    <x:t xml:space="preserve">打开原来的设备、监测、调测、用户、角色、审计页面地址</x:t>
  </x:si>
  <x:si>
    <x:t xml:space="preserve">只显示已迁移提示，不重新出现后台管理功能，不自动跳到另一系统</x:t>
  </x:si>
  <x:si>
    <x:t xml:space="preserve">第五轮逐一打开 devices、monitor、commission、users、roles、archive 六个旧地址；均显示对应迁移提示，地址保留原系统，没有自动跳转或重新出现管理表单。</x:t>
  </x:si>
  <x:si>
    <x:t xml:space="preserve">第五、六轮证据：migrated-routes.json</x:t>
  </x:si>
  <x:si>
    <x:t xml:space="preserve">打开旧风险页、旧首页、旧工作台地址和旧反制授权链接</x:t>
  </x:si>
  <x:si>
    <x:t xml:space="preserve">进入当前承接业务的位置；反制授权仍定位同一条记录</x:t>
  </x:si>
  <x:si>
    <x:t xml:space="preserve">修改登录后的跳转地址，填外部网站、无权限页面或错误地址</x:t>
  </x:si>
  <x:si>
    <x:t xml:space="preserve">不被带到陌生网站；无权限仍拦截；错误地址不造成来回跳转</x:t>
  </x:si>
  <x:si>
    <x:t xml:space="preserve">开两个标签页，退出甲账号后登录乙账号，再回旧标签页</x:t>
  </x:si>
  <x:si>
    <x:t xml:space="preserve">不混入甲账号的数据；旧页面的失败回复不把乙账号的新登录错误清掉</x:t>
  </x:si>
  <x:si>
    <x:t xml:space="preserve">打开详情后刷新、前进、后退，再试一条不存在的记录</x:t>
  </x:si>
  <x:si>
    <x:t xml:space="preserve">能找回正确上下文；不存在时明确提示，不能随便换成另一条</x:t>
  </x:si>
  <x:si>
    <x:t xml:space="preserve">用模拟器发送一架无人机的位置，在前台找它</x:t>
  </x:si>
  <x:si>
    <x:t xml:space="preserve">列表、地图、详情是同一架；位置、来源和最后上报时间正确</x:t>
  </x:si>
  <x:si>
    <x:t xml:space="preserve">第八轮：本轮独立MQTT批次sim-0928104253-a184实际发布，经融合、研判生成目标003及关联告警；前台可定位，来源replay、目标编号和事件对应。20分钟批次另完成1670条报文，未以PUBACK代替平台回读。</x:t>
  </x:si>
  <x:si>
    <x:t xml:space="preserve">r8-scene.json；r8-chain-initial.json；r8-soak-scenario-final.json</x:t>
  </x:si>
  <x:si>
    <x:t xml:space="preserve">BLOCK-005</x:t>
  </x:si>
  <x:si>
    <x:t xml:space="preserve">让多台设备观察同一目标，再增加一个相邻但不同的目标</x:t>
  </x:si>
  <x:si>
    <x:t xml:space="preserve">同一目标按规则合并，不把旁边另一架错误合并；请开发核对识别关联</x:t>
  </x:si>
  <x:si>
    <x:t xml:space="preserve">第八轮：批次sim-0928104253-a184由雷达和TDOA同时上报首目标，后端目标003的来源链路包含两设备，前台展开多源融合显示雷达/TDOA；相邻两个独立无人机分别产生004/005，未与003合并。</x:t>
  </x:si>
  <x:si>
    <x:t xml:space="preserve">r8-chain-initial.json; r8-multi-source-ui.txt</x:t>
  </x:si>
  <x:si>
    <x:t xml:space="preserve">查看今天出现过、但已超过5分钟没有更新的目标</x:t>
  </x:si>
  <x:si>
    <x:t xml:space="preserve">今天的记录仍保留；但不能说它还在持续实时跟踪；目标多页时数量不漏算</x:t>
  </x:si>
  <x:si>
    <x:t xml:space="preserve">请开发准备跨夜数据，检查北京时间零点前后</x:t>
  </x:si>
  <x:si>
    <x:t xml:space="preserve">“今日目标”按新的一天重新计算，不混入前一天数量</x:t>
  </x:si>
  <x:si>
    <x:t xml:space="preserve">分别查看正常、离线、有故障、数据失效的设备，再恢复设备</x:t>
  </x:si>
  <x:si>
    <x:t xml:space="preserve">地图上的当前异常有提示，恢复后停止；设备类别仍看得清</x:t>
  </x:si>
  <x:si>
    <x:t xml:space="preserve">在列表选择目标、设备和告警，并打开两侧详情</x:t>
  </x:si>
  <x:si>
    <x:t xml:space="preserve">地图选中位置突出、不被挡住，也不能为了显示好看把坐标挪走</x:t>
  </x:si>
  <x:si>
    <x:t xml:space="preserve">查看有转弯、停留、中断、不同段落的轨迹</x:t>
  </x:si>
  <x:si>
    <x:t xml:space="preserve">如实显示，不能把中断前后强行连起来，不能补出不存在的飞行路线</x:t>
  </x:si>
  <x:si>
    <x:t xml:space="preserve">查看按计划飞、偏离计划、尚未飞过和缺少判断依据的路段</x:t>
  </x:si>
  <x:si>
    <x:t xml:space="preserve">按计划已飞段绿、偏离段红、未飞计划段灰；缺依据说明未知，不能乱染色</x:t>
  </x:si>
  <x:si>
    <x:t xml:space="preserve">打开视频后换目标、收起视频、离开页面</x:t>
  </x:si>
  <x:si>
    <x:t xml:space="preserve">旧画面及时停止；无视频、无权限、模拟画面分别说清楚</x:t>
  </x:si>
  <x:si>
    <x:t xml:space="preserve">请开发模拟地图加载失败、数据读取失败，再恢复</x:t>
  </x:si>
  <x:si>
    <x:t xml:space="preserve">失败不能显示成“没有目标”，也不能用假数据填充；恢复后地图不重叠</x:t>
  </x:si>
  <x:si>
    <x:t xml:space="preserve">打开一份已录入的计划，核对单位、飞手、无人机编号、起降点、时间和航线</x:t>
  </x:si>
  <x:si>
    <x:t xml:space="preserve">与录入资料一致；缺的资料写未提供，不能自己补造</x:t>
  </x:si>
  <x:si>
    <x:t xml:space="preserve">以模拟器实际提交的独立QA计划逐字段核对：SN、时间、航线ID/版本一致；未提交的单位、飞手、起降点显示未提供，未自行补造。原始请求与接收记录均保存。</x:t>
  </x:si>
  <x:si>
    <x:t xml:space="preserve">第五、六轮证据：plan-input-r5.json；input-context-r5.json；plan-preflight-before-start.txt；plan-input-front.png</x:t>
  </x:si>
  <x:si>
    <x:t xml:space="preserve">按不同条件查计划，组合筛选、翻页、清空条件</x:t>
  </x:si>
  <x:si>
    <x:t xml:space="preserve">条件一起起作用，列表和总数一致；改条件后不会卡在空白的旧页码</x:t>
  </x:si>
  <x:si>
    <x:t xml:space="preserve">新增3份合法外部输入后共11条，10条/页能翻第2页；改待执行回第1页5条，已取消0条且详情清空，清空筛选恢复11条。当前页面仅提供状态条件；筛选后的URL上下文问题另记BUG-006。</x:t>
  </x:si>
  <x:si>
    <x:t xml:space="preserve">第五、六轮证据：r6-pagination-plan-inputs.json；r6-plans-page2.txt；r6-plans-filter-reset.txt；r6-plans-empty-filter.txt；r6-plans-all-restored.txt</x:t>
  </x:si>
  <x:si>
    <x:t xml:space="preserve">选择不同计划查看航线，再关掉详情</x:t>
  </x:si>
  <x:si>
    <x:t xml:space="preserve">每份计划对应自己的航线；选择和筛选不混乱；轨迹颜色保持一致</x:t>
  </x:si>
  <x:si>
    <x:t xml:space="preserve">计划到时间却没发现无人机，分别检查设备正常、异常、资料不足</x:t>
  </x:si>
  <x:si>
    <x:t xml:space="preserve">分清“设备异常”“可能没起飞”“目前不能确认”，不能一律认定未起飞</x:t>
  </x:si>
  <x:si>
    <x:t xml:space="preserve">在起飞时间之前查看设备检查</x:t>
  </x:si>
  <x:si>
    <x:t xml:space="preserve">可以查看检查情况，不能提前当成“到时未起飞”去通知</x:t>
  </x:si>
  <x:si>
    <x:t xml:space="preserve">20:18查看20:22:51起飞的QA计划并重新检查，显示“起飞前·周边设备检查”“计划还没执行”；无可检查设备时不提前作未起飞通知。</x:t>
  </x:si>
  <x:si>
    <x:t xml:space="preserve">第五、六轮证据：plan-preflight-before-start.txt；plan-input-front.png</x:t>
  </x:si>
  <x:si>
    <x:t xml:space="preserve">对真实测试异常发出设备异常通知，再快速重复点击</x:t>
  </x:si>
  <x:si>
    <x:t xml:space="preserve">后台能找到对应处理事项；不能多建同一事项；通知完不等于设备已修好</x:t>
  </x:si>
  <x:si>
    <x:t xml:space="preserve">查看完全覆盖、部分覆盖、不覆盖计划飞行时间的天气预报，以及缺计划时间的情况</x:t>
  </x:si>
  <x:si>
    <x:t xml:space="preserve">只展示与计划时间重合的部分；没覆盖和缺时间分别说明</x:t>
  </x:si>
  <x:si>
    <x:t xml:space="preserve">打开有覆盖但时段已经结束的预报，再切页回来</x:t>
  </x:si>
  <x:si>
    <x:t xml:space="preserve">按现有要求正常保留发布时间和时段，不恢复已取消的“预报过期”提示和到期刷新</x:t>
  </x:si>
  <x:si>
    <x:t xml:space="preserve">第八轮：通过正式本地接口输入已结束的09:33至10:33模拟预报；天气页仍显示原发布时间08:33和完整时段，没有恢复已撤销的过期提示。</x:t>
  </x:si>
  <x:si>
    <x:t xml:space="preserve">r8-weather-scenarios.json; r8-weather-expired-ui.txt</x:t>
  </x:si>
  <x:si>
    <x:t xml:space="preserve">查看“本计划当前风险”，加入持续风险、已解除风险、已通知但未解除风险和待确认情况</x:t>
  </x:si>
  <x:si>
    <x:t xml:space="preserve">当前数量与当前列表一致；已通知仍可能是当前风险；待确认单独说明；历史保留</x:t>
  </x:si>
  <x:si>
    <x:t xml:space="preserve">快速切换同名的不同计划，再进入研判或证据</x:t>
  </x:si>
  <x:si>
    <x:t xml:space="preserve">不串天气、风险或证据；完成、取消计划按当前规则展示，不拿上一份内容顶上</x:t>
  </x:si>
  <x:si>
    <x:t xml:space="preserve">首次打开页面，对照各类待处理记录</x:t>
  </x:si>
  <x:si>
    <x:t xml:space="preserve">默认显示“待处理”；确实需要处理的记录不漏，列表、翻页和统计一致</x:t>
  </x:si>
  <x:si>
    <x:t xml:space="preserve">准备无人机、鸟、气球、风筝和未知目标，再尝试列表和直接链接</x:t>
  </x:si>
  <x:si>
    <x:t xml:space="preserve">这个页面只承接明确识别为无人机的研判；没有计划的无人机仍可保留</x:t>
  </x:si>
  <x:si>
    <x:t xml:space="preserve">切换“核实位置”，再叠加其他筛选</x:t>
  </x:si>
  <x:si>
    <x:t xml:space="preserve">按当前研判是否关联告警筛选；不能把没权限查看告警误认成没有告警</x:t>
  </x:si>
  <x:si>
    <x:t xml:space="preserve">分别打开依据充分、可以明确判为合法和非法的记录</x:t>
  </x:si>
  <x:si>
    <x:t xml:space="preserve">两种明确结论都不强行要求再人工确认；不能只看风险分数来判断可靠程度</x:t>
  </x:si>
  <x:si>
    <x:t xml:space="preserve">打开依据不足、且没有对应告警的记录，进行人工复核</x:t>
  </x:si>
  <x:si>
    <x:t xml:space="preserve">在合法性页办理；复核后更新结果并保留以前的依据和处理历史</x:t>
  </x:si>
  <x:si>
    <x:t xml:space="preserve">第八轮：无关联告警的合成研判在页面确认不可判定，保留置信度不足、断点和原始依据，生成1条含真实操作人的历史；第二位有复核权限的测试操作员提交旧版本收到409，未覆盖首条结果。</x:t>
  </x:si>
  <x:si>
    <x:t xml:space="preserve">r8-review-concurrency-result.json；r8-review-confirmed-ui.txt</x:t>
  </x:si>
  <x:si>
    <x:t xml:space="preserve">打开依据不足、但已有对应告警的记录</x:t>
  </x:si>
  <x:si>
    <x:t xml:space="preserve">去对应告警页核实；回来能看到同一结果，不要求两页各核实一次</x:t>
  </x:si>
  <x:si>
    <x:t xml:space="preserve">打开没有保存可靠程度的旧记录，或判断失败的记录</x:t>
  </x:si>
  <x:si>
    <x:t xml:space="preserve">明确写未知或不可用，不能默认当成可靠或合法</x:t>
  </x:si>
  <x:si>
    <x:t xml:space="preserve">第八轮：旧记录004/005缺少置信度时显示信息待核对、不可判定及置信度未知；001人工确认后仍保留原不可判定事实，没有默认改为合法或依据充分。</x:t>
  </x:si>
  <x:si>
    <x:t xml:space="preserve">r8-review-confirmed-ui.txt; r8-filter-confirmed.txt</x:t>
  </x:si>
  <x:si>
    <x:t xml:space="preserve">筛选“待复核”“已确认”“已驳回”“已改判”</x:t>
  </x:si>
  <x:si>
    <x:t xml:space="preserve">按实际处理情况分类，不把所有“从未人工操作”的记录都塞进待复核</x:t>
  </x:si>
  <x:si>
    <x:t xml:space="preserve">两个人同时打开同一条待复核记录，先后提交不同结果</x:t>
  </x:si>
  <x:si>
    <x:t xml:space="preserve">后提交的人收到冲突或更新提示，不能无声覆盖先提交结果</x:t>
  </x:si>
  <x:si>
    <x:t xml:space="preserve">带着筛选条件打开指定目标或计划的研判链接，再快速换记录</x:t>
  </x:si>
  <x:si>
    <x:t xml:space="preserve">能定位指定记录，必要时解除妨碍定位的筛选；详情和视频不串对象</x:t>
  </x:si>
  <x:si>
    <x:t xml:space="preserve">第八轮：计划详情跳转到合法性页后选中对应计划并切至全部无人机，0条时显示真实空态；此前目标003深链准确定位且告警跳转保留对应事件。</x:t>
  </x:si>
  <x:si>
    <x:t xml:space="preserve">r8-legality-fixed.txt；r8-plan-legality-context.txt</x:t>
  </x:si>
  <x:si>
    <x:t xml:space="preserve">查看详情里的各个区块</x:t>
  </x:si>
  <x:si>
    <x:t xml:space="preserve">保留判定依据和复核历史；不恢复已经删除的整块信息及上一条、下一条箭头</x:t>
  </x:si>
  <x:si>
    <x:t xml:space="preserve">第八轮：详情已实际打开判定依据、空间证据、计划与身份和复核历史；未恢复已删除的关联资料整块或上一条/下一条箭头。修复 URLSearchParams 模板构造错误后详情正常渲染。</x:t>
  </x:si>
  <x:si>
    <x:t xml:space="preserve">r8-review-confirmed-ui.txt；r8-legality-fixed.txt</x:t>
  </x:si>
  <x:si>
    <x:t xml:space="preserve">BUG-008（已修复）</x:t>
  </x:si>
  <x:si>
    <x:t xml:space="preserve">请开发模拟目标后来被判为非无人机，或关联告警读取失败</x:t>
  </x:si>
  <x:si>
    <x:t xml:space="preserve">不继续按无人机展示；读取失败不能被当成无告警并放开重复核实</x:t>
  </x:si>
  <x:si>
    <x:t xml:space="preserve">查询、选择、关闭不同空域详情</x:t>
  </x:si>
  <x:si>
    <x:t xml:space="preserve">列表、地图范围和详情对应；没选中时不留空白详情栏；选择空域不偷偷改变筛选</x:t>
  </x:si>
  <x:si>
    <x:t xml:space="preserve">新增独立模拟允许区后共2条：逐一选择允许区和原禁飞区，详情ID、范围及来源对应；关闭后不留详情；编号筛选2→1，选择不改筛选，清空恢复2。</x:t>
  </x:si>
  <x:si>
    <x:t xml:space="preserve">第五、六轮证据：airspace-input-context-r5.json；airspace-new-detail.txt；airspace-switch-detail.txt；airspace-filter-selected.txt；airspace-cleared.txt；airspace-new-detail.png</x:t>
  </x:si>
  <x:si>
    <x:t xml:space="preserve">准备范围内、边界上、范围外的目标，并用限制区域账号查看</x:t>
  </x:si>
  <x:si>
    <x:t xml:space="preserve">按已确定的空间规则处理；不能只凭地图上看起来靠近就算在范围内，也不能越权</x:t>
  </x:si>
  <x:si>
    <x:t xml:space="preserve">查看当前风险和已经解除的历史风险</x:t>
  </x:si>
  <x:si>
    <x:t xml:space="preserve">当前异常有提示，历史不继续闪；通知送达不自动解除异常</x:t>
  </x:si>
  <x:si>
    <x:t xml:space="preserve">有位置、有权限且测试设备空闲时，发起光电跟踪</x:t>
  </x:si>
  <x:si>
    <x:t xml:space="preserve">跟踪的是所选目标；命令收到、跟踪成功、有视频分别显示</x:t>
  </x:si>
  <x:si>
    <x:t xml:space="preserve">没有位置、没有权限、设备忙，或只有气象风险时尝试跟踪</x:t>
  </x:si>
  <x:si>
    <x:t xml:space="preserve">明确说明不能操作的原因；不能虚构一个目标去跟踪</x:t>
  </x:si>
  <x:si>
    <x:t xml:space="preserve">查看空域资料和风险详情</x:t>
  </x:si>
  <x:si>
    <x:t xml:space="preserve">不恢复“关联规则”区块，不把后台规则编辑功能放回前台</x:t>
  </x:si>
  <x:si>
    <x:t xml:space="preserve">对待核验风险分别选择属实和排除</x:t>
  </x:si>
  <x:si>
    <x:t xml:space="preserve">处理结果及历史正确；已排除的事项不继续要求重复核验或通知</x:t>
  </x:si>
  <x:si>
    <x:t xml:space="preserve">对核验属实的风险执行“通知上级”</x:t>
  </x:si>
  <x:si>
    <x:t xml:space="preserve">通知正确的上级，不新增按区域、风险类型选职责单位的步骤</x:t>
  </x:si>
  <x:si>
    <x:t xml:space="preserve">在飞行计划“全部风险事件”的“通知与回执”页签查看</x:t>
  </x:si>
  <x:si>
    <x:t xml:space="preserve">这里只看通知及回复，不再出现核验、改判操作；核验在风险详情办理</x:t>
  </x:si>
  <x:si>
    <x:t xml:space="preserve">分别制造发送失败、等待结果、已送达、超时的情况</x:t>
  </x:si>
  <x:si>
    <x:t xml:space="preserve">分别显示真实状态；点完发送不能立刻当作已通知成功；结果未知时先核对</x:t>
  </x:si>
  <x:si>
    <x:t xml:space="preserve">上级签收后让风险继续存在，再提供有效解除依据</x:t>
  </x:si>
  <x:si>
    <x:t xml:space="preserve">签收不解除风险；有实际解除依据后才更新当前风险，旧通知保留</x:t>
  </x:si>
  <x:si>
    <x:t xml:space="preserve">查看过了有效时间的气象风险，以及缺少新依据的其他风险</x:t>
  </x:si>
  <x:si>
    <x:t xml:space="preserve">按实际依据处理；无法确认的说明待确认，不能一律当作已经解除</x:t>
  </x:si>
  <x:si>
    <x:t xml:space="preserve">找到本次模拟产生的新告警，打开详情</x:t>
  </x:si>
  <x:si>
    <x:t xml:space="preserve">无人机、事件、研判对应；需要人工核实的显示待核实；查看本身不办业务</x:t>
  </x:si>
  <x:si>
    <x:t xml:space="preserve">第七轮：MQTT批次sim-0928100649-cd5f通过融合和合法性引擎生成目标002及告警0928-001。前台详情目标、来源replay和研判非法对应，事件为待核实；查看未改变状态。材料区域显示2条轨迹，无录像/图片/指令时显示暂无。</x:t>
  </x:si>
  <x:si>
    <x:t xml:space="preserve">第七轮证据：qa-unblock-full-chain.json；qa-unblock-postrestart.json；qa-unblock-evidence.png；qa-unblock-event-export.csv；qa-unblock-account-verification.json；qa-unblock-package.log。证据目录：C:\Users\Admin（无密码）\.codex\visualizations\2026\09\27\01a0e2a5-9f8d-7261-b23f-0e2b7ef4319e\qa-plan</x:t>
  </x:si>
  <x:si>
    <x:t xml:space="preserve">有权限的值班人员把告警核实为属实，再刷新</x:t>
  </x:si>
  <x:si>
    <x:t xml:space="preserve">显示“告警已确认”，记录谁处理的；后续通知按飞手和渠道条件办理</x:t>
  </x:si>
  <x:si>
    <x:t xml:space="preserve">第八轮：页面核实属实后API为CONFIRMED/version1，历史唯一且操作人正确；第二操作员旧版本409；无核验飞手时页面为待反制且无短信/电话记录。</x:t>
  </x:si>
  <x:si>
    <x:t xml:space="preserve">r8-verification-after.json；r8-api-evidence.jsonl；r8-confirmed-ui.txt</x:t>
  </x:si>
  <x:si>
    <x:t xml:space="preserve">将另一条待核实告警判为误报</x:t>
  </x:si>
  <x:si>
    <x:t xml:space="preserve">留下处理原因和历史；不会继续发短信、打电话或发起反制</x:t>
  </x:si>
  <x:si>
    <x:t xml:space="preserve">第八轮：另一条本批模拟告警在页面判为误报，API终态FALSE_POSITIVE，保留说明和操作历史，通知记录0。</x:t>
  </x:si>
  <x:si>
    <x:t xml:space="preserve">r8-false-positive.json</x:t>
  </x:si>
  <x:si>
    <x:t xml:space="preserve">组合筛选、翻页，在“告警与处置”和“反制办理”间切换</x:t>
  </x:si>
  <x:si>
    <x:t xml:space="preserve">列表和数量正确；顶部统计卡大小保持一致</x:t>
  </x:si>
  <x:si>
    <x:t xml:space="preserve">查看现有告警和旧的人工现场记录</x:t>
  </x:si>
  <x:si>
    <x:t xml:space="preserve">不再有“现场情况”“人工补充现场情况”写入口；旧记录可看但不能替代当前依据</x:t>
  </x:si>
  <x:si>
    <x:t xml:space="preserve">快速切换两条名称相似的告警</x:t>
  </x:si>
  <x:si>
    <x:t xml:space="preserve">不把前一条的通知、视频、授权、急停状态显示到后一条</x:t>
  </x:si>
  <x:si>
    <x:t xml:space="preserve">第八轮：第八轮实际快速切换告警004（已确认待反制）002（待核实）；地图目标004、视频告警002、待核实按钮和通知未启用提示一致；另切换误报003正确去掉核实操作。无可用实际视频/授权执行回执，相关硬件分支另列。</x:t>
  </x:si>
  <x:si>
    <x:t xml:space="preserve">r8-alarm-switch.txt</x:t>
  </x:si>
  <x:si>
    <x:t xml:space="preserve">两个人同时核实，或一人快速重复点击提交</x:t>
  </x:si>
  <x:si>
    <x:t xml:space="preserve">不重复处理，不无声覆盖别人的结果；需要时提示重新读取</x:t>
  </x:si>
  <x:si>
    <x:t xml:space="preserve">无核实权限或缺关键依据时尝试处理</x:t>
  </x:si>
  <x:si>
    <x:t xml:space="preserve">有清楚的阻止原因；能进页面不等于能做所有操作</x:t>
  </x:si>
  <x:si>
    <x:t xml:space="preserve">打开告警及反制详情的视频，收起后再展开</x:t>
  </x:si>
  <x:si>
    <x:t xml:space="preserve">默认展开，支持收起；没接入、没权限、读取失败分别说明；看视频不触发反制</x:t>
  </x:si>
  <x:si>
    <x:t xml:space="preserve">已核验飞手、短信电话都可用，让无人机持续留在告警区域，再核实属实</x:t>
  </x:si>
  <x:si>
    <x:t xml:space="preserve">先短信，观察，再电话，再观察；仍没离开才到待反制。不能少等、乱跳步骤</x:t>
  </x:si>
  <x:si>
    <x:t xml:space="preserve">没有已核验执行飞手时核实属实</x:t>
  </x:si>
  <x:si>
    <x:t xml:space="preserve">直接到待反制，不给未核验的人发短信打电话</x:t>
  </x:si>
  <x:si>
    <x:t xml:space="preserve">短信渠道不可用时核实属实</x:t>
  </x:si>
  <x:si>
    <x:t xml:space="preserve">按既定流程到待反制，不假装短信已送达</x:t>
  </x:si>
  <x:si>
    <x:t xml:space="preserve">短信可用、电话不可用，无人机还在区域内</x:t>
  </x:si>
  <x:si>
    <x:t xml:space="preserve">先发短信并完成观察，再到待反制；不能直接跳过观察</x:t>
  </x:si>
  <x:si>
    <x:t xml:space="preserve">短信送达后让无人机真正飞离，继续上报位置</x:t>
  </x:si>
  <x:si>
    <x:t xml:space="preserve">有位置证明离开后，不再升级电话或待反制；原告警确认记录仍保留</x:t>
  </x:si>
  <x:si>
    <x:t xml:space="preserve">一条始终不核实，另一条判为误报，多次打开页面</x:t>
  </x:si>
  <x:si>
    <x:t xml:space="preserve">两条都不发短信或电话；打开、刷新页面不触发通知</x:t>
  </x:si>
  <x:si>
    <x:t xml:space="preserve">短信送达后停止无人机位置上报，但设备还在线</x:t>
  </x:si>
  <x:si>
    <x:t xml:space="preserve">不当作飞走，也不继续自动打电话；即使显示待反制，缺少有效位置仍不能实际反制</x:t>
  </x:si>
  <x:si>
    <x:t xml:space="preserve">电话播放完成后让无人机飞离</x:t>
  </x:si>
  <x:si>
    <x:t xml:space="preserve">第二次观察根据实际位置判断离开，保留电话通知记录</x:t>
  </x:si>
  <x:si>
    <x:t xml:space="preserve">短信只发出但没确认送达，或电话没接通、没播放完</x:t>
  </x:si>
  <x:si>
    <x:t xml:space="preserve">不把这些状态当成已通知完成；不错误启动下一段观察</x:t>
  </x:si>
  <x:si>
    <x:t xml:space="preserve">请开发重复发送同一条通知回复，或把短信、电话回复顺序打乱</x:t>
  </x:si>
  <x:si>
    <x:t xml:space="preserve">不重复发送，不混用两个渠道结果，旧回复不覆盖新事实</x:t>
  </x:si>
  <x:si>
    <x:t xml:space="preserve">用别的事件或上一次模拟的回复干扰本次事件</x:t>
  </x:si>
  <x:si>
    <x:t xml:space="preserve">本次告警不被推进，本次无人机不因此触发撤离</x:t>
  </x:si>
  <x:si>
    <x:t xml:space="preserve">已有送达记录后关闭渠道，或让当前位置过期</x:t>
  </x:si>
  <x:si>
    <x:t xml:space="preserve">当时已经送达的事实仍保留，不能改成“从未发送”</x:t>
  </x:si>
  <x:si>
    <x:t xml:space="preserve">通知开始后关闭前台和收件箱，过一段时间再打开</x:t>
  </x:si>
  <x:si>
    <x:t xml:space="preserve">已启用的后台流程能继续按条件处理，不依赖人守着页面</x:t>
  </x:si>
  <x:si>
    <x:t xml:space="preserve">通知处理中断网或重启测试服务，再恢复</x:t>
  </x:si>
  <x:si>
    <x:t xml:space="preserve">先核对原任务，不盲目重复发送；未知结果如实显示</x:t>
  </x:si>
  <x:si>
    <x:t xml:space="preserve">普通申请人对符合条件的告警选择设备并提交反制申请</x:t>
  </x:si>
  <x:si>
    <x:t xml:space="preserve">进入审批流程，申请人和对象正确；审批前不能执行</x:t>
  </x:si>
  <x:si>
    <x:t xml:space="preserve">用另一有权账号分别批准和驳回，再尝试由申请人审批自己的申请</x:t>
  </x:si>
  <x:si>
    <x:t xml:space="preserve">按现有审批约束处理；不允许的自批被拦；驳回不能继续执行</x:t>
  </x:si>
  <x:si>
    <x:t xml:space="preserve">用执行账号执行已批准且有效的任务</x:t>
  </x:si>
  <x:si>
    <x:t xml:space="preserve">收到命令、开始执行、执行完成分别显示；只有设备结果才能证明实际执行情况</x:t>
  </x:si>
  <x:si>
    <x:t xml:space="preserve">对已经过期、撤销、驳回的授权执行，包括停留在旧页面再点</x:t>
  </x:si>
  <x:si>
    <x:t xml:space="preserve">都重新检查当前状态，不因旧按钮还在就发命令</x:t>
  </x:si>
  <x:si>
    <x:t xml:space="preserve">用明确有直接反制权限的账号操作符合条件的事件</x:t>
  </x:si>
  <x:si>
    <x:t xml:space="preserve">可以免逐次审批；记下真实发起人，不捏造审批人</x:t>
  </x:si>
  <x:si>
    <x:t xml:space="preserve">用普通申请、审批、执行账号，以及没有单独授予直接权限的管理员尝试直接反制</x:t>
  </x:si>
  <x:si>
    <x:t xml:space="preserve">不能把这些身份自动当成直接反制许可</x:t>
  </x:si>
  <x:si>
    <x:t xml:space="preserve">第八轮：管理员、第二位操作员、只读账号均未显式授予 disposal:direct；三者调用直接反制入口均403，不创建授权或设备命令。</x:t>
  </x:si>
  <x:si>
    <x:t xml:space="preserve">r8-api-evidence.jsonl</x:t>
  </x:si>
  <x:si>
    <x:t xml:space="preserve">有直接权限，但对象、区域、设备不在允许范围，或已经过期</x:t>
  </x:si>
  <x:si>
    <x:t xml:space="preserve">仍然阻止操作，不能超范围执行</x:t>
  </x:si>
  <x:si>
    <x:t xml:space="preserve">分别使用过期位置、未知或合法结论、证据不足、另一事件的研判</x:t>
  </x:si>
  <x:si>
    <x:t xml:space="preserve">申请、直接发起、实际执行都要挡住；不能拿旧现场记录凑依据</x:t>
  </x:si>
  <x:si>
    <x:t xml:space="preserve">命令排队时撤权，或让授权、位置过期</x:t>
  </x:si>
  <x:si>
    <x:t xml:space="preserve">真正发命令之前再检查，不把失效的任务继续下发</x:t>
  </x:si>
  <x:si>
    <x:t xml:space="preserve">任务需要继续执行时，让原授权到期或撤销资格</x:t>
  </x:si>
  <x:si>
    <x:t xml:space="preserve">后续命令仍重新检查，不能超出原来允许的时间</x:t>
  </x:si>
  <x:si>
    <x:t xml:space="preserve">设备忙、离线、故障时操作，再试重复点击和两个人同时提交</x:t>
  </x:si>
  <x:si>
    <x:t xml:space="preserve">说明失败或冲突；不重复下发；不能改走“人工填写执行成功”</x:t>
  </x:si>
  <x:si>
    <x:t xml:space="preserve">设备已经收到命令，但回复迟迟不到，过后再补回结果</x:t>
  </x:si>
  <x:si>
    <x:t xml:space="preserve">超时不能证明设备没执行；不要盲目重发；后到结果对应原任务</x:t>
  </x:si>
  <x:si>
    <x:t xml:space="preserve">执行中点击急停</x:t>
  </x:si>
  <x:si>
    <x:t xml:space="preserve">停止按钮容易找到；急停请求、设备回复、实际停机核查分别看，不能一点就当已停机</x:t>
  </x:si>
  <x:si>
    <x:t xml:space="preserve">未开始执行时撤销；急停后刷新或重新打开任务</x:t>
  </x:si>
  <x:si>
    <x:t xml:space="preserve">撤销与急停分清；刷新不自动恢复执行或授权</x:t>
  </x:si>
  <x:si>
    <x:t xml:space="preserve">急停失败、结果不明、重复急停或设备回复顺序错乱</x:t>
  </x:si>
  <x:si>
    <x:t xml:space="preserve">不能显示成已经安全停机；不串任务，继续清楚提示实际状况</x:t>
  </x:si>
  <x:si>
    <x:t xml:space="preserve">准备超过一页的待办，进入“待我处理”，再看“全部记录”</x:t>
  </x:si>
  <x:si>
    <x:t xml:space="preserve">待办不漏页；读取失败不能说没待办；当前事件和历史记录区分正确</x:t>
  </x:si>
  <x:si>
    <x:t xml:space="preserve">查看以前的人工执行记录</x:t>
  </x:si>
  <x:si>
    <x:t xml:space="preserve">只读保留，不重新进入可审批、可执行队列，不提供人工登记成功或失败</x:t>
  </x:si>
  <x:si>
    <x:t xml:space="preserve">请开发配合，让批准、撤销、执行同时发生，并模拟短时服务中断</x:t>
  </x:si>
  <x:si>
    <x:t xml:space="preserve">只接受当时合法的操作，不重复发命令；办理历史与实际结果一致</x:t>
  </x:si>
  <x:si>
    <x:t xml:space="preserve">打开本次事件的移送记录，核对目标、材料和来源</x:t>
  </x:si>
  <x:si>
    <x:t xml:space="preserve">是同一件事，不把反制申请审批放回这里办理</x:t>
  </x:si>
  <x:si>
    <x:t xml:space="preserve">分别检查自动建交接、自动发送和人工补发；引擎关闭与对应规则停用使用独立批次</x:t>
  </x:si>
  <x:si>
    <x:t xml:space="preserve">按实际触发条件显示；自动建交接检查干扰完成，人工交接不要求先反制。只读刷新不写入；发送、送达、签收和处罚结果分别记录</x:t>
  </x:si>
  <x:si>
    <x:t xml:space="preserve">查看待发送、等送达确认、已送达、发送失败的记录</x:t>
  </x:si>
  <x:si>
    <x:t xml:space="preserve">四种情况分清，保留每次发送记录，不能把未知写成成功</x:t>
  </x:si>
  <x:si>
    <x:t xml:space="preserve">查看未进入签收、等签收、已签收、签收超时</x:t>
  </x:si>
  <x:si>
    <x:t xml:space="preserve">签收与送达分开；已送达不等于已签收，已签收不等于处罚完成</x:t>
  </x:si>
  <x:si>
    <x:t xml:space="preserve">对允许补发的未发送或明确失败记录操作，再对结果未知的记录尝试重发</x:t>
  </x:si>
  <x:si>
    <x:t xml:space="preserve">只允许当前合法操作；结果未知先核对，不反复发送</x:t>
  </x:si>
  <x:si>
    <x:t xml:space="preserve">请开发模拟重复、迟到或发错事件的送达签收回复</x:t>
  </x:si>
  <x:si>
    <x:t xml:space="preserve">不重复处理，不串事件，历史事实不被随便覆盖</x:t>
  </x:si>
  <x:si>
    <x:t xml:space="preserve">查看已有正式办理结果和还没有决定的记录</x:t>
  </x:si>
  <x:si>
    <x:t xml:space="preserve">没有决定不编出处罚结果；收到材料不自动结案</x:t>
  </x:si>
  <x:si>
    <x:t xml:space="preserve">已固定保存的材料之后又增加新证据，或改变当前配置</x:t>
  </x:si>
  <x:si>
    <x:t xml:space="preserve">原材料内容保留，新资料另行关联；直接反制记录写真实发起人</x:t>
  </x:si>
  <x:si>
    <x:t xml:space="preserve">用范围受限或无办理权限的账号看详情、下载材料、尝试发送</x:t>
  </x:si>
  <x:si>
    <x:t xml:space="preserve">查看、下载、处理都受权限限制，不能越权</x:t>
  </x:si>
  <x:si>
    <x:t xml:space="preserve">分别打开图片、PDF、视频和文本证据</x:t>
  </x:si>
  <x:si>
    <x:t xml:space="preserve">内容可读，采集时间与模拟标记明确</x:t>
  </x:si>
  <x:si>
    <x:t xml:space="preserve">同一事件有多个同名文件，从业务页点击查看证据详情</x:t>
  </x:si>
  <x:si>
    <x:t xml:space="preserve">精确打开刚才那个文件，不能换成第一个或最新的文件</x:t>
  </x:si>
  <x:si>
    <x:t xml:space="preserve">第八轮：告警0928-001材料弹窗第2份为同名A，第3份为同名B；从第3份点击查看证据详情准确定位b3a241aa文件，刷新仍显示第二份B，未被同名第一份替代。</x:t>
  </x:si>
  <x:si>
    <x:t xml:space="preserve">r8-same-name-event-dialog.txt; r8-same-name-event-refresh.txt</x:t>
  </x:si>
  <x:si>
    <x:t xml:space="preserve">BUG-002</x:t>
  </x:si>
  <x:si>
    <x:t xml:space="preserve">同一目标有多条轨迹，从业务页跳到轨迹证据</x:t>
  </x:si>
  <x:si>
    <x:t xml:space="preserve">打开正确的那一条，不能把轨迹编号当成文件编号找错内容</x:t>
  </x:si>
  <x:si>
    <x:t xml:space="preserve">打开已丢失、损坏或不支持预览的文件</x:t>
  </x:si>
  <x:si>
    <x:t xml:space="preserve">明确提示，不能用样例文件冒充；有文件名不代表文件一定还在</x:t>
  </x:si>
  <x:si>
    <x:t xml:space="preserve">第八轮：页面实测受控损坏副本提示内容与入库不一致且禁下载；受控缺失副本提示原件缺失且禁下载；BIN提示格式不支持并仅按权限下载原件。两份副本均设50秒自动恢复，再检查AVAILABLE和原哈希。</x:t>
  </x:si>
  <x:si>
    <x:t xml:space="preserve">r8-corrupt-file-ui.txt; r8-missing-file-ui.txt; r8-unsupported-file-ui.txt; r8-temporary-file-fault-restored.json; r8-temporary-missing-restored.json</x:t>
  </x:si>
  <x:si>
    <x:t xml:space="preserve">用无权限账号，或退出后再打开原文件链接</x:t>
  </x:si>
  <x:si>
    <x:t xml:space="preserve">不能因为知道地址就下载或预览</x:t>
  </x:si>
  <x:si>
    <x:t xml:space="preserve">第八轮：只读用户可读元信息，但二进制预览返回403；不带会话打开原文件内容返回401，管理员相同文件200且哈希一致。</x:t>
  </x:si>
  <x:si>
    <x:t xml:space="preserve">r8-file-access.jsonl</x:t>
  </x:si>
  <x:si>
    <x:t xml:space="preserve">检查一份完整文件和一份受控损坏的测试副本</x:t>
  </x:si>
  <x:si>
    <x:t xml:space="preserve">如实给出完整性结果；“文件完整”不代表“内容一定真实”</x:t>
  </x:si>
  <x:si>
    <x:t xml:space="preserve">第八轮：真实文件哈希校验通过；仅对本轮合成副本追加字节或临时移走，分别识别 CORRUPT/MISSING；均在 finally 中还原并校验 AVAILABLE、matches=true。</x:t>
  </x:si>
  <x:si>
    <x:t xml:space="preserve">r8-integrity-copies.json</x:t>
  </x:si>
  <x:si>
    <x:t xml:space="preserve">视频加载时快速切换目标，或离开告警、研判、反制页面</x:t>
  </x:si>
  <x:si>
    <x:t xml:space="preserve">旧画面停止，不把上一目标画面放到下一目标上</x:t>
  </x:si>
  <x:si>
    <x:t xml:space="preserve">查看长文件名、大图片、冻结记录，连续开关预览</x:t>
  </x:si>
  <x:si>
    <x:t xml:space="preserve">内容不被裁掉，页面不越来越卡，历史资料不被改变</x:t>
  </x:si>
  <x:si>
    <x:t xml:space="preserve">用本次能对得上的目标、立案和处罚结果核对数字</x:t>
  </x:si>
  <x:si>
    <x:t xml:space="preserve">新目标按首次发现计数，不因重复上报重复算；立案按立案时间，处罚只算有效结果</x:t>
  </x:si>
  <x:si>
    <x:t xml:space="preserve">改时间、单位等条件，再快速切换</x:t>
  </x:si>
  <x:si>
    <x:t xml:space="preserve">数字和图表一起按同样条件变化，不被旧查询结果覆盖</x:t>
  </x:si>
  <x:si>
    <x:t xml:space="preserve">分别查看真实为零、缺少数据、读取失败的情况</x:t>
  </x:si>
  <x:si>
    <x:t xml:space="preserve">零就是零；不知道或读取失败要说清楚，不能全部补成零</x:t>
  </x:si>
  <x:si>
    <x:t xml:space="preserve">带筛选条件导出统计文件</x:t>
  </x:si>
  <x:si>
    <x:t xml:space="preserve">文件内容与页面同一范围，中文和时间正确，不能只导出一页却说是全部</x:t>
  </x:si>
  <x:si>
    <x:t xml:space="preserve">检查跨天和开始、结束时间附近的记录</x:t>
  </x:si>
  <x:si>
    <x:t xml:space="preserve">按已确定的时间边界统计，不多算、不漏算</x:t>
  </x:si>
  <x:si>
    <x:t xml:space="preserve">用只能看本单位的账号查询和导出</x:t>
  </x:si>
  <x:si>
    <x:t xml:space="preserve">图表和文件也不能包含其他单位资料</x:t>
  </x:si>
  <x:si>
    <x:t xml:space="preserve">查看很长的分类名称、空图表和全零图表</x:t>
  </x:si>
  <x:si>
    <x:t xml:space="preserve">看得全、分得清，不靠省略文字掩盖重要内容</x:t>
  </x:si>
  <x:si>
    <x:t xml:space="preserve">用较小窗口和长名称检查各页、表格、弹窗</x:t>
  </x:si>
  <x:si>
    <x:t xml:space="preserve">无文字重叠、关键内容裁切或省略号截断；整页不被迫左右拖动</x:t>
  </x:si>
  <x:si>
    <x:t xml:space="preserve">对照检查全部业务页和大屏的背景、卡片、文字、状态颜色</x:t>
  </x:si>
  <x:si>
    <x:t xml:space="preserve">当前深蓝主题一致，正文易读，同一状态颜色含义一致</x:t>
  </x:si>
  <x:si>
    <x:t xml:space="preserve">第八轮：本行旧预期要求普通业务页和大屏均深宝蓝；2026-09-27最新项目约定改为普通页低饱和蓝灰、大屏独立宝蓝。按旧统一配色无法验收；新主题已页面观察，不擅自恢复旧色。</x:t>
  </x:si>
  <x:si>
    <x:t xml:space="preserve">E:/rwurenji/_rong/AGENTS.md 界面文字完整展示及配色约定</x:t>
  </x:si>
  <x:si>
    <x:t xml:space="preserve">查看地图异常图标，再恢复正常；开启系统减少动态效果设置</x:t>
  </x:si>
  <x:si>
    <x:t xml:space="preserve">红光只出现在地图当前异常图标；恢复后停止；减少动态效果时保留静态提示</x:t>
  </x:si>
  <x:si>
    <x:t xml:space="preserve">分别滚动列表和详情，切页签、开关详情</x:t>
  </x:si>
  <x:si>
    <x:t xml:space="preserve">地图仍可用，重要按钮和关闭入口不被遮住</x:t>
  </x:si>
  <x:si>
    <x:t xml:space="preserve">测空列表、加载中、填写错误、无权限、读取失败</x:t>
  </x:si>
  <x:si>
    <x:t xml:space="preserve">每种提示清楚；保存中不会让人反复提交；失败不能弹成功</x:t>
  </x:si>
  <x:si>
    <x:t xml:space="preserve">有权和无权账号分别开大屏，进入全屏后再退出</x:t>
  </x:si>
  <x:si>
    <x:t xml:space="preserve">权限正确，退出正常，数字与业务事实一致</x:t>
  </x:si>
  <x:si>
    <x:t xml:space="preserve">只用键盘操作，并把浏览器放大到200%</x:t>
  </x:si>
  <x:si>
    <x:t xml:space="preserve">主要功能仍能找到和操作，焦点看得见，状态有文字说明</x:t>
  </x:si>
  <x:si>
    <x:t xml:space="preserve">一般检查</x:t>
  </x:si>
  <x:si>
    <x:t xml:space="preserve">普通页面和大屏分别连续开至少2小时，期间切换和恢复网络</x:t>
  </x:si>
  <x:si>
    <x:t xml:space="preserve">不白屏，不越来越卡，不一直显示早已失效的数据却称实时</x:t>
  </x:si>
  <x:si>
    <x:t xml:space="preserve">在本机Chrome和Edge各走一遍关键操作</x:t>
  </x:si>
  <x:si>
    <x:t xml:space="preserve">登录、表单、地图、视频都能正常用，记录浏览器版本；其他约定浏览器另测</x:t>
  </x:si>
  <x:si>
    <x:t xml:space="preserve">启动一批独立测试信号，依次找发送记录、平台目标、前台展示</x:t>
  </x:si>
  <x:si>
    <x:t xml:space="preserve">一步步对得上；模拟器显示“发送成功”还不等于平台已产生目标、研判或告警</x:t>
  </x:si>
  <x:si>
    <x:t xml:space="preserve">分别模拟正常飞行、偏航、无计划、进入限飞区、鸟群、设备故障</x:t>
  </x:si>
  <x:si>
    <x:t xml:space="preserve">各类结果由实际判断产生；鸟群不进入无人机合法性页；设备故障不冒充无人机违规</x:t>
  </x:si>
  <x:si>
    <x:t xml:space="preserve">在模拟器和前台同时看同一设备、无人机、航线和区域</x:t>
  </x:si>
  <x:si>
    <x:t xml:space="preserve">实际位置一致，不能用示意坐标代替；高度含义不明时不擅自换算</x:t>
  </x:si>
  <x:si>
    <x:t xml:space="preserve">分别选择短信后撤离、电话后撤离、继续飞行、短信后停止上报</x:t>
  </x:si>
  <x:si>
    <x:t xml:space="preserve">只响应本次目标的通知；撤离过程中继续发送真实模拟位置；停报不算飞离</x:t>
  </x:si>
  <x:si>
    <x:t xml:space="preserve">打开短信、电话、风险、处罚收件箱，刷新和翻页</x:t>
  </x:si>
  <x:si>
    <x:t xml:space="preserve">只查看既有记录；不能因此发送、拨号或签收；未送达或未知不能算已经收到</x:t>
  </x:si>
  <x:si>
    <x:t xml:space="preserve">输入一份计划或天气资料，再重复提交相同的一次消息</x:t>
  </x:si>
  <x:si>
    <x:t xml:space="preserve">前台资料正确，不因为重复提交而多出一份业务事实；不改旧历史</x:t>
  </x:si>
  <x:si>
    <x:t xml:space="preserve">独立计划和全覆盖天气均通过真实表单重复提交相同消息；回读分别仅1条接收记录，计划总数7未因重复变8。前台SN、时段、预报数值正确，原6份计划保留。随后另建历史QA计划供30项测试。</x:t>
  </x:si>
  <x:si>
    <x:t xml:space="preserve">第五、六轮证据：plan-input-r5.json；plan-repeat-sim.txt；input-repeat-context-r5.json；weather-repeat-context-r5.json；weather-full.txt</x:t>
  </x:si>
  <x:si>
    <x:t xml:space="preserve">运行中暂停、停止，或让登录失效、重启模拟器</x:t>
  </x:si>
  <x:si>
    <x:t xml:space="preserve">如实停止或显示失效；重启不自行续发；旧批次保留，前台不假装仍有新位置</x:t>
  </x:si>
  <x:si>
    <x:t xml:space="preserve">分别让登录失效、权限不足、记录不存在、服务出错、请求超时</x:t>
  </x:si>
  <x:si>
    <x:t xml:space="preserve">提示对应真实原因，不全部显示“暂无数据”，不不停重试</x:t>
  </x:si>
  <x:si>
    <x:t xml:space="preserve">操作已经到系统，但页面没收到回复，再恢复网络</x:t>
  </x:si>
  <x:si>
    <x:t xml:space="preserve">先查询原结果，不重复核实、通知、申请或下发</x:t>
  </x:si>
  <x:si>
    <x:t xml:space="preserve">第八轮：对本轮测试事件核实，CDP 在服务端返回 200 后丢弃响应；页面主动回读为待反制，历史仅 1 条。此前同幂等键重放 409且无重复，旧版本提交 409。拦截已清除。</x:t>
  </x:si>
  <x:si>
    <x:t xml:space="preserve">r8-response-lost.json；r8-response-lost-history.json；r8-response-lost-ui.txt；r8-api-evidence.jsonl</x:t>
  </x:si>
  <x:si>
    <x:t xml:space="preserve">第八轮响应丢失复测通过</x:t>
  </x:si>
  <x:si>
    <x:t xml:space="preserve">先查甲记录再查乙记录，让甲的结果更晚返回</x:t>
  </x:si>
  <x:si>
    <x:t xml:space="preserve">最后仍显示乙，不被甲覆盖；离开页面后旧结果不回来乱改</x:t>
  </x:si>
  <x:si>
    <x:t xml:space="preserve">两个人同时核实、批准、撤销同一件事</x:t>
  </x:si>
  <x:si>
    <x:t xml:space="preserve">有冲突提示，重新读取当前状态，不无声覆盖别人</x:t>
  </x:si>
  <x:si>
    <x:t xml:space="preserve">隐藏标签页后恢复，断网后恢复，观察自动刷新</x:t>
  </x:si>
  <x:si>
    <x:t xml:space="preserve">不积压大量请求，不重叠刷新；能重新显示当前数据</x:t>
  </x:si>
  <x:si>
    <x:t xml:space="preserve">用有代表性的数据量检查首次打开、筛选、详情和地图的速度</x:t>
  </x:si>
  <x:si>
    <x:t xml:space="preserve">记录真实等待时间；先确定可接受标准，不能为了快而漏掉列表和待办</x:t>
  </x:si>
  <x:si>
    <x:t xml:space="preserve">输入长文本、特殊符号和类似网页代码的测试文字</x:t>
  </x:si>
  <x:si>
    <x:t xml:space="preserve">当普通文字显示，不执行代码、不破坏页面；不合法输入清楚提示</x:t>
  </x:si>
  <x:si>
    <x:t xml:space="preserve">空域名称含&lt;b&gt;特殊文字&lt;/b&gt;及&amp;，模拟器和前台列表/详情均按普通文字显示；此前维护进展1001字拒绝、有效长说明只追加记录。未触发脚本或破坏页面。</x:t>
  </x:si>
  <x:si>
    <x:t xml:space="preserve">第五、六轮证据：airspace-input-sim.txt；airspace-new-detail.txt；airspace-new-detail.png；progress-validation.json</x:t>
  </x:si>
  <x:si>
    <x:t xml:space="preserve">准备不同单位、不同来源但同名的数据，再换账号查询</x:t>
  </x:si>
  <x:si>
    <x:t xml:space="preserve">不混数据，不越权；模拟、回放和真实来源分清</x:t>
  </x:si>
  <x:si>
    <x:t xml:space="preserve">当前业务继续变化，回头查看已固定保存的历史材料</x:t>
  </x:si>
  <x:si>
    <x:t xml:space="preserve">过去事实保持原样，新情况另有记录，不能事后补出假的审批或回复</x:t>
  </x:si>
  <x:si>
    <x:t xml:space="preserve">自动执行没有开启，只保存或启用一条规则配置</x:t>
  </x:si>
  <x:si>
    <x:t xml:space="preserve">不能把“规则存好了”当成自动动作已经开启；人工操作仍按原权限和条件办理</x:t>
  </x:si>
  <x:si>
    <x:t xml:space="preserve">自动服务正在启动、运行异常，之后恢复</x:t>
  </x:si>
  <x:si>
    <x:t xml:space="preserve">不假装已经成功执行；恢复后不重复办同一件事</x:t>
  </x:si>
  <x:si>
    <x:t xml:space="preserve">在本轮测试自动模式下，分别准备条件全满足、不满足、未知、持续时间不够</x:t>
  </x:si>
  <x:si>
    <x:t xml:space="preserve">只有符合已批准条件时才推进；不知道不能当作满足</x:t>
  </x:si>
  <x:si>
    <x:t xml:space="preserve">自动反制条件表面满足，但账号、设备、位置、证据或急停条件不允许</x:t>
  </x:si>
  <x:si>
    <x:t xml:space="preserve">仍须阻止动作，不能用“规则通过了”代替反制资格</x:t>
  </x:si>
  <x:si>
    <x:t xml:space="preserve">动作排队后，规则、授权或允许时段发生变化</x:t>
  </x:si>
  <x:si>
    <x:t xml:space="preserve">真正发送和继续执行之前再次检查，不能照旧结果继续办</x:t>
  </x:si>
  <x:si>
    <x:t xml:space="preserve">某类规则没有启用，或已经暂停，再尝试有权限的人工操作</x:t>
  </x:si>
  <x:si>
    <x:t xml:space="preserve">自动部分按设置暂停；人工入口不被错误隐藏，也不能因此绕过权限</x:t>
  </x:si>
  <x:si>
    <x:t xml:space="preserve">测试准备与操作说明</x:t>
  </x:si>
  <x:si>
    <x:t xml:space="preserve">完整安排、六个操作示例、误判提醒和验收要求均在本页。</x:t>
  </x:si>
  <x:si>
    <x:t xml:space="preserve">事项</x:t>
  </x:si>
  <x:si>
    <x:t xml:space="preserve">怎么准备或怎么做</x:t>
  </x:si>
  <x:si>
    <x:t xml:space="preserve">补充说明</x:t>
  </x:si>
  <x:si>
    <x:t xml:space="preserve">阅读说明</x:t>
  </x:si>
  <x:si>
    <x:t xml:space="preserve">这份文档给实际使用系统、负责测试和参与验收的人看。按下面的顺序操作，检查页面显示和实际处理结果是否一致。每测一项，记下“通过、有问题、暂时测不了、还没测”。</x:t>
  </x:si>
  <x:si>
    <x:t xml:space="preserve">本文是测试安排，下面写的是系统应该怎样表现，不是已经测过的结果。</x:t>
  </x:si>
  <x:si>
    <x:t xml:space="preserve">一 这次主要测什么</x:t>
  </x:si>
  <x:si>
    <x:t xml:space="preserve">主要测试业务前台里的登录、融合感知、飞行计划、合法性研判、空域管理、告警事件、反制办理、移送与处罚、证据管理、运行统计和大屏。 本次补充后台设备运维，详见本页下方准备事项、设备运维清单和F31至F36。</x:t>
  </x:si>
  <x:si>
    <x:t xml:space="preserve">要检查的不只是“按钮能不能点”。还要看：点完后事情有没有真正办成、处理的是不是这架无人机、换个账号能不能看到不该看的数据、出了问题会不会误显示成功。</x:t>
  </x:si>
  <x:si>
    <x:t xml:space="preserve">打开哪个系统</x:t>
  </x:si>
  <x:si>
    <x:t xml:space="preserve">地址</x:t>
  </x:si>
  <x:si>
    <x:t xml:space="preserve">测试时用它做什么</x:t>
  </x:si>
  <x:si>
    <x:t xml:space="preserve">业务前台</x:t>
  </x:si>
  <x:si>
    <x:t xml:space="preserve">http://localhost:5173/#/login?redirect=/legality</x:t>
  </x:si>
  <x:si>
    <x:t xml:space="preserve">主要测试对象，按值班人员的日常操作来测</x:t>
  </x:si>
  <x:si>
    <x:t xml:space="preserve">管理后台</x:t>
  </x:si>
  <x:si>
    <x:t xml:space="preserve">http://127.0.0.1:5175/login?redirect=/system/roles</x:t>
  </x:si>
  <x:si>
    <x:t xml:space="preserve">准备账号、设置权限，检查设备、通知和规则配置</x:t>
  </x:si>
  <x:si>
    <x:t xml:space="preserve">信号模拟器</x:t>
  </x:si>
  <x:si>
    <x:t xml:space="preserve">http://127.0.0.1:8766/</x:t>
  </x:si>
  <x:si>
    <x:t xml:space="preserve">模拟无人机、设备和飞行过程，配合检查前台反应</x:t>
  </x:si>
  <x:si>
    <x:t xml:space="preserve">模拟测试使用测试设备和测试通知渠道。模拟短信成功，只能说明这次模拟过程正常，不能据此认定真实手机收到了短信；视频和设备动作也一样。</x:t>
  </x:si>
  <x:si>
    <x:t xml:space="preserve">二 开始之前准备好这些东西</x:t>
  </x:si>
  <x:si>
    <x:t xml:space="preserve">1 准备能做不同事情的账号</x:t>
  </x:si>
  <x:si>
    <x:t xml:space="preserve">不需要把所有操作都放在一个管理员账号里。至少准备能覆盖下面几种情况的账号，哪些账号可以兼用，由管理员按实际权限安排。</x:t>
  </x:si>
  <x:si>
    <x:t xml:space="preserve">账号能做什么</x:t>
  </x:si>
  <x:si>
    <x:t xml:space="preserve">用来检查什么</x:t>
  </x:si>
  <x:si>
    <x:t xml:space="preserve">只能查看</x:t>
  </x:si>
  <x:si>
    <x:t xml:space="preserve">能看资料，但不能核实告警、审批或反制</x:t>
  </x:si>
  <x:si>
    <x:t xml:space="preserve">能核实告警、申请反制</x:t>
  </x:si>
  <x:si>
    <x:t xml:space="preserve">能提交申请，但不能跳过审批</x:t>
  </x:si>
  <x:si>
    <x:t xml:space="preserve">能审批</x:t>
  </x:si>
  <x:si>
    <x:t xml:space="preserve">使用另一账号审批，检查申请和审批是否分开</x:t>
  </x:si>
  <x:si>
    <x:t xml:space="preserve">能执行已批准的反制</x:t>
  </x:si>
  <x:si>
    <x:t xml:space="preserve">只能执行当前允许执行的任务</x:t>
  </x:si>
  <x:si>
    <x:t xml:space="preserve">被明确授予直接反制权限</x:t>
  </x:si>
  <x:si>
    <x:t xml:space="preserve">可以免去逐次审批，但仍要满足设备、范围、时间和证据要求</x:t>
  </x:si>
  <x:si>
    <x:t xml:space="preserve">只能看某个单位或区域</x:t>
  </x:si>
  <x:si>
    <x:t xml:space="preserve">不能看到、下载或处理其他单位、区域的资料</x:t>
  </x:si>
  <x:si>
    <x:t xml:space="preserve">没有某个页面权限</x:t>
  </x:si>
  <x:si>
    <x:t xml:space="preserve">即使知道页面地址，也不能直接进入</x:t>
  </x:si>
  <x:si>
    <x:t xml:space="preserve">已停用</x:t>
  </x:si>
  <x:si>
    <x:t xml:space="preserve">不能继续登录或操作</x:t>
  </x:si>
  <x:si>
    <x:t xml:space="preserve">没有被授予直接反制权限的管理员</x:t>
  </x:si>
  <x:si>
    <x:t xml:space="preserve">检查“管理员”身份是否被错误地当成直接反制许可</x:t>
  </x:si>
  <x:si>
    <x:t xml:space="preserve">测试记录里写账号名称和权限，不写密码。</x:t>
  </x:si>
  <x:si>
    <x:t xml:space="preserve">2 准备几组能互相对应的数据</x:t>
  </x:si>
  <x:si>
    <x:t xml:space="preserve">请开发或环境维护人员配合，通过现有录入、接入和模拟工具准备。不要为了让页面有数据，直接把“执行成功”“已签收”等结果填进数据库。</x:t>
  </x:si>
  <x:si>
    <x:t xml:space="preserve">准备什么</x:t>
  </x:si>
  <x:si>
    <x:t xml:space="preserve">具体例子</x:t>
  </x:si>
  <x:si>
    <x:t xml:space="preserve">正常飞行</x:t>
  </x:si>
  <x:si>
    <x:t xml:space="preserve">有有效飞行计划，沿计划航线飞行的无人机</x:t>
  </x:si>
  <x:si>
    <x:t xml:space="preserve">异常飞行</x:t>
  </x:si>
  <x:si>
    <x:t xml:space="preserve">偏离航线、没有计划、进入测试限飞区域的无人机，各准备一组</x:t>
  </x:si>
  <x:si>
    <x:t xml:space="preserve">不是无人机的目标</x:t>
  </x:si>
  <x:si>
    <x:t xml:space="preserve">鸟、气球、风筝，以及暂时不知道类别的目标</x:t>
  </x:si>
  <x:si>
    <x:t xml:space="preserve">信息不够的情况</x:t>
  </x:si>
  <x:si>
    <x:t xml:space="preserve">没有新位置、资料不全、系统暂时不能确定是否合法</x:t>
  </x:si>
  <x:si>
    <x:t xml:space="preserve">不同通知结果</x:t>
  </x:si>
  <x:si>
    <x:t xml:space="preserve">没有核验飞手、短信可用或不可用、电话可用或不可用、发送失败或结果未知</x:t>
  </x:si>
  <x:si>
    <x:t xml:space="preserve">不同飞行动作</x:t>
  </x:si>
  <x:si>
    <x:t xml:space="preserve">收到短信后离开、收到电话后离开、继续飞、停止上报位置</x:t>
  </x:si>
  <x:si>
    <x:t xml:space="preserve">不同办理进度</x:t>
  </x:si>
  <x:si>
    <x:t xml:space="preserve">待审批、已批准、已驳回、已过期、排队中、执行中、执行失败、已急停</x:t>
  </x:si>
  <x:si>
    <x:t xml:space="preserve">不同风险情况</x:t>
  </x:si>
  <x:si>
    <x:t xml:space="preserve">待核验、待通知、已经通知但风险仍在、已经排除、暂时不能确认</x:t>
  </x:si>
  <x:si>
    <x:t xml:space="preserve">不同天气资料</x:t>
  </x:si>
  <x:si>
    <x:t xml:space="preserve">完全覆盖飞行时间、只覆盖一部分、不覆盖、缺少计划时间</x:t>
  </x:si>
  <x:si>
    <x:t xml:space="preserve">不同证据</x:t>
  </x:si>
  <x:si>
    <x:t xml:space="preserve">图片、视频、文件、飞行轨迹；还要有文件丢失、损坏和无查看权限的情况</x:t>
  </x:si>
  <x:si>
    <x:t xml:space="preserve">容易混淆的数据</x:t>
  </x:si>
  <x:si>
    <x:t xml:space="preserve">名称一样但实际不同的无人机、计划、文件；至少三页的列表；很长的名称</x:t>
  </x:si>
  <x:si>
    <x:t xml:space="preserve">每次模拟都记下本次运行编号，以及对应的无人机、计划和告警编号。后续跨页面检查时，始终对着同一件事看，不能在几个页面各找一条看起来相似的数据。</x:t>
  </x:si>
  <x:si>
    <x:t xml:space="preserve">3 有几件事要先说清楚</x:t>
  </x:si>
  <x:si>
    <x:t xml:space="preserve">这些问题来自前一轮编制时对说明文档和代码的核对。正式测试前，应由负责人员确认当前实际情况。</x:t>
  </x:si>
  <x:si>
    <x:t xml:space="preserve">要先确认的事</x:t>
  </x:si>
  <x:si>
    <x:t xml:space="preserve">为什么要确认</x:t>
  </x:si>
  <x:si>
    <x:t xml:space="preserve">短信送达后到底观察3秒还是10秒</x:t>
  </x:si>
  <x:si>
    <x:t xml:space="preserve">当前已确认说明为短信10秒，现代码仍为3秒。按10秒保留验收预期，记录差异；若调整为3秒，须保存新确认。</x:t>
  </x:si>
  <x:si>
    <x:t xml:space="preserve">后台自动和手动分别怎样设置</x:t>
  </x:si>
  <x:si>
    <x:t xml:space="preserve">自动和手动均测试。8种组合需引擎开启并按类别设置；自动执行的人为授权依据另行核对，代码存在不等于授权已确认。</x:t>
  </x:si>
  <x:si>
    <x:t xml:space="preserve">哪些自动功能已经开启</x:t>
  </x:si>
  <x:si>
    <x:t xml:space="preserve">页面能打开，不代表自动研判、短信、电话、移送都已经开启</x:t>
  </x:si>
  <x:si>
    <x:t xml:space="preserve">用哪些测试账号</x:t>
  </x:si>
  <x:si>
    <x:t xml:space="preserve">不直接假定旧演示账号、旧密码还能用</x:t>
  </x:si>
  <x:si>
    <x:t xml:space="preserve">计划、空域等测试资料从哪里录入</x:t>
  </x:si>
  <x:si>
    <x:t xml:space="preserve">旧模拟器的配套方式与较新的数据录入要求存在差异，需要先确定本轮允许的办法</x:t>
  </x:si>
  <x:si>
    <x:t xml:space="preserve">没有确认的相关项目，写“暂时测不了”和具体原因。能独立测试的其他项目继续做。</x:t>
  </x:si>
  <x:si>
    <x:t xml:space="preserve">三 建议按这个顺序测试</x:t>
  </x:si>
  <x:si>
    <x:t xml:space="preserve">顺序</x:t>
  </x:si>
  <x:si>
    <x:t xml:space="preserve">做什么</x:t>
  </x:si>
  <x:si>
    <x:t xml:space="preserve">做到什么程度再往下走</x:t>
  </x:si>
  <x:si>
    <x:t xml:space="preserve">第一步</x:t>
  </x:si>
  <x:si>
    <x:t xml:space="preserve">检查账号、配置和测试数据</x:t>
  </x:si>
  <x:si>
    <x:t xml:space="preserve">能登录，知道自己能做什么，本次数据能查到</x:t>
  </x:si>
  <x:si>
    <x:t xml:space="preserve">第二步</x:t>
  </x:si>
  <x:si>
    <x:t xml:space="preserve">每个页面先走一遍</x:t>
  </x:si>
  <x:si>
    <x:t xml:space="preserve">能正常打开、查列表、看详情，关键位置不空白、不报错</x:t>
  </x:si>
  <x:si>
    <x:t xml:space="preserve">第三步</x:t>
  </x:si>
  <x:si>
    <x:t xml:space="preserve">完整处理一件事</x:t>
  </x:si>
  <x:si>
    <x:t xml:space="preserve">从发现无人机，一直检查到通知、反制、移送和证据；未具备的必测环节记录暂时测不了，不据此宣布全流程通过</x:t>
  </x:si>
  <x:si>
    <x:t xml:space="preserve">第四步</x:t>
  </x:si>
  <x:si>
    <x:t xml:space="preserve">换条件、换账号再测</x:t>
  </x:si>
  <x:si>
    <x:t xml:space="preserve">检查误报、没权限、信息不足、设备故障、断网、重复点击等情况</x:t>
  </x:si>
  <x:si>
    <x:t xml:space="preserve">第五步</x:t>
  </x:si>
  <x:si>
    <x:t xml:space="preserve">修复后重新测</x:t>
  </x:si>
  <x:si>
    <x:t xml:space="preserve">原问题确实消失，前后相关操作没有被改坏</x:t>
  </x:si>
  <x:si>
    <x:t xml:space="preserve">原5～7.5人工日只对应最初模块计划。现已加入8种组合、30条流程与48项补充测试，需要按实际批次数、配合人员和环境重新排期。</x:t>
  </x:si>
  <x:si>
    <x:t xml:space="preserve">四 先完整走通这六种情况</x:t>
  </x:si>
  <x:si>
    <x:t xml:space="preserve">第一种 无人机正常飞行</x:t>
  </x:si>
  <x:si>
    <x:t xml:space="preserve">先准备一份有效飞行计划，再让模拟无人机沿计划航线飞行。到“融合感知”里找到它，查看位置和轨迹；再打开对应飞行计划和合法性研判。</x:t>
  </x:si>
  <x:si>
    <x:t xml:space="preserve">正常表现：几个页面显示的是同一架无人机，计划匹配正确；有充分依据时显示合法；已飞过且符合计划的轨迹显示绿色，尚未飞过的计划航线显示灰色。不能无故产生违规告警或反制动作。</x:t>
  </x:si>
  <x:si>
    <x:t xml:space="preserve">第二种 无人机违规后按申请审批流程处理</x:t>
  </x:si>
  <x:si>
    <x:t xml:space="preserve">准备一架持续在告警区域内飞行的违规无人机，并为它准备已核验的飞手和可用的模拟短信、电话渠道。值班账号核实告警后，观察短信、等待观察、电话、再次观察的过程。</x:t>
  </x:si>
  <x:si>
    <x:t xml:space="preserve">仍未离开时，使用普通申请账号发起反制，换另一个有权账号审批，再由有执行权限的账号操作。查看测试设备有没有实际收到命令、有没有返回结果。分别核对反制与干扰续链回执后，检查自动交接条件；人工交接另按核实事件条件测试。随后，再核对交接、送达、签收和证据。</x:t>
  </x:si>
  <x:si>
    <x:t xml:space="preserve">正常表现：每一步处理同一个事件，审批前不能执行，页面提交成功不能冒充设备已经执行成功；移送、送达和签收分别有对应记录。</x:t>
  </x:si>
  <x:si>
    <x:t xml:space="preserve">第三种 有直接反制权限并在执行中急停</x:t>
  </x:si>
  <x:si>
    <x:t xml:space="preserve">使用被明确授予直接反制权限的账号，对一条符合条件的告警发起反制。执行过程中点击急停，查看设备回复和停机核查结果。</x:t>
  </x:si>
  <x:si>
    <x:t xml:space="preserve">正常表现：可以免去逐次审批，但仍检查对象、设备、范围、时间和当前证据；记录真实操作人。点击急停后，只有确认了设备的实际结果，才能认定已经停机。重新打开页面不能自动恢复执行。</x:t>
  </x:si>
  <x:si>
    <x:t xml:space="preserve">第四种 告警是误报或者信息不够</x:t>
  </x:si>
  <x:si>
    <x:t xml:space="preserve">一条告警选择“误报”；另一条保留为资料不足或位置已过期。分别查看通知和反制情况。</x:t>
  </x:si>
  <x:si>
    <x:t xml:space="preserve">正常表现：误报不会继续发短信、打电话或反制；资料不足时明确说明缺什么，不把“不知道”当成“合法”“已经飞走”或者“可以反制”。原始记录和处理历史保留。</x:t>
  </x:si>
  <x:si>
    <x:t xml:space="preserve">第五种 风险已经通知但还没有解除</x:t>
  </x:si>
  <x:si>
    <x:t xml:space="preserve">选一条计划或空域风险，核验后通知上级。对方收到或签收之后，保持风险仍存在；随后再提供能够证明风险解除的有效依据。</x:t>
  </x:si>
  <x:si>
    <x:t xml:space="preserve">正常表现：收到通知时，风险仍然显示存在；有解除依据后才按规定退出当前风险列表。之前的通知记录仍能查到。</x:t>
  </x:si>
  <x:si>
    <x:t xml:space="preserve">第六种 操作后突然断网</x:t>
  </x:si>
  <x:si>
    <x:t xml:space="preserve">请开发人员在测试环境配合，模拟“系统可能已经收到操作，但页面没收到回复”。分别检查核实、通知、反制申请等操作，再恢复网络查看结果。</x:t>
  </x:si>
  <x:si>
    <x:t xml:space="preserve">正常表现：页面说明结果还不能确定，先查原操作是否已经办成。不能因为没看到回复就重复发短信、重复申请或重复下发设备命令。</x:t>
  </x:si>
  <x:si>
    <x:t xml:space="preserve">六 这几种情况最容易误判</x:t>
  </x:si>
  <x:si>
    <x:t xml:space="preserve">页面上看到的情况</x:t>
  </x:si>
  <x:si>
    <x:t xml:space="preserve">正确理解</x:t>
  </x:si>
  <x:si>
    <x:t xml:space="preserve">点了发送，出现提交成功</x:t>
  </x:si>
  <x:si>
    <x:t xml:space="preserve">说明系统接到了这次操作，还要继续看实际发送和送达结果</x:t>
  </x:si>
  <x:si>
    <x:t xml:space="preserve">短信已送达、电话已播放</x:t>
  </x:si>
  <x:si>
    <x:t xml:space="preserve">说明通知到了，还要看无人机的新位置，才能判断有没有离开</x:t>
  </x:si>
  <x:si>
    <x:t xml:space="preserve">无人机不再上报位置</x:t>
  </x:si>
  <x:si>
    <x:t xml:space="preserve">可能失联或数据中断，不能直接认定飞走</x:t>
  </x:si>
  <x:si>
    <x:t xml:space="preserve">显示待反制</x:t>
  </x:si>
  <x:si>
    <x:t xml:space="preserve">仍要检查权限、有效位置、违规依据和设备条件</x:t>
  </x:si>
  <x:si>
    <x:t xml:space="preserve">反制审批通过或直接授权成功</x:t>
  </x:si>
  <x:si>
    <x:t xml:space="preserve">获得了相应授权，不代表设备已经执行</x:t>
  </x:si>
  <x:si>
    <x:t xml:space="preserve">急停请求已提交</x:t>
  </x:si>
  <x:si>
    <x:t xml:space="preserve">还要看设备回复和实际停机核查</x:t>
  </x:si>
  <x:si>
    <x:t xml:space="preserve">上级已收到、处罚部门已签收</x:t>
  </x:si>
  <x:si>
    <x:t xml:space="preserve">说明交接到了相应阶段，不代表风险解除或处罚办结</x:t>
  </x:si>
  <x:si>
    <x:t xml:space="preserve">文件完整性检查通过</x:t>
  </x:si>
  <x:si>
    <x:t xml:space="preserve">文件内容没有出现相应的完整性问题，不代表内容所描述的事实一定真实</x:t>
  </x:si>
  <x:si>
    <x:t xml:space="preserve">页面显示0</x:t>
  </x:si>
  <x:si>
    <x:t xml:space="preserve">只有确实为零时才正确；没有读到数据应写未知或失败</x:t>
  </x:si>
  <x:si>
    <x:t xml:space="preserve">七 发现问题怎么记录</x:t>
  </x:si>
  <x:si>
    <x:t xml:space="preserve">每个实际测试情况单独记一条。比如短信可用、短信不可用是两种情况，应分别记录。</x:t>
  </x:si>
  <x:si>
    <x:t xml:space="preserve">记录什么</x:t>
  </x:si>
  <x:si>
    <x:t xml:space="preserve">怎么写</x:t>
  </x:si>
  <x:si>
    <x:t xml:space="preserve">测试日期和测试人</x:t>
  </x:si>
  <x:si>
    <x:t xml:space="preserve">谁在什么时候测的</x:t>
  </x:si>
  <x:si>
    <x:t xml:space="preserve">测的是哪一项</x:t>
  </x:si>
  <x:si>
    <x:t xml:space="preserve">例如“短信送达后无人机停止上报位置”</x:t>
  </x:si>
  <x:si>
    <x:t xml:space="preserve">用了什么账号和数据</x:t>
  </x:si>
  <x:si>
    <x:t xml:space="preserve">账号权限、这次模拟编号、无人机或告警编号；不要写密码</x:t>
  </x:si>
  <x:si>
    <x:t xml:space="preserve">怎么操作的</x:t>
  </x:si>
  <x:si>
    <x:t xml:space="preserve">按1、2、3写出别人能重复的步骤</x:t>
  </x:si>
  <x:si>
    <x:t xml:space="preserve">应该看到什么</x:t>
  </x:si>
  <x:si>
    <x:t xml:space="preserve">按本文件对应要求写</x:t>
  </x:si>
  <x:si>
    <x:t xml:space="preserve">实际看到了什么</x:t>
  </x:si>
  <x:si>
    <x:t xml:space="preserve">如实写页面状态和实际结果，不只写“不正常”</x:t>
  </x:si>
  <x:si>
    <x:t xml:space="preserve">结果</x:t>
  </x:si>
  <x:si>
    <x:t xml:space="preserve">通过、有问题、暂时测不了、还没测；确定不在范围内的另写理由</x:t>
  </x:si>
  <x:si>
    <x:t xml:space="preserve">证据</x:t>
  </x:si>
  <x:si>
    <x:t xml:space="preserve">截图、短视频、操作时间；必要时由开发补充处理和设备记录</x:t>
  </x:si>
  <x:si>
    <x:t xml:space="preserve">修好后再测</x:t>
  </x:si>
  <x:si>
    <x:t xml:space="preserve">哪个版本修的，再测结果如何，有没有影响其他步骤</x:t>
  </x:si>
  <x:si>
    <x:t xml:space="preserve"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x:t>
  </x:si>
  <x:si>
    <x:t xml:space="preserve">记录“暂时测不了”时，写清楚差什么：没有合适账号、设备没接入、模拟通知没开、时长还没确认等。这些都不能当成通过。</x:t>
  </x:si>
  <x:si>
    <x:t xml:space="preserve">八 测到什么程度可以说通过</x:t>
  </x:si>
  <x:si>
    <x:t xml:space="preserve">必须先满足以下要求：</x:t>
  </x:si>
  <x:si>
    <x:t xml:space="preserve">1. 登录、主要页面和日常处理流程能正常使用。</x:t>
  </x:si>
  <x:si>
    <x:t xml:space="preserve">2. 普通申请审批、直接反制、执行、急停等本轮需要交付的关键流程，都有完整结果，不能有还没测或测不了的关键环节。</x:t>
  </x:si>
  <x:si>
    <x:t xml:space="preserve">3. 无越权查看、下载或操作；无错误反制、重复下发、急停假成功；无跨事件串数据。</x:t>
  </x:si>
  <x:si>
    <x:t xml:space="preserve">4. 通知、位置、授权、执行、移送、处罚分别显示真实状态，没有把未知显示成成功。</x:t>
  </x:si>
  <x:si>
    <x:t xml:space="preserve">5. 当前数据和历史材料正确，列表、地图、详情、统计和导出能对得上。</x:t>
  </x:si>
  <x:si>
    <x:t xml:space="preserve">6. 常用屏幕和浏览器里能看清、能操作；修复过的问题重新测过。</x:t>
  </x:si>
  <x:si>
    <x:t xml:space="preserve">7. 剩余问题逐条列出。影响主流程、权限、反制或历史事实的问题必须先处理；轻微问题由业务负责人明确接受后再安排修复。</x:t>
  </x:si>
  <x:si>
    <x:t xml:space="preserve">测试报告要分别写“通过多少、有问题多少、暂时测不了多少、还没测多少”。不要只写一句“基本正常”。真实设备或真实通知如果在交付范围内，要补真实验证，不能用模拟测试替代。</x:t>
  </x:si>
  <x:si>
    <x:t xml:space="preserve">结束时停止本轮模拟、核对测试设备已停止、恢复临时调整的网络和测试配置。保存测试记录，不为清理页面而删除原有业务历史或已固定的材料。</x:t>
  </x:si>
  <x:si>
    <x:t xml:space="preserve">后台设备运维测试准备</x:t>
  </x:si>
  <x:si>
    <x:t xml:space="preserve">新增后台范围</x:t>
  </x:si>
  <x:si>
    <x:t xml:space="preserve">设备管理、设备实时监测、设备接入调测；关联的接入通道管理、维护待办与站内消息。</x:t>
  </x:si>
  <x:si>
    <x:t xml:space="preserve">本轮不扩展到地图、报表或所有系统管理模块。</x:t>
  </x:si>
  <x:si>
    <x:t xml:space="preserve">后台入口</x:t>
  </x:si>
  <x:si>
    <x:t xml:space="preserve">http://127.0.0.1:5175/operations/devices
http://127.0.0.1:5175/operations/monitor
http://127.0.0.1:5175/operations/commission</x:t>
  </x:si>
  <x:si>
    <x:t xml:space="preserve">登录后进入；没权限不要求强行打开。</x:t>
  </x:si>
  <x:si>
    <x:t xml:space="preserve">仍需前台和模拟器</x:t>
  </x:si>
  <x:si>
    <x:t xml:space="preserve">前台 http://localhost:5173/#/login?redirect=/legality
模拟器 http://127.0.0.1:8766/</x:t>
  </x:si>
  <x:si>
    <x:t xml:space="preserve">F33须由前台原事项报修，不能在后台随便找一条历史待办冒充。</x:t>
  </x:si>
  <x:si>
    <x:t xml:space="preserve">账号准备</x:t>
  </x:si>
  <x:si>
    <x:t xml:space="preserve">准备设备只读、设备操作、监测操作、调测操作、连接只读/操作、范围受限账号，以及两名可并发处理人员。</x:t>
  </x:si>
  <x:si>
    <x:t xml:space="preserve">monitoring.read与monitoring.op负责维护动作；进入页面还需当前菜单与读取权限。</x:t>
  </x:si>
  <x:si>
    <x:t xml:space="preserve">测试设备准备</x:t>
  </x:si>
  <x:si>
    <x:t xml:space="preserve">准备TCP雷达、MQTT主动上报、光电、四通道测试设备与天气传感器档案；每类注明协议、来源及模拟标记。</x:t>
  </x:si>
  <x:si>
    <x:t xml:space="preserve">没有某类能力就暂时测不了；不拿另一协议的通过结果代替。</x:t>
  </x:si>
  <x:si>
    <x:t xml:space="preserve">通道准备</x:t>
  </x:si>
  <x:si>
    <x:t xml:space="preserve">准备唯一、多个、无可用接入通道三种范围；准备通知未发送、未知、失败和送达的模拟回执。</x:t>
  </x:si>
  <x:si>
    <x:t xml:space="preserve">devices.op不自动获得interfaces.op。连接成功不等于设备在线。</x:t>
  </x:si>
  <x:si>
    <x:t xml:space="preserve">删除专用数据</x:t>
  </x:si>
  <x:si>
    <x:t xml:space="preserve">另建可弃测试设备，预先留下可追溯历史。先验证忙碌拒绝，再验证停用空闲后的逻辑删除。</x:t>
  </x:si>
  <x:si>
    <x:t xml:space="preserve">仅用于计划执行时的专用测试数据；本次编制没有删除设备。</x:t>
  </x:si>
  <x:si>
    <x:t xml:space="preserve">来源与配置记录</x:t>
  </x:si>
  <x:si>
    <x:t xml:space="preserve">每轮保存前后端版本、实际配置、账号角色、设备ID、协议、来源模式、模拟批次与时间。</x:t>
  </x:si>
  <x:si>
    <x:t xml:space="preserve">代码默认值不是运行值；记录实际设备超时设置。</x:t>
  </x:si>
  <x:si>
    <x:t xml:space="preserve">维护流程顺序</x:t>
  </x:si>
  <x:si>
    <x:t xml:space="preserve">待处理 → 处理中 → 待恢复核验 → 完成。核验FAIL/UNKNOWN可恢复处理，再提交新一轮核验。</x:t>
  </x:si>
  <x:si>
    <x:t xml:space="preserve">核验PASS本身不自动完成；完成动作还会重新检查当前事实。</x:t>
  </x:si>
  <x:si>
    <x:t xml:space="preserve">恢复必须有依据</x:t>
  </x:si>
  <x:si>
    <x:t xml:space="preserve">设备启用；状态和心跳来自报修后且非未来、300秒内；在线GOOD且明确无告警；没有未恢复异常或执行中工作。</x:t>
  </x:si>
  <x:si>
    <x:t xml:space="preserve">模拟与真实来源必须一致；不直接改数据库填成功。</x:t>
  </x:si>
  <x:si>
    <x:t xml:space="preserve">两个300秒别混淆</x:t>
  </x:si>
  <x:si>
    <x:t xml:space="preserve">一是状态与心跳的新鲜度；二是既有恢复PASS距离完成不超过300秒。分别测试。</x:t>
  </x:si>
  <x:si>
    <x:t xml:space="preserve">完成时仍会重新检查，不凭旧PASS办结。</x:t>
  </x:si>
  <x:si>
    <x:t xml:space="preserve">异常事件与维护任务分开</x:t>
  </x:si>
  <x:si>
    <x:t xml:space="preserve">先通过既有异常恢复核验确认未恢复事件，再做维护任务恢复核验和完成。</x:t>
  </x:si>
  <x:si>
    <x:t xml:space="preserve">维护工作流本身不关闭异常，也不调用设备重启或自动开始调测。</x:t>
  </x:si>
  <x:si>
    <x:t xml:space="preserve">协议边界</x:t>
  </x:si>
  <x:si>
    <x:t xml:space="preserve">主动上报协议按task_supported检查诊断能力；不支持重启就不能假装重启。四通道调测只读查询，不代表射频验收。</x:t>
  </x:si>
  <x:si>
    <x:t xml:space="preserve">光电默认心跳3秒、MQTT工参默认30秒；以实际配置核对，不混用。</x:t>
  </x:si>
  <x:si>
    <x:t xml:space="preserve">完整流程对应</x:t>
  </x:si>
  <x:si>
    <x:t xml:space="preserve">F31接入到前台；F32掉线恢复；F33前台报修到完成；F34核验失败重做；F35并发断网；F36退役历史保留。</x:t>
  </x:si>
  <x:si>
    <x:t xml:space="preserve">每条10步，同一设备/任务/批次贯穿，截图和日志可互相对应。</x:t>
  </x:si>
  <x:si>
    <x:t xml:space="preserve">完成标准</x:t>
  </x:si>
  <x:si>
    <x:t xml:space="preserve">64项运维清单加6条新增流程纳入总览；所有必测项有证据、关键缺陷关闭，才可提交联合验收。</x:t>
  </x:si>
  <x:si>
    <x:t xml:space="preserve">通知送达、标已读、填写进展、调测通过都不单独代表设备恢复。</x:t>
  </x:si>
  <x:si>
    <x:t xml:space="preserve">当前逻辑依据</x:t>
  </x:si>
  <x:si>
    <x:t xml:space="preserve">后台docs/设备运维接口契约.md；docs/device-maintenance-workflow.md；设备管理、实时监测、接入调测页面及DeviceMaintenanceWorkflowService。</x:t>
  </x:si>
  <x:si>
    <x:t xml:space="preserve">核对时间2026-09-27；真实运行配置和硬件联调结果本次未验证。</x:t>
  </x:si>
  <x:si>
    <x:t xml:space="preserve">测试问题记录</x:t>
  </x:si>
  <x:si>
    <x:t xml:space="preserve">本轮只记录，不修改。BUG为已复现问题；OBS为待核实观察；BLOCK为执行条件不足，不混算产品缺陷。</x:t>
  </x:si>
  <x:si>
    <x:t xml:space="preserve">检查项编号</x:t>
  </x:si>
  <x:si>
    <x:t xml:space="preserve">问题简述</x:t>
  </x:si>
  <x:si>
    <x:t xml:space="preserve">怎么操作会出现</x:t>
  </x:si>
  <x:si>
    <x:t xml:space="preserve">本来应该怎样</x:t>
  </x:si>
  <x:si>
    <x:t xml:space="preserve">实际出现什么</x:t>
  </x:si>
  <x:si>
    <x:t xml:space="preserve">严重程度</x:t>
  </x:si>
  <x:si>
    <x:t xml:space="preserve">负责人</x:t>
  </x:si>
  <x:si>
    <x:t xml:space="preserve">处理进度</x:t>
  </x:si>
  <x:si>
    <x:t xml:space="preserve">修复版本和复测情况</x:t>
  </x:si>
  <x:si>
    <x:t xml:space="preserve">BUG-001</x:t>
  </x:si>
  <x:si>
    <x:t xml:space="preserve">后台登录页（新增观察项）</x:t>
  </x:si>
  <x:si>
    <x:t xml:space="preserve">后台多个页面的标签标题出现 undefined</x:t>
  </x:si>
  <x:si>
    <x:t xml:space="preserve">打开后台登录页；登录后进入设备接入调测，再查看设备管理。</x:t>
  </x:si>
  <x:si>
    <x:t xml:space="preserve">各标签标题应显示正确页面名称及平台名称。</x:t>
  </x:si>
  <x:si>
    <x:t xml:space="preserve">登录页标题为“登录 - undefined”；登录后调测页仍为“设备接入调测 - undefined”。</x:t>
  </x:si>
  <x:si>
    <x:t xml:space="preserve">轻微体验</x:t>
  </x:si>
  <x:si>
    <x:t xml:space="preserve">待分配</x:t>
  </x:si>
  <x:si>
    <x:t xml:space="preserve">复测通过</x:t>
  </x:si>
  <x:si>
    <x:t xml:space="preserve">第五轮浏览器实测登录、设备管理、接入调测及实时监测标签标题正常，无undefined。证据：第五、六轮证据：admin-login-title.png；commission-eo.png；未修改产品代码。</x:t>
  </x:si>
  <x:si>
    <x:t xml:space="preserve">OBS-001</x:t>
  </x:si>
  <x:si>
    <x:t xml:space="preserve">SIM-01（部分观察）</x:t>
  </x:si>
  <x:si>
    <x:t xml:space="preserve">模拟器地图缺少3个纹理的控制台告警</x:t>
  </x:si>
  <x:si>
    <x:t xml:space="preserve">打开8766信号地图，等待地图加载，读取浏览器控制台。</x:t>
  </x:si>
  <x:si>
    <x:t xml:space="preserve">地图所用纹理应能加载，无缺图告警。</x:t>
  </x:si>
  <x:si>
    <x:t xml:space="preserve">出现theme-tex-farm、theme-tex-forest、theme-tex-urban could not be loaded。地图加载提示随后消失；尚未判定业务影响。</x:t>
  </x:si>
  <x:si>
    <x:t xml:space="preserve">一般问题</x:t>
  </x:si>
  <x:si>
    <x:t xml:space="preserve">BLOCK-001</x:t>
  </x:si>
  <x:si>
    <x:t xml:space="preserve">AUTH-01、AUTH-02部分、OPS-01部分、F01/F31起步</x:t>
  </x:si>
  <x:si>
    <x:t xml:space="preserve">缺少有效测试登录及角色账号</x:t>
  </x:si>
  <x:si>
    <x:t xml:space="preserve">按用户提供的三个地址打开系统，检查当前登录状态。</x:t>
  </x:si>
  <x:si>
    <x:t xml:space="preserve">使用指定测试账号进入前台、后台及模拟器，再准备隔离批次。</x:t>
  </x:si>
  <x:si>
    <x:t xml:space="preserve">三个入口均未登录；截至本轮记录未取得有效账号。空值及虚构账号拒绝已局部检查。</x:t>
  </x:si>
  <x:si>
    <x:t xml:space="preserve">影响主要操作</x:t>
  </x:si>
  <x:si>
    <x:t xml:space="preserve">测试准备负责人</x:t>
  </x:si>
  <x:si>
    <x:t xml:space="preserve">2026-09-27第二轮已解除：用户提供账号，前台进入合法性页、后台进入设备接入调测。密码不记录在文档中。后续受BLOCK-002影响。</x:t>
  </x:si>
  <x:si>
    <x:t xml:space="preserve">BLOCK-002</x:t>
  </x:si>
  <x:si>
    <x:t xml:space="preserve">AUTH-01刷新、F01/F31准备、模拟器登录、全部依赖数据库业务</x:t>
  </x:si>
  <x:si>
    <x:t xml:space="preserve">测试中途数据库连接中断</x:t>
  </x:si>
  <x:si>
    <x:t xml:space="preserve">约18:05登录前台和后台成功；刷新前台，登录模拟器，再读取设备页。核查后端日志和监听端口。</x:t>
  </x:si>
  <x:si>
    <x:t xml:space="preserve">数据库持续可用，已登录会话可读取业务资料，模拟器能完成登录。</x:t>
  </x:si>
  <x:si>
    <x:t xml:space="preserve">前台提示后端响应超时；模拟器提示无法连接API；后台读取失败。8081仍监听，25432无监听；日志Connection refused、连接池约30秒超时。</x:t>
  </x:si>
  <x:si>
    <x:t xml:space="preserve">运行环境负责人</x:t>
  </x:si>
  <x:si>
    <x:t xml:space="preserve">第三轮已恢复原Docker引擎与deploy-db-1、deploy-mosquitto-1。数据库pg_isready通过，health=UP，认证及设备接口200，MQTT新批次成功接收。未清库、未新建替代库。</x:t>
  </x:si>
  <x:si>
    <x:t xml:space="preserve">BLOCK-003</x:t>
  </x:si>
  <x:si>
    <x:t xml:space="preserve">前后台页面验收及完整流程</x:t>
  </x:si>
  <x:si>
    <x:t xml:space="preserve">Codex浏览器站点权限仍拒绝访问</x:t>
  </x:si>
  <x:si>
    <x:t xml:space="preserve">前台reload被已保存的localhost:5173禁止设置拦截；后台127.0.0.1:5175访问也被拒绝。</x:t>
  </x:si>
  <x:si>
    <x:t xml:space="preserve">用户允许后，浏览器能正常访问测试页面。</x:t>
  </x:si>
  <x:si>
    <x:t xml:space="preserve">用户已文字允许继续，但工具仍报告保存的拒绝设置。独立接口测试可执行，页面交互无法执行。</x:t>
  </x:si>
  <x:si>
    <x:t xml:space="preserve">浏览器权限设置</x:t>
  </x:si>
  <x:si>
    <x:t xml:space="preserve">第五轮已实际访问5173、5175、8766并完成页面交互，浏览器权限阻塞解除。证据：第五、六轮证据：front-session-recovered.png；weather-onboard.png；inbox-checks.json</x:t>
  </x:si>
  <x:si>
    <x:t xml:space="preserve">107及108–114</x:t>
  </x:si>
  <x:si>
    <x:t xml:space="preserve">证据台账接口缺失导致页面不可用</x:t>
  </x:si>
  <x:si>
    <x:t xml:space="preserve">打开前台证据管理，点击重新读取</x:t>
  </x:si>
  <x:si>
    <x:t xml:space="preserve">证据台账与统计可读取</x:t>
  </x:si>
  <x:si>
    <x:t xml:space="preserve">/api/v1/evidence-ledger无后端映射；页面及统计资源不存在</x:t>
  </x:si>
  <x:si>
    <x:t xml:space="preserve">重要功能不可用</x:t>
  </x:si>
  <x:si>
    <x:t xml:space="preserve">前后台契约负责人</x:t>
  </x:si>
  <x:si>
    <x:t xml:space="preserve">已修复并复测</x:t>
  </x:si>
  <x:si>
    <x:t xml:space="preserve">第七轮：补齐evidence-ledger列表/统计/精确记录/材料/CSV。H2+隔离PostgreSQL+认证+目录配置47项通过，package成功，重启后HTTP200；实际页面83条轨迹与166点回放通过。第七轮证据：qa-unblock-full-chain.json；qa-unblock-postrestart.json；qa-unblock-evidence.png；qa-unblock-event-export.csv；qa-unblock-account-verification.json；qa-unblock-package.log。证据目录：C:\Users\Admin（无密码）\.codex\visualizations\2026\09\27\01a0e2a5-9f8d-7261-b23f-0e2b7ef4319e\qa-plan</x:t>
  </x:si>
  <x:si>
    <x:t xml:space="preserve">OBS-002</x:t>
  </x:si>
  <x:si>
    <x:t xml:space="preserve">模拟器地图</x:t>
  </x:si>
  <x:si>
    <x:t xml:space="preserve">恢复场景名称显示undefined</x:t>
  </x:si>
  <x:si>
    <x:t xml:space="preserve">恢复模拟器，查看场景名称输入框</x:t>
  </x:si>
  <x:si>
    <x:t xml:space="preserve">缺名称应显示空值或合理默认</x:t>
  </x:si>
  <x:si>
    <x:t xml:space="preserve">场景名称为字面量undefined；运行时长3分钟也未匹配下拉选项</x:t>
  </x:si>
  <x:si>
    <x:t xml:space="preserve">一般体验</x:t>
  </x:si>
  <x:si>
    <x:t xml:space="preserve">模拟器负责人</x:t>
  </x:si>
  <x:si>
    <x:t xml:space="preserve">OBS-003</x:t>
  </x:si>
  <x:si>
    <x:t xml:space="preserve">后台服务恢复</x:t>
  </x:si>
  <x:si>
    <x:t xml:space="preserve">服务不可用提示端口与当前后端不一致</x:t>
  </x:si>
  <x:si>
    <x:t xml:space="preserve">后端停止时打开后台设备页</x:t>
  </x:si>
  <x:si>
    <x:t xml:space="preserve">提示当前部署的后端地址</x:t>
  </x:si>
  <x:si>
    <x:t xml:space="preserve">提示默认8080，本轮实际local服务8081</x:t>
  </x:si>
  <x:si>
    <x:t xml:space="preserve">管理端负责人</x:t>
  </x:si>
  <x:si>
    <x:t xml:space="preserve">TEST-001</x:t>
  </x:si>
  <x:si>
    <x:t xml:space="preserve">前台契约自动测试</x:t>
  </x:si>
  <x:si>
    <x:t xml:space="preserve">3项现有测试脚本失败</x:t>
  </x:si>
  <x:si>
    <x:t xml:space="preserve">运行6个现有前台契约测试文件</x:t>
  </x:si>
  <x:si>
    <x:t xml:space="preserve">测试适配当前源码及Windows换行</x:t>
  </x:si>
  <x:si>
    <x:t xml:space="preserve">notificationConnectivity旧函数断言；statsApi和targetVideo脚本未兼容CRLF导致import残留</x:t>
  </x:si>
  <x:si>
    <x:t xml:space="preserve">测试自动化阻塞</x:t>
  </x:si>
  <x:si>
    <x:t xml:space="preserve">前台测试负责人</x:t>
  </x:si>
  <x:si>
    <x:t xml:space="preserve">权限、范围、并发</x:t>
  </x:si>
  <x:si>
    <x:t xml:space="preserve">专用权限测试账号未齐</x:t>
  </x:si>
  <x:si>
    <x:t xml:space="preserve">核对前后台与模拟器登录</x:t>
  </x:si>
  <x:si>
    <x:t xml:space="preserve">提供只读/范围受限/第二操作员等身份</x:t>
  </x:si>
  <x:si>
    <x:t xml:space="preserve">用户已明确确认尚无只读、范围受限及第二操作员测试账号；管理员会话有效。</x:t>
  </x:si>
  <x:si>
    <x:t xml:space="preserve">阻塞权限验收</x:t>
  </x:si>
  <x:si>
    <x:t xml:space="preserve">部分解除</x:t>
  </x:si>
  <x:si>
    <x:t xml:space="preserve">只读及第二操作员已准备，本轮多个写入403与并发冲突已实测；范围受限配置已从当前产品撤回，不再以缺账号笼统阻塞全部权限测试。</x:t>
  </x:si>
  <x:si>
    <x:t xml:space="preserve">自动组合及F01–F30相关步骤</x:t>
  </x:si>
  <x:si>
    <x:t xml:space="preserve">自动引擎和有效业务测试样本未齐</x:t>
  </x:si>
  <x:si>
    <x:t xml:space="preserve">查看规则运行提示及业务列表</x:t>
  </x:si>
  <x:si>
    <x:t xml:space="preserve">具备合法测试授权、引擎、研判/告警及模拟通知输入</x:t>
  </x:si>
  <x:si>
    <x:t xml:space="preserve">引擎明确未启用，当前研判/告警/交接为空；未开启真实反制或发送真实通知</x:t>
  </x:si>
  <x:si>
    <x:t xml:space="preserve">阻塞自动链验收</x:t>
  </x:si>
  <x:si>
    <x:t xml:space="preserve">测试环境与业务负责人</x:t>
  </x:si>
  <x:si>
    <x:t xml:space="preserve">当前融合/研判/告警及鸟类风险链已实测恢复。剩余是外部通知配置、处罚接收方、设备回执与完整自动授权条件；详见第八轮报告。</x:t>
  </x:si>
  <x:si>
    <x:t xml:space="preserve">BLOCK-006</x:t>
  </x:si>
  <x:si>
    <x:t xml:space="preserve">F31/F32/F33与运维协议分支</x:t>
  </x:si>
  <x:si>
    <x:t xml:space="preserve">缺独立健康GOOD及TCP测试设备回执</x:t>
  </x:si>
  <x:si>
    <x:t xml:space="preserve">检查现有主动上报模拟设备能力</x:t>
  </x:si>
  <x:si>
    <x:t xml:space="preserve">能产生可信健康字段与所需协议回执</x:t>
  </x:si>
  <x:si>
    <x:t xml:space="preserve">MQTT心跳恢复只给UNKNOWN；没有补造GOOD或调测通过</x:t>
  </x:si>
  <x:si>
    <x:t xml:space="preserve">阻塞完整设备闭环</x:t>
  </x:si>
  <x:si>
    <x:t xml:space="preserve">设备联调负责人</x:t>
  </x:si>
  <x:si>
    <x:t xml:space="preserve">待处理</x:t>
  </x:si>
  <x:si>
    <x:t xml:space="preserve">第五、六轮证据：device-lifecycle-r5.jsonl；commission-eo.txt；maintenance-final-ui.txt</x:t>
  </x:si>
  <x:si>
    <x:t xml:space="preserve">BUG-003</x:t>
  </x:si>
  <x:si>
    <x:t xml:space="preserve">22/138/142</x:t>
  </x:si>
  <x:si>
    <x:t xml:space="preserve">目标读取失败被后续刷新覆盖为零目标及更新成功</x:t>
  </x:si>
  <x:si>
    <x:t xml:space="preserve">浏览器阻断/api/v1/targets后进入或刷新融合感知</x:t>
  </x:si>
  <x:si>
    <x:t xml:space="preserve">持续明确目标读取失败，不把未知显示为0</x:t>
  </x:si>
  <x:si>
    <x:t xml:space="preserve">两次稳定显示今日目标0和数据已更新；解除阻断后4目标</x:t>
  </x:si>
  <x:si>
    <x:t xml:space="preserve">重要状态误导</x:t>
  </x:si>
  <x:si>
    <x:t xml:space="preserve">前台负责人</x:t>
  </x:si>
  <x:si>
    <x:t xml:space="preserve">TEST-002</x:t>
  </x:si>
  <x:si>
    <x:t xml:space="preserve">93/急停测试</x:t>
  </x:si>
  <x:si>
    <x:t xml:space="preserve">尚未执行撤销测试与发起人权限守卫冲突</x:t>
  </x:si>
  <x:si>
    <x:t xml:space="preserve">扩展套件及单独复跑EmergencyStopApiTest指定方法</x:t>
  </x:si>
  <x:si>
    <x:t xml:space="preserve">测试预期200，当前实现仅发起人可撤销</x:t>
  </x:si>
  <x:si>
    <x:t xml:space="preserve">均409 NOT_REQUESTER；测试使用operator而非requester</x:t>
  </x:si>
  <x:si>
    <x:t xml:space="preserve">测试与现行规则待对齐</x:t>
  </x:si>
  <x:si>
    <x:t xml:space="preserve">后端与测试负责人</x:t>
  </x:si>
  <x:si>
    <x:t xml:space="preserve">TEST-003</x:t>
  </x:si>
  <x:si>
    <x:t xml:space="preserve">89/直接续链测试</x:t>
  </x:si>
  <x:si>
    <x:t xml:space="preserve">续链执行事件在组合套件中不稳定缺失</x:t>
  </x:si>
  <x:si>
    <x:t xml:space="preserve">扩展套件运行DirectDisposalBackgroundTest</x:t>
  </x:si>
  <x:si>
    <x:t xml:space="preserve">ACCEPTED分支应记录EXECUTE</x:t>
  </x:si>
  <x:si>
    <x:t xml:space="preserve">组合套件缺EXECUTE；单独复跑ACCEPTED/REJECTED均通过</x:t>
  </x:si>
  <x:si>
    <x:t xml:space="preserve">自动测试不稳定</x:t>
  </x:si>
  <x:si>
    <x:t xml:space="preserve">后端测试负责人</x:t>
  </x:si>
  <x:si>
    <x:t xml:space="preserve">BUG-004</x:t>
  </x:si>
  <x:si>
    <x:t xml:space="preserve">OPS-14</x:t>
  </x:si>
  <x:si>
    <x:t xml:space="preserve">MQTT设备编辑保存500</x:t>
  </x:si>
  <x:si>
    <x:t xml:space="preserve">编辑独立模拟雷达，仅修改厂家</x:t>
  </x:si>
  <x:si>
    <x:t xml:space="preserve">可编辑字段保存成功，身份字段不可改</x:t>
  </x:si>
  <x:si>
    <x:t xml:space="preserve">PostgreSQL could not determine data type of parameter $6；原档案未覆盖</x:t>
  </x:si>
  <x:si>
    <x:t xml:space="preserve">后端设备负责人</x:t>
  </x:si>
  <x:si>
    <x:t xml:space="preserve">MQTT及光电设备编辑的空经度参数显式CAST NUMERIC，修复PostgreSQL无法判断$6类型。23项MQTT/光电回归通过；实际模拟设备厂家保存成功、版本递增、坐标保持，随后恢复厂家。证据：qa-device-edit-verified.json；qa-device-edit-green.log；qa-final-package.log</x:t>
  </x:si>
  <x:si>
    <x:t xml:space="preserve">BUG-005</x:t>
  </x:si>
  <x:si>
    <x:t xml:space="preserve">122/125</x:t>
  </x:si>
  <x:si>
    <x:t xml:space="preserve">小窗口空域操作按钮被裁切</x:t>
  </x:si>
  <x:si>
    <x:t xml:space="preserve">CSS视口1000×750打开空域管理</x:t>
  </x:si>
  <x:si>
    <x:t xml:space="preserve">刷新、地图定位按钮完整可操作</x:t>
  </x:si>
  <x:si>
    <x:t xml:space="preserve">按钮right&gt;1013而视口1000，容器overflow:hidden；宽屏恢复</x:t>
  </x:si>
  <x:si>
    <x:t xml:space="preserve">一般功能体验</x:t>
  </x:si>
  <x:si>
    <x:t xml:space="preserve">BUG-006</x:t>
  </x:si>
  <x:si>
    <x:t xml:space="preserve">12/24/32</x:t>
  </x:si>
  <x:si>
    <x:t xml:space="preserve">空筛选后计划详情与URL身份不一致</x:t>
  </x:si>
  <x:si>
    <x:t xml:space="preserve">选择8e31945d→已取消空列表→全部状态</x:t>
  </x:si>
  <x:si>
    <x:t xml:space="preserve">详情和URL指向同一计划，刷新不换对象</x:t>
  </x:si>
  <x:si>
    <x:t xml:space="preserve">详情29f39fa7但URL8e31945d；刷新又回8e31945d</x:t>
  </x:si>
  <x:si>
    <x:t xml:space="preserve">业务上下文错误</x:t>
  </x:si>
  <x:si>
    <x:t xml:space="preserve">BUG-007</x:t>
  </x:si>
  <x:si>
    <x:t xml:space="preserve">OPS-64</x:t>
  </x:si>
  <x:si>
    <x:t xml:space="preserve">运维审计动作缺名称且详情丢对象展示</x:t>
  </x:si>
  <x:si>
    <x:t xml:space="preserve">打开本轮维护提交、核验和继续处理审计</x:t>
  </x:si>
  <x:si>
    <x:t xml:space="preserve">能分辨具体动作并对应任务或设备</x:t>
  </x:si>
  <x:si>
    <x:t xml:space="preserve">动作未配置名称；详情未展示数据库已有的对象类型与ID</x:t>
  </x:si>
  <x:si>
    <x:t xml:space="preserve">审计可追溯性不足</x:t>
  </x:si>
  <x:si>
    <x:t xml:space="preserve">TEST-004</x:t>
  </x:si>
  <x:si>
    <x:t xml:space="preserve">生产隔离自动测试</x:t>
  </x:si>
  <x:si>
    <x:t xml:space="preserve">混合production/local配置测试出现admin1</x:t>
  </x:si>
  <x:si>
    <x:t xml:space="preserve">运行ProductionDevSeedIsolationTest并单独复跑</x:t>
  </x:si>
  <x:si>
    <x:t xml:space="preserve">production+local时不产生开发账号</x:t>
  </x:si>
  <x:si>
    <x:t xml:space="preserve">测试预期admin1为0实为1；六个开发Seeder不在上下文，InitialAdminBootstrap需核对</x:t>
  </x:si>
  <x:si>
    <x:t xml:space="preserve">隔离契约失败</x:t>
  </x:si>
  <x:si>
    <x:t xml:space="preserve">后端负责人</x:t>
  </x:si>
  <x:si>
    <x:t xml:space="preserve">TEST-005</x:t>
  </x:si>
  <x:si>
    <x:t xml:space="preserve">语音模拟隔离测试</x:t>
  </x:si>
  <x:si>
    <x:t xml:space="preserve">local/test适配器接受live模拟判定</x:t>
  </x:si>
  <x:si>
    <x:t xml:space="preserve">运行AutoVoiceRecordingTest失败方法并复跑</x:t>
  </x:si>
  <x:si>
    <x:t xml:space="preserve">simulationAvailable(live)为false</x:t>
  </x:si>
  <x:si>
    <x:t xml:space="preserve">返回true；production分支并未证明失效，不扩大为生产实际拨号</x:t>
  </x:si>
  <x:si>
    <x:t xml:space="preserve">来源隔离契约失败</x:t>
  </x:si>
  <x:si>
    <x:t xml:space="preserve">TEST-006</x:t>
  </x:si>
  <x:si>
    <x:t xml:space="preserve">审计标签测试</x:t>
  </x:si>
  <x:si>
    <x:t xml:space="preserve">7种审计动作缺中文标签</x:t>
  </x:si>
  <x:si>
    <x:t xml:space="preserve">运行AuditLabelsCoverageTest并复跑</x:t>
  </x:si>
  <x:si>
    <x:t xml:space="preserve">全部写入动作具备中文名称</x:t>
  </x:si>
  <x:si>
    <x:t xml:space="preserve">缺airspace_upstream_received、接口配置保存/本地绑定/输入/回执、天气新建/修改</x:t>
  </x:si>
  <x:si>
    <x:t xml:space="preserve">审计展示契约失败</x:t>
  </x:si>
  <x:si>
    <x:t xml:space="preserve">前后台负责人</x:t>
  </x:si>
  <x:si>
    <x:t xml:space="preserve">TEST-007</x:t>
  </x:si>
  <x:si>
    <x:t xml:space="preserve">空域PostgreSQL测试</x:t>
  </x:si>
  <x:si>
    <x:t xml:space="preserve">4项旧空域写入测试返回405</x:t>
  </x:si>
  <x:si>
    <x:t xml:space="preserve">默认配置执行Stage9PostgresTest</x:t>
  </x:si>
  <x:si>
    <x:t xml:space="preserve">测试预期创建201或并发201/409</x:t>
  </x:si>
  <x:si>
    <x:t xml:space="preserve">均受legacy-write-enabled关闭影响；完整类22项复跑仍4项405失败。单方法复跑另遇缺初始化单位外键错误，单列保留</x:t>
  </x:si>
  <x:si>
    <x:t xml:space="preserve">旧测试契约未对齐</x:t>
  </x:si>
  <x:si>
    <x:t xml:space="preserve">空域测试负责人</x:t>
  </x:si>
  <x:si>
    <x:t xml:space="preserve">TEST-008</x:t>
  </x:si>
  <x:si>
    <x:t xml:space="preserve">研判PostgreSQL测试</x:t>
  </x:si>
  <x:si>
    <x:t xml:space="preserve">2项待复核统计断言少旧记录</x:t>
  </x:si>
  <x:si>
    <x:t xml:space="preserve">执行Stage7PostgresTest两项needsReview/attention用例</x:t>
  </x:si>
  <x:si>
    <x:t xml:space="preserve">旧断言将基础历史研判算待复核</x:t>
  </x:si>
  <x:si>
    <x:t xml:space="preserve">实际只收decision_assurance_code=INSUFFICIENT；基础夹具未写此字段，旧记录不等同依据不足</x:t>
  </x:si>
  <x:si>
    <x:t xml:space="preserve">夹具与当前规则待对齐</x:t>
  </x:si>
  <x:si>
    <x:t xml:space="preserve">研判测试负责人</x:t>
  </x:si>
  <x:si>
    <x:t xml:space="preserve">TEST-009</x:t>
  </x:si>
  <x:si>
    <x:t xml:space="preserve">自动规则PostgreSQL测试</x:t>
  </x:si>
  <x:si>
    <x:t xml:space="preserve">未知依据提示的文字断言过时</x:t>
  </x:si>
  <x:si>
    <x:t xml:space="preserve">执行AutomationRuntimePostgresTest指定方法</x:t>
  </x:si>
  <x:si>
    <x:t xml:space="preserve">测试期望含“缺少当前判定依据”</x:t>
  </x:si>
  <x:si>
    <x:t xml:space="preserve">实际UNKNOWN且提示“当前条件缺少可用判定依据”，失败点为字符串匹配</x:t>
  </x:si>
  <x:si>
    <x:t xml:space="preserve">测试断言维护</x:t>
  </x:si>
  <x:si>
    <x:t xml:space="preserve">自动规则测试负责人</x:t>
  </x:si>
  <x:si>
    <x:t xml:space="preserve">BUG-008</x:t>
  </x:si>
  <x:si>
    <x:t xml:space="preserve">43</x:t>
  </x:si>
  <x:si>
    <x:t xml:space="preserve">研判详情轨迹链接导致Vue渲染异常</x:t>
  </x:si>
  <x:si>
    <x:t xml:space="preserve">打开有轨迹引用的研判详情</x:t>
  </x:si>
  <x:si>
    <x:t xml:space="preserve">轨迹证据链接可显示且保持目标上下文</x:t>
  </x:si>
  <x:si>
    <x:t xml:space="preserve">模板中new URLSearchParams被编译为_ctx调用并报错</x:t>
  </x:si>
  <x:si>
    <x:t xml:space="preserve">主要页面可用性</x:t>
  </x:si>
  <x:si>
    <x:t xml:space="preserve">前台</x:t>
  </x:si>
  <x:si>
    <x:t xml:space="preserve">改为setup函数trackEvidenceHref；构建通过，5173重启HTTP200，页面恢复。r8-legality-render-error.json；r8-legality-fixed.png</x:t>
  </x:si>
  <x:si>
    <x:t xml:space="preserve">BUG-009</x:t>
  </x:si>
  <x:si>
    <x:t xml:space="preserve">38</x:t>
  </x:si>
  <x:si>
    <x:t xml:space="preserve">告警核实后对应研判仍显示待复核</x:t>
  </x:si>
  <x:si>
    <x:t xml:space="preserve">核实事件44817f65后查询同一evaluation</x:t>
  </x:si>
  <x:si>
    <x:t xml:space="preserve">关联核实事实应一致展示</x:t>
  </x:si>
  <x:si>
    <x:t xml:space="preserve">本次回读仍待复核，未新增对应review历史</x:t>
  </x:si>
  <x:si>
    <x:t xml:space="preserve">跨页面状态一致性</x:t>
  </x:si>
  <x:si>
    <x:t xml:space="preserve">前后台</x:t>
  </x:si>
  <x:si>
    <x:t xml:space="preserve">BUG-010</x:t>
  </x:si>
  <x:si>
    <x:t xml:space="preserve">107</x:t>
  </x:si>
  <x:si>
    <x:t xml:space="preserve">有效PDF页面预览空白</x:t>
  </x:si>
  <x:si>
    <x:t xml:space="preserve">打开本轮597字节PDF证据</x:t>
  </x:si>
  <x:si>
    <x:t xml:space="preserve">显示PDF内容或明确不支持原因</x:t>
  </x:si>
  <x:si>
    <x:t xml:space="preserve">HTTP200、原件哈希正确，PDF解析有效，但浏览器预览区空白</x:t>
  </x:si>
  <x:si>
    <x:t xml:space="preserve">一般功能</x:t>
  </x:si>
  <x:si>
    <x:t xml:space="preserve">前台/浏览器</x:t>
  </x:si>
  <x:si>
    <x:t xml:space="preserve">BUG-011</x:t>
  </x:si>
  <x:si>
    <x:t xml:space="preserve">114/122</x:t>
  </x:si>
  <x:si>
    <x:t xml:space="preserve">长文件名证据表格内容被裁切</x:t>
  </x:si>
  <x:si>
    <x:t xml:space="preserve">打开本轮长文件名JPEG</x:t>
  </x:si>
  <x:si>
    <x:t xml:space="preserve">完整可读，不仅靠悬浮提示</x:t>
  </x:si>
  <x:si>
    <x:t xml:space="preserve">文字nowrap，单元格约1746px，局部表格需横向滚动且面板裁切</x:t>
  </x:si>
  <x:si>
    <x:t xml:space="preserve">BUG-012</x:t>
  </x:si>
  <x:si>
    <x:t xml:space="preserve">116/118</x:t>
  </x:si>
  <x:si>
    <x:t xml:space="preserve">统计页缺测试计划要求的筛选入口</x:t>
  </x:si>
  <x:si>
    <x:t xml:space="preserve">进入运行统计尝试切换时间或单位</x:t>
  </x:si>
  <x:si>
    <x:t xml:space="preserve">按计划提供筛选及导出同范围</x:t>
  </x:si>
  <x:si>
    <x:t xml:space="preserve">页面仅固定日期文字；API有from/to但页面无控件</x:t>
  </x:si>
  <x:si>
    <x:t xml:space="preserve">计划与实现差异</x:t>
  </x:si>
  <x:si>
    <x:t xml:space="preserve">产品/前台</x:t>
  </x:si>
  <x:si>
    <x:t xml:space="preserve">BUG-013</x:t>
  </x:si>
  <x:si>
    <x:t xml:space="preserve">OPS-19/F36</x:t>
  </x:si>
  <x:si>
    <x:t xml:space="preserve">退役设备身份重用返回500</x:t>
  </x:si>
  <x:si>
    <x:t xml:space="preserve">专用设备停用退役后重用原编号创建</x:t>
  </x:si>
  <x:si>
    <x:t xml:space="preserve">明确身份占用冲突且保留历史</x:t>
  </x:si>
  <x:si>
    <x:t xml:space="preserve">数据库device_no唯一键冲突返回INTERNAL_ERROR</x:t>
  </x:si>
  <x:si>
    <x:t xml:space="preserve">接口错误处理</x:t>
  </x:si>
  <x:si>
    <x:t xml:space="preserve">后端设备</x:t>
  </x:si>
  <x:si>
    <x:t xml:space="preserve">TEST-010</x:t>
  </x:si>
  <x:si>
    <x:t xml:space="preserve">光电MQTT</x:t>
  </x:si>
  <x:si>
    <x:t xml:space="preserve">CameraStatus写入UNKNOWN违反数据库约束</x:t>
  </x:si>
  <x:si>
    <x:t xml:space="preserve">固定版本完整回归及独立类复跑</x:t>
  </x:si>
  <x:si>
    <x:t xml:space="preserve">状态合法持久化且不伪造在线心跳</x:t>
  </x:si>
  <x:si>
    <x:t xml:space="preserve">EoEdgeMqttTest三项报ck_protocol_connection_state约束错误</x:t>
  </x:si>
  <x:si>
    <x:t xml:space="preserve">接口/存储契约</x:t>
  </x:si>
  <x:si>
    <x:t xml:space="preserve">TEST-011</x:t>
  </x:si>
  <x:si>
    <x:t xml:space="preserve">MQTT监测事件</x:t>
  </x:si>
  <x:si>
    <x:t xml:space="preserve">新监测事件计数断言不通过</x:t>
  </x:si>
  <x:si>
    <x:t xml:space="preserve">固定版本MqttIngressTest独立复跑</x:t>
  </x:si>
  <x:si>
    <x:t xml:space="preserve">预期1条对应监测事件</x:t>
  </x:si>
  <x:si>
    <x:t xml:space="preserve">实际0条；其余断言需逐项核对</x:t>
  </x:si>
  <x:si>
    <x:t xml:space="preserve">回归失败</x:t>
  </x:si>
  <x:si>
    <x:t xml:space="preserve">TEST-012</x:t>
  </x:si>
  <x:si>
    <x:t xml:space="preserve">目标摘要测试</x:t>
  </x:si>
  <x:si>
    <x:t xml:space="preserve">组合套件目标摘要两项失败，独立类通过</x:t>
  </x:si>
  <x:si>
    <x:t xml:space="preserve">完整回归后隔离复跑TargetSummariesApiTest</x:t>
  </x:si>
  <x:si>
    <x:t xml:space="preserve">套件与单类均稳定</x:t>
  </x:si>
  <x:si>
    <x:t xml:space="preserve">组合缺摘要/列表受其他种子影响；独立复跑通过</x:t>
  </x:si>
  <x:si>
    <x:t xml:space="preserve">测试隔离</x:t>
  </x:si>
  <x:si>
    <x:t xml:space="preserve">后端测试</x:t>
  </x:si>
  <x:si>
    <x:t xml:space="preserve">BLOCK-008</x:t>
  </x:si>
  <x:si>
    <x:t xml:space="preserve">页面剩余分支/129/130</x:t>
  </x:si>
  <x:si>
    <x:t xml:space="preserve">浏览器控制连接中断</x:t>
  </x:si>
  <x:si>
    <x:t xml:space="preserve">12:04导出时超时后重连，用户确认恢复后再次连接</x:t>
  </x:si>
  <x:si>
    <x:t xml:space="preserve">可继续控制原普通页和大屏标签</x:t>
  </x:si>
  <x:si>
    <x:t xml:space="preserve">仍返回User unavailable，原标签连续状态无法读取</x:t>
  </x:si>
  <x:si>
    <x:t xml:space="preserve">阻塞页面验收</x:t>
  </x:si>
  <x:si>
    <x:t xml:space="preserve">浏览器连接环境</x:t>
  </x:si>
  <x:si>
    <x:t xml:space="preserve">BUG-014</x:t>
  </x:si>
  <x:si>
    <x:t xml:space="preserve">R29</x:t>
  </x:si>
  <x:si>
    <x:t xml:space="preserve">未来观测推进目标最后出现时间及融合轨迹</x:t>
  </x:si>
  <x:si>
    <x:t xml:space="preserve">向专用replay识别中目标发重复、旧时刻及未来24小时观测</x:t>
  </x:si>
  <x:si>
    <x:t xml:space="preserve">异常时间应隔离，不能把未来点作为当前最新有效位置</x:t>
  </x:si>
  <x:si>
    <x:t xml:space="preserve">原轨迹重复未增点；未来观测另入RAW并进入FUSED，last_seen_at推进到次日</x:t>
  </x:si>
  <x:si>
    <x:t xml:space="preserve">目标时间可信性</x:t>
  </x:si>
  <x:si>
    <x:t xml:space="preserve">融合后端</x:t>
  </x:si>
  <x:si>
    <x:t xml:space="preserve">自动与手动的8种组合</x:t>
  </x:si>
  <x:si>
    <x:t xml:space="preserve">8种组合均先保证规则引擎开启且健康，再按类别启停规则。停止整个引擎另测，不能当成切手动。</x:t>
  </x:si>
  <x:si>
    <x:t xml:space="preserve">组合</x:t>
  </x:si>
  <x:si>
    <x:t xml:space="preserve">核实告警</x:t>
  </x:si>
  <x:si>
    <x:t xml:space="preserve">发起反制</x:t>
  </x:si>
  <x:si>
    <x:t xml:space="preserve">通知处罚部门</x:t>
  </x:si>
  <x:si>
    <x:t xml:space="preserve">后台怎样设置</x:t>
  </x:si>
  <x:si>
    <x:t xml:space="preserve">前台应该怎样运行</x:t>
  </x:si>
  <x:si>
    <x:t xml:space="preserve">每轮要保存的记录</x:t>
  </x:si>
  <x:si>
    <x:t xml:space="preserve">M1</x:t>
  </x:si>
  <x:si>
    <x:t xml:space="preserve">手动</x:t>
  </x:si>
  <x:si>
    <x:t xml:space="preserve">引擎开启并健康。
核实类：无启用规则，保留人工处理。
反制类：无启用规则，保留人工处理。
通知处罚类：无启用规则，保留人工处理。</x:t>
  </x:si>
  <x:si>
    <x:t xml:space="preserve">人员核实；短信与电话按约定观察。人员按申请审批发起反制。分别核对反制、干扰续链及两次回执。干扰完成后查看冻结交接，由有权人员手动发送处罚通知。送达、签收和办理结果分开。</x:t>
  </x:si>
  <x:si>
    <x:t xml:space="preserve">配置截图、规则版本、生效范围和时间、运行健康、本轮账号与设备、模拟批次、目标及告警编号。</x:t>
  </x:si>
  <x:si>
    <x:t xml:space="preserve">M2</x:t>
  </x:si>
  <x:si>
    <x:t xml:space="preserve">自动</x:t>
  </x:si>
  <x:si>
    <x:t xml:space="preserve">引擎开启并健康。
核实类：无启用规则，保留人工处理。
反制类：无启用规则，保留人工处理。
通知处罚类：启用规则，全部条件满足。</x:t>
  </x:si>
  <x:si>
    <x:t xml:space="preserve">人员核实；短信与电话按约定观察。人员按申请审批发起反制。分别核对反制、干扰续链及两次回执。干扰完成后查看冻结交接，规则满足后自动发送处罚通知。送达、签收和办理结果分开。</x:t>
  </x:si>
  <x:si>
    <x:t xml:space="preserve">M3</x:t>
  </x:si>
  <x:si>
    <x:t xml:space="preserve">引擎开启并健康。
核实类：无启用规则，保留人工处理。
反制类：启用规则，全部条件满足。
通知处罚类：无启用规则，保留人工处理。
须记录允许系统自动执行的有效授权依据。</x:t>
  </x:si>
  <x:si>
    <x:t xml:space="preserve">人员核实；短信与电话按约定观察。授权口径确认后系统发起反制。分别核对反制、干扰续链及两次回执。干扰完成后查看冻结交接，由有权人员手动发送处罚通知。送达、签收和办理结果分开。</x:t>
  </x:si>
  <x:si>
    <x:t xml:space="preserve">M4</x:t>
  </x:si>
  <x:si>
    <x:t xml:space="preserve">引擎开启并健康。
核实类：无启用规则，保留人工处理。
反制类：启用规则，全部条件满足。
通知处罚类：启用规则，全部条件满足。
须记录允许系统自动执行的有效授权依据。</x:t>
  </x:si>
  <x:si>
    <x:t xml:space="preserve">人员核实；短信与电话按约定观察。授权口径确认后系统发起反制。分别核对反制、干扰续链及两次回执。干扰完成后查看冻结交接，规则满足后自动发送处罚通知。送达、签收和办理结果分开。</x:t>
  </x:si>
  <x:si>
    <x:t xml:space="preserve">M5</x:t>
  </x:si>
  <x:si>
    <x:t xml:space="preserve">引擎开启并健康。
核实类：启用规则，全部条件满足。
反制类：无启用规则，保留人工处理。
通知处罚类：无启用规则，保留人工处理。</x:t>
  </x:si>
  <x:si>
    <x:t xml:space="preserve">系统核实；短信与电话按约定观察。人员按申请审批发起反制。分别核对反制、干扰续链及两次回执。干扰完成后查看冻结交接，由有权人员手动发送处罚通知。送达、签收和办理结果分开。</x:t>
  </x:si>
  <x:si>
    <x:t xml:space="preserve">M6</x:t>
  </x:si>
  <x:si>
    <x:t xml:space="preserve">引擎开启并健康。
核实类：启用规则，全部条件满足。
反制类：无启用规则，保留人工处理。
通知处罚类：启用规则，全部条件满足。</x:t>
  </x:si>
  <x:si>
    <x:t xml:space="preserve">系统核实；短信与电话按约定观察。人员按申请审批发起反制。分别核对反制、干扰续链及两次回执。干扰完成后查看冻结交接，规则满足后自动发送处罚通知。送达、签收和办理结果分开。</x:t>
  </x:si>
  <x:si>
    <x:t xml:space="preserve">M7</x:t>
  </x:si>
  <x:si>
    <x:t xml:space="preserve">引擎开启并健康。
核实类：启用规则，全部条件满足。
反制类：启用规则，全部条件满足。
通知处罚类：无启用规则，保留人工处理。
须记录允许系统自动执行的有效授权依据。</x:t>
  </x:si>
  <x:si>
    <x:t xml:space="preserve">系统核实；短信与电话按约定观察。授权口径确认后系统发起反制。分别核对反制、干扰续链及两次回执。干扰完成后查看冻结交接，由有权人员手动发送处罚通知。送达、签收和办理结果分开。</x:t>
  </x:si>
  <x:si>
    <x:t xml:space="preserve">M8</x:t>
  </x:si>
  <x:si>
    <x:t xml:space="preserve">引擎开启并健康。
核实类：启用规则，全部条件满足。
反制类：启用规则，全部条件满足。
通知处罚类：启用规则，全部条件满足。
须记录允许系统自动执行的有效授权依据。</x:t>
  </x:si>
  <x:si>
    <x:t xml:space="preserve">系统核实；短信与电话按约定观察。授权口径确认后系统发起反制。分别核对反制、干扰续链及两次回执。干扰完成后查看冻结交接，规则满足后自动发送处罚通知。送达、签收和办理结果分开。</x:t>
  </x:si>
  <x:si>
    <x:t xml:space="preserve">执行提醒</x:t>
  </x:si>
  <x:si>
    <x:t xml:space="preserve">怎么理解自动</x:t>
  </x:si>
  <x:si>
    <x:t xml:space="preserve">本轮要真正启用的，是对应类别的自动执行；不仅是“保存了一条规则”。服务运行正常、规则范围和时段有效、条件满足，才能验证自动动作。</x:t>
  </x:si>
  <x:si>
    <x:t xml:space="preserve">怎么理解手动</x:t>
  </x:si>
  <x:si>
    <x:t xml:space="preserve">手动组合是在引擎开启时停用对应类别的自动规则。关闭整个引擎不保证处罚通知停止自动发送。仍要核对人工权限。</x:t>
  </x:si>
  <x:si>
    <x:t xml:space="preserve">当前后台入口</x:t>
  </x:si>
  <x:si>
    <x:t xml:space="preserve">系统管理 → 规则管理：核实规则、反制规则、通知处罚规则。当前页面通过规则启停及生效设置决定是否自动处理；不假设存在一个控制所有流程的总开关。</x:t>
  </x:si>
  <x:si>
    <x:t xml:space="preserve">条件不满足时</x:t>
  </x:si>
  <x:si>
    <x:t xml:space="preserve">自动规则没有通过，不应误执行。人工入口按原有权限与业务条件决定是否可用，不能因某条规则未通过就一律隐藏，也不能借人工绕过安全条件。</x:t>
  </x:si>
  <x:si>
    <x:t xml:space="preserve">直接反制另测</x:t>
  </x:si>
  <x:si>
    <x:t xml:space="preserve">人员直接反制要求显式权限；系统规则发起采用特殊系统身份。会议要求的人为授权依据须另行核对，不能只凭DIRECT字段认定授权已合格。</x:t>
  </x:si>
  <x:si>
    <x:t xml:space="preserve">三个开关互不替代</x:t>
  </x:si>
  <x:si>
    <x:t xml:space="preserve">关掉自动核实，不等于关掉核实后的飞手短信电话；关掉自动反制，不等于禁止人工反制；通知处罚不等于作出处罚决定。</x:t>
  </x:si>
  <x:si>
    <x:t xml:space="preserve">本轮先记录时长</x:t>
  </x:si>
  <x:si>
    <x:t xml:space="preserve">当前业务约定短信送达后观察10秒，电话播放完成后再10秒；现代码短信3秒，与约定冲突。未有新确认前保留10秒验收基准，详见R16–R19。</x:t>
  </x:si>
  <x:si>
    <x:t xml:space="preserve">切换什么时候生效</x:t>
  </x:si>
  <x:si>
    <x:t xml:space="preserve">切换时记录保存、生效、授权创建、命令排队及实际发送时刻。排队后切手动是否阻断不能假定已实现，按R44核查；切换不是急停。</x:t>
  </x:si>
  <x:si>
    <x:t xml:space="preserve">数据与通道</x:t>
  </x:si>
  <x:si>
    <x:t xml:space="preserve">每种组合使用新批次和独立事件。只用获准的测试资料入口、模拟通知和测试设备；不要在结果表中直接写入成功。</x:t>
  </x:si>
  <x:si>
    <x:t xml:space="preserve">验收要求</x:t>
  </x:si>
  <x:si>
    <x:t xml:space="preserve">8种组合仍需测；正向自动反制必须有明确授权口径。缺少授权依据、渠道或账号填暂时测不了；不能删除该组合，也不能直接标通过。</x:t>
  </x:si>
  <x:si>
    <x:t xml:space="preserve">整体流程验收</x:t>
  </x:si>
  <x:si>
    <x:t xml:space="preserve">共36条完整流程。F01至F30为前台与业务联动，F31至F36为设备接入、掉线恢复、报修处理、核验失败、并发重试和退役。</x:t>
  </x:si>
  <x:si>
    <x:t xml:space="preserve">“流程结果”自动读取流程步骤记录。任何一步失败、受阻或没有测完，都不能显示整条流程通过。</x:t>
  </x:si>
  <x:si>
    <x:t xml:space="preserve">流程编号</x:t>
  </x:si>
  <x:si>
    <x:t xml:space="preserve">本轮场景</x:t>
  </x:si>
  <x:si>
    <x:t xml:space="preserve">配置组合</x:t>
  </x:si>
  <x:si>
    <x:t xml:space="preserve">本轮重点怎么做</x:t>
  </x:si>
  <x:si>
    <x:t xml:space="preserve">走到哪里才算跑通</x:t>
  </x:si>
  <x:si>
    <x:t xml:space="preserve">数据批次及事件编号</x:t>
  </x:si>
  <x:si>
    <x:t xml:space="preserve">流程结果</x:t>
  </x:si>
  <x:si>
    <x:t xml:space="preserve">执行日期或轮次</x:t>
  </x:si>
  <x:si>
    <x:t xml:space="preserve">问题及证据索引</x:t>
  </x:si>
  <x:si>
    <x:t xml:space="preserve">F01</x:t>
  </x:si>
  <x:si>
    <x:t xml:space="preserve">手动 / 手动 / 手动</x:t>
  </x:si>
  <x:si>
    <x:t xml:space="preserve">按对应组合跑同一事件：输入、研判、核实、飞手通知、反制、干扰续链、处罚通知、证据和统计。自动授权口径确认后才验正向执行。</x:t>
  </x:si>
  <x:si>
    <x:t xml:space="preserve">分别取得反制与干扰两次回执，父子授权可追溯；通知、送达、签收和办理结果正确。无依据的自动授权不能算通过。</x:t>
  </x:si>
  <x:si>
    <x:t xml:space="preserve">第八轮：分支证据见J列；未完成整链</x:t>
  </x:si>
  <x:si>
    <x:t xml:space="preserve">F02</x:t>
  </x:si>
  <x:si>
    <x:t xml:space="preserve">手动 / 手动 / 自动</x:t>
  </x:si>
  <x:si>
    <x:t xml:space="preserve">F03</x:t>
  </x:si>
  <x:si>
    <x:t xml:space="preserve">手动 / 自动 / 手动</x:t>
  </x:si>
  <x:si>
    <x:t xml:space="preserve">F04</x:t>
  </x:si>
  <x:si>
    <x:t xml:space="preserve">手动 / 自动 / 自动</x:t>
  </x:si>
  <x:si>
    <x:t xml:space="preserve">F05</x:t>
  </x:si>
  <x:si>
    <x:t xml:space="preserve">自动 / 手动 / 手动</x:t>
  </x:si>
  <x:si>
    <x:t xml:space="preserve">F06</x:t>
  </x:si>
  <x:si>
    <x:t xml:space="preserve">自动 / 手动 / 自动</x:t>
  </x:si>
  <x:si>
    <x:t xml:space="preserve">F07</x:t>
  </x:si>
  <x:si>
    <x:t xml:space="preserve">自动 / 自动 / 手动</x:t>
  </x:si>
  <x:si>
    <x:t xml:space="preserve">F08</x:t>
  </x:si>
  <x:si>
    <x:t xml:space="preserve">自动 / 自动 / 自动</x:t>
  </x:si>
  <x:si>
    <x:t xml:space="preserve">F09</x:t>
  </x:si>
  <x:si>
    <x:t xml:space="preserve">正常飞行不误触发</x:t>
  </x:si>
  <x:si>
    <x:t xml:space="preserve">提供有效计划并持续沿计划飞行。</x:t>
  </x:si>
  <x:si>
    <x:t xml:space="preserve">合法依据明确，不产生无故通知、反制或处罚交接。</x:t>
  </x:si>
  <x:si>
    <x:t xml:space="preserve">F10</x:t>
  </x:si>
  <x:si>
    <x:t xml:space="preserve">手动核实为误报</x:t>
  </x:si>
  <x:si>
    <x:t xml:space="preserve">待核实事件由人员判误报。</x:t>
  </x:si>
  <x:si>
    <x:t xml:space="preserve">后续虽配置自动，仍不能发短信、反制或通知处罚；误报历史保留。</x:t>
  </x:si>
  <x:si>
    <x:t xml:space="preserve">F11</x:t>
  </x:si>
  <x:si>
    <x:t xml:space="preserve">短信后飞离</x:t>
  </x:si>
  <x:si>
    <x:t xml:space="preserve">短信送达后，目标持续上报飞离区域的有效位置。</x:t>
  </x:si>
  <x:si>
    <x:t xml:space="preserve">通知升级及反制停止；保留告警确认和短信记录，不把移送规则当作处罚依据。</x:t>
  </x:si>
  <x:si>
    <x:t xml:space="preserve">F12</x:t>
  </x:si>
  <x:si>
    <x:t xml:space="preserve">电话后飞离</x:t>
  </x:si>
  <x:si>
    <x:t xml:space="preserve">短信后仍在域，电话播放完成后飞离并继续上报。</x:t>
  </x:si>
  <x:si>
    <x:t xml:space="preserve">第二段观察确认飞离，不继续反制；电话事实保留。</x:t>
  </x:si>
  <x:si>
    <x:t xml:space="preserve">F13</x:t>
  </x:si>
  <x:si>
    <x:t xml:space="preserve">通知后停止上报</x:t>
  </x:si>
  <x:si>
    <x:t xml:space="preserve">短信送达后停掉主辅目标位置，设备心跳保留。</x:t>
  </x:si>
  <x:si>
    <x:t xml:space="preserve">显示无法确认离开；不误打电话或误反制，不能拿旧位置继续执行。</x:t>
  </x:si>
  <x:si>
    <x:t xml:space="preserve">F14</x:t>
  </x:si>
  <x:si>
    <x:t xml:space="preserve">没有核验飞手或渠道不可用</x:t>
  </x:si>
  <x:si>
    <x:t xml:space="preserve">F14必须分别完成R40、R41、R42，三个子批次均留证。</x:t>
  </x:si>
  <x:si>
    <x:t xml:space="preserve">无飞手/无短信不假造通知；电话不可用仍先短信观察。符合其他条件时才进入后续反制。</x:t>
  </x:si>
  <x:si>
    <x:t xml:space="preserve">F15</x:t>
  </x:si>
  <x:si>
    <x:t xml:space="preserve">自动改手动</x:t>
  </x:si>
  <x:si>
    <x:t xml:space="preserve">M8→M1</x:t>
  </x:si>
  <x:si>
    <x:t xml:space="preserve">F15分别完成R43、R44、R45，不能只测一个时机。</x:t>
  </x:si>
  <x:si>
    <x:t xml:space="preserve">保存生效后未发送动作停止自动推进，有权人员可接手；已发动作继续核对实际结果。</x:t>
  </x:si>
  <x:si>
    <x:t xml:space="preserve">F16</x:t>
  </x:si>
  <x:si>
    <x:t xml:space="preserve">手动改自动</x:t>
  </x:si>
  <x:si>
    <x:t xml:space="preserve">M1→M8</x:t>
  </x:si>
  <x:si>
    <x:t xml:space="preserve">F16须分别记录核实、反制、通知三个切换子批次；全部完成后才汇总。</x:t>
  </x:si>
  <x:si>
    <x:t xml:space="preserve">生效后重新检查当前依据和条件，只执行尚未完成的动作；不会重办已完成步骤。</x:t>
  </x:si>
  <x:si>
    <x:t xml:space="preserve">F17</x:t>
  </x:si>
  <x:si>
    <x:t xml:space="preserve">自动与人员同时操作</x:t>
  </x:si>
  <x:si>
    <x:t xml:space="preserve">F17须分别记录核实、反制、通知三个并发子批次及动作数量。</x:t>
  </x:si>
  <x:si>
    <x:t xml:space="preserve">同一事件同一步只产生一次有效动作；冲突有提示，不重复发设备命令或通知。</x:t>
  </x:si>
  <x:si>
    <x:t xml:space="preserve">F18</x:t>
  </x:si>
  <x:si>
    <x:t xml:space="preserve">规则不满足后再满足</x:t>
  </x:si>
  <x:si>
    <x:t xml:space="preserve">F18须分别记录时间、范围、阈值、持续观测、数据不足五类条件及边界。</x:t>
  </x:si>
  <x:si>
    <x:t xml:space="preserve">先停在对应步骤并说明原因，不能自动通过；有效条件满足后只继续一次。</x:t>
  </x:si>
  <x:si>
    <x:t xml:space="preserve">F19</x:t>
  </x:si>
  <x:si>
    <x:t xml:space="preserve">服务暂停或断网后恢复</x:t>
  </x:si>
  <x:si>
    <x:t xml:space="preserve">分别模拟执行服务未启用/异常、页面断网、后台处理重启，然后恢复。</x:t>
  </x:si>
  <x:si>
    <x:t xml:space="preserve">未启用或异常如实显示；恢复后对账，不重复核实、通知、下发或移送。</x:t>
  </x:si>
  <x:si>
    <x:t xml:space="preserve">F20</x:t>
  </x:si>
  <x:si>
    <x:t xml:space="preserve">设备失败并急停核查</x:t>
  </x:si>
  <x:si>
    <x:t xml:space="preserve">分别模拟设备忙、命令失败、结果未知；另运行一批执行中急停。</x:t>
  </x:si>
  <x:si>
    <x:t xml:space="preserve">失败不能当成功，不虚构后续移送；急停需要回复与实际停机核查，切换模式不替代急停。</x:t>
  </x:si>
  <x:si>
    <x:t xml:space="preserve">F21</x:t>
  </x:si>
  <x:si>
    <x:t xml:space="preserve">排队后资格变化</x:t>
  </x:si>
  <x:si>
    <x:t xml:space="preserve">在排队及续链前，让授权/规则时段到期、观测过期，或取消可执行资格。</x:t>
  </x:si>
  <x:si>
    <x:t xml:space="preserve">真正发送前重新检查，不超范围或原授权窗口，不拿以前规则通过的结果继续下发。</x:t>
  </x:si>
  <x:si>
    <x:t xml:space="preserve">F22</x:t>
  </x:si>
  <x:si>
    <x:t xml:space="preserve">权限不足人员尝试接手</x:t>
  </x:si>
  <x:si>
    <x:t xml:space="preserve">系统自动条件暂未满足时，用只读和范围受限账号分别操作；再换有权账号。</x:t>
  </x:si>
  <x:si>
    <x:t xml:space="preserve">无权人员不能接手，自动模式不授予个人权限；换有权账号也须满足当前业务条件。</x:t>
  </x:si>
  <x:si>
    <x:t xml:space="preserve">F23</x:t>
  </x:si>
  <x:si>
    <x:t xml:space="preserve">人员直接反制完整链路</x:t>
  </x:si>
  <x:si>
    <x:t xml:space="preserve">换显式直接授权账号人工发起；另用未授直接权限的管理员尝试。</x:t>
  </x:si>
  <x:si>
    <x:t xml:space="preserve">有权者免逐次审批但保留真实操作人；无权者被阻止；设备结果、交接和证据仍完整。</x:t>
  </x:si>
  <x:si>
    <x:t xml:space="preserve">F24</x:t>
  </x:si>
  <x:si>
    <x:t xml:space="preserve">处罚通知失败及迟到回执</x:t>
  </x:si>
  <x:si>
    <x:t xml:space="preserve">设备执行完成后模拟移送发送失败、送达未知、签收超时，再补迟到/重复回复。</x:t>
  </x:si>
  <x:si>
    <x:t xml:space="preserve">失败与未知明确；先对账再决定补发；只更新同一交接，不重复移送、不把签收当处罚办结。</x:t>
  </x:si>
  <x:si>
    <x:t xml:space="preserve">F25</x:t>
  </x:si>
  <x:si>
    <x:t xml:space="preserve">计划天气风险与通知上级</x:t>
  </x:si>
  <x:si>
    <x:t xml:space="preserve">独立风险流程</x:t>
  </x:si>
  <x:si>
    <x:t xml:space="preserve">录入计划和覆盖其时段的天气，产生有效风险后核验并通知上级；先保持风险，再提供解除依据。</x:t>
  </x:si>
  <x:si>
    <x:t xml:space="preserve">天气、计划当前风险、核验、通知送达与签收、解除、历史及统计完整对应；签收不能提前解除风险。</x:t>
  </x:si>
  <x:si>
    <x:t xml:space="preserve">F26</x:t>
  </x:si>
  <x:si>
    <x:t xml:space="preserve">计划未见目标与设备恢复</x:t>
  </x:si>
  <x:si>
    <x:t xml:space="preserve">设备异常联动</x:t>
  </x:si>
  <x:si>
    <x:t xml:space="preserve">计划到时未发现目标，测试设备异常检查及通知后台；后台处理后分别验证恢复成功和未恢复。</x:t>
  </x:si>
  <x:si>
    <x:t xml:space="preserve">前台计划检查、异常通知、后台处理事项和实际设备恢复能对应；已通知或已处理不能冒充恢复。</x:t>
  </x:si>
  <x:si>
    <x:t xml:space="preserve">F27</x:t>
  </x:si>
  <x:si>
    <x:t xml:space="preserve">鸟群风险独立闭环</x:t>
  </x:si>
  <x:si>
    <x:t xml:space="preserve">风险主线</x:t>
  </x:si>
  <x:si>
    <x:t xml:space="preserve">用同一鸟群从发现走到通知、反馈和风险解除；不进入无人机合法性或反制链。</x:t>
  </x:si>
  <x:si>
    <x:t xml:space="preserve">风险与通知事实可追溯；有解除依据才解除；旧记录保留。</x:t>
  </x:si>
  <x:si>
    <x:t xml:space="preserve">F28</x:t>
  </x:si>
  <x:si>
    <x:t xml:space="preserve">三路融合及降级恢复</x:t>
  </x:si>
  <x:si>
    <x:t xml:space="preserve">三路输入</x:t>
  </x:si>
  <x:si>
    <x:t xml:space="preserve">融合箱、5G-A、TDOA观察同一目标，制造掉线和补传后回看全链路。</x:t>
  </x:si>
  <x:si>
    <x:t xml:space="preserve">统一ID及原始对应完整，降级可见，恢复不触发历史假动作。</x:t>
  </x:si>
  <x:si>
    <x:t xml:space="preserve">F29</x:t>
  </x:si>
  <x:si>
    <x:t xml:space="preserve">雷达光电与授权处置</x:t>
  </x:si>
  <x:si>
    <x:t xml:space="preserve">雷达发现、任务式光电跟踪、人工授权、两段设备动作、证据关联。</x:t>
  </x:si>
  <x:si>
    <x:t xml:space="preserve">跟踪与授权各有依据，两段回执可追溯，画面和证据不串目标。</x:t>
  </x:si>
  <x:si>
    <x:t xml:space="preserve">F30</x:t>
  </x:si>
  <x:si>
    <x:t xml:space="preserve">未反制事件的人工交接</x:t>
  </x:si>
  <x:si>
    <x:t xml:space="preserve">手动交接</x:t>
  </x:si>
  <x:si>
    <x:t xml:space="preserve">已核实事件没有反制记录，也不满足自动干扰完成分支；验证人工交接的实际入口和结果。</x:t>
  </x:si>
  <x:si>
    <x:t xml:space="preserve">按当前权限和业务条件办理；前台缺入口要记录，不能用接口联验替代前台通过。</x:t>
  </x:si>
  <x:si>
    <x:t xml:space="preserve">F31</x:t>
  </x:si>
  <x:si>
    <x:t xml:space="preserve">设备接入到前台感知</x:t>
  </x:si>
  <x:si>
    <x:t xml:space="preserve">测试TCP设备</x:t>
  </x:si>
  <x:si>
    <x:t xml:space="preserve">登记测试雷达，完成调测并发送目标，核对前后台同源。</x:t>
  </x:si>
  <x:si>
    <x:t xml:space="preserve">台账、协议任务、原始样本、目标及状态可对应；调测不冒充现场验收。</x:t>
  </x:si>
  <x:si>
    <x:t xml:space="preserve">F32</x:t>
  </x:si>
  <x:si>
    <x:t xml:space="preserve">MQTT掉线与连接恢复</x:t>
  </x:si>
  <x:si>
    <x:t xml:space="preserve">MQTT主动上报</x:t>
  </x:si>
  <x:si>
    <x:t xml:space="preserve">有效工参上报、超时离线、事件去重、新心跳及恢复核验。</x:t>
  </x:si>
  <x:si>
    <x:t xml:space="preserve">连接恢复与整体健康、维护完成分开证明。</x:t>
  </x:si>
  <x:si>
    <x:t xml:space="preserve">F33</x:t>
  </x:si>
  <x:si>
    <x:t xml:space="preserve">前台报修到后台完成</x:t>
  </x:si>
  <x:si>
    <x:t xml:space="preserve">维护正向闭环</x:t>
  </x:si>
  <x:si>
    <x:t xml:space="preserve">前台发现设备异常，后台处理、核验、完成，再回前台确认。</x:t>
  </x:si>
  <x:si>
    <x:t xml:space="preserve">同一设备同一事项走通；恢复核验有事实，不以通知或填说明办结。</x:t>
  </x:si>
  <x:si>
    <x:t xml:space="preserve">F34</x:t>
  </x:si>
  <x:si>
    <x:t xml:space="preserve">核验失败后重新处理</x:t>
  </x:si>
  <x:si>
    <x:t xml:space="preserve">维护异常闭环</x:t>
  </x:si>
  <x:si>
    <x:t xml:space="preserve">制造未知、旧状态或再次异常，走失败、恢复处理、再次核验。</x:t>
  </x:si>
  <x:si>
    <x:t xml:space="preserve">不凭一次旧PASS办结；旧核验历史保留，恢复后新一轮完成。</x:t>
  </x:si>
  <x:si>
    <x:t xml:space="preserve">F35</x:t>
  </x:si>
  <x:si>
    <x:t xml:space="preserve">并发处理与断网重试</x:t>
  </x:si>
  <x:si>
    <x:t xml:space="preserve">权限与幂等</x:t>
  </x:si>
  <x:si>
    <x:t xml:space="preserve">两个运维人员抢同一任务，提交响应丢失后回查，再撤权验证。</x:t>
  </x:si>
  <x:si>
    <x:t xml:space="preserve">状态只推进一次，旧版本不覆盖，重放仍检查当前权限。</x:t>
  </x:si>
  <x:si>
    <x:t xml:space="preserve">F36</x:t>
  </x:si>
  <x:si>
    <x:t xml:space="preserve">设备退役与历史保留</x:t>
  </x:si>
  <x:si>
    <x:t xml:space="preserve">专用可弃设备</x:t>
  </x:si>
  <x:si>
    <x:t xml:space="preserve">从忙碌删除拒绝，到停用空闲后逻辑删除，再查前后台与历史。</x:t>
  </x:si>
  <x:si>
    <x:t xml:space="preserve">当前列表清理、旧业务证据保留，设备身份不可重新占用。</x:t>
  </x:si>
  <x:si>
    <x:t xml:space="preserve">完整流程逐步记录</x:t>
  </x:si>
  <x:si>
    <x:t xml:space="preserve">共360个步骤。每条流程使用同一可追溯批次；全部步骤通过且H至L记录齐全，才计为流程通过。</x:t>
  </x:si>
  <x:si>
    <x:t xml:space="preserve">每步填写实际结果、执行人、日期、证据位置及目标/事件编号；准备和收尾步骤可填批次编号。多子批次逐一列出，不用一个通过代替。</x:t>
  </x:si>
  <x:si>
    <x:t xml:space="preserve">步骤</x:t>
  </x:si>
  <x:si>
    <x:t xml:space="preserve">测试阶段</x:t>
  </x:si>
  <x:si>
    <x:t xml:space="preserve">场景</x:t>
  </x:si>
  <x:si>
    <x:t xml:space="preserve">怎么做</x:t>
  </x:si>
  <x:si>
    <x:t xml:space="preserve">这一步应该看到什么</x:t>
  </x:si>
  <x:si>
    <x:t xml:space="preserve">本步结果</x:t>
  </x:si>
  <x:si>
    <x:t xml:space="preserve">实际结果及子批次</x:t>
  </x:si>
  <x:si>
    <x:t xml:space="preserve">截图和证据位置</x:t>
  </x:si>
  <x:si>
    <x:t xml:space="preserve">目标或事件编号</x:t>
  </x:si>
  <x:si>
    <x:t xml:space="preserve">后台配置与测试准备</x:t>
  </x:si>
  <x:si>
    <x:t xml:space="preserve">引擎开启并健康，按本组合逐类启停规则；保存回读版本、范围、时段、通道及授权依据。缺授权口径时记录暂时测不了。</x:t>
  </x:si>
  <x:si>
    <x:t xml:space="preserve">实际运行设置与本轮相符；模拟通道可用。无。按组合从头执行。</x:t>
  </x:si>
  <x:si>
    <x:t xml:space="preserve">仅引用本轮分支证据，不虚构整链批次</x:t>
  </x:si>
  <x:si>
    <x:t xml:space="preserve">输入数据并识别目标</x:t>
  </x:si>
  <x:si>
    <x:t xml:space="preserve">启动新批次，通过获准入口输入计划和目标数据；记录唯一目标、计划和设备编号。</x:t>
  </x:si>
  <x:si>
    <x:t xml:space="preserve">能在融合感知查到同一目标，位置、时间和模拟标记正确；发送成功不代替平台已接收。</x:t>
  </x:si>
  <x:si>
    <x:t xml:space="preserve">研判和告警关联</x:t>
  </x:si>
  <x:si>
    <x:t xml:space="preserve">打开计划、合法性研判和告警，核对同一目标、计划、研判和事件关系。</x:t>
  </x:si>
  <x:si>
    <x:t xml:space="preserve">主链准备明确违规且证据充分的事件；各页同一事实。若本轮是合法或误报分支，按该分支正确阻止后续。</x:t>
  </x:si>
  <x:si>
    <x:t xml:space="preserve">用值班账号核实属实；提交前先观察系统是否等待人工。</x:t>
  </x:si>
  <x:si>
    <x:t xml:space="preserve">手动模式不自动核实；有权人员提交后记录真实操作人并进入后续阶段。</x:t>
  </x:si>
  <x:si>
    <x:t xml:space="preserve">飞手通知和位置观察</x:t>
  </x:si>
  <x:si>
    <x:t xml:space="preserve">检查短信发送/送达、观察开始/结束、电话接通/播放与新位置；按本轮条件操作目标。</x:t>
  </x:si>
  <x:si>
    <x:t xml:space="preserve">主链持续在域时按已确认时长推进到待反制；短信、电话、飞离各凭自己的真实依据。</x:t>
  </x:si>
  <x:si>
    <x:t xml:space="preserve">反制发起和授权</x:t>
  </x:si>
  <x:si>
    <x:t xml:space="preserve">等待人工接手，发起申请；换有权审批账号批准，再由执行账号操作测试设备。</x:t>
  </x:si>
  <x:si>
    <x:t xml:space="preserve">未人工办理不自动发起；审批、授权有效后才下发；人员权限与设备资格正确。</x:t>
  </x:si>
  <x:si>
    <x:t xml:space="preserve">反制与干扰两段结果</x:t>
  </x:si>
  <x:si>
    <x:t xml:space="preserve">核对反制父授权、命令和实际回执；完成后核对干扰子授权、父子关系、第二条命令及回执。</x:t>
  </x:si>
  <x:si>
    <x:t xml:space="preserve">续链仍需当前证据、有效授权、范围、设备及急停检查。两段分别记结果；干扰失败不把反制完成抹掉，也不能冒充干扰完成。</x:t>
  </x:si>
  <x:si>
    <x:t xml:space="preserve">移送送达签收与办理结果</x:t>
  </x:si>
  <x:si>
    <x:t xml:space="preserve">干扰完成后查冻结交接。自动通知组合等待规则通过后投递；手动组合在引擎开启且本类停用时由有权人员发送。分别查送达、签收和正式办理结果。</x:t>
  </x:si>
  <x:si>
    <x:t xml:space="preserve">通知方式符合配置。发送、送达、签收分开；有正式办理结果才展示，没有就明确尚无结果，不能强行显示处罚完成。</x:t>
  </x:si>
  <x:si>
    <x:t xml:space="preserve">证据统计与跨页一致</x:t>
  </x:si>
  <x:si>
    <x:t xml:space="preserve">在证据、统计、告警、计划和移送页按同一事件核对。记录所有关联编号和重要时间。</x:t>
  </x:si>
  <x:si>
    <x:t xml:space="preserve">原始与冻结材料完整；事件、授权、命令、通知、交接能互相对应；统计按真实事实计数，不把签收当结案。</x:t>
  </x:si>
  <x:si>
    <x:t xml:space="preserve">关闭页面与重登复查</x:t>
  </x:si>
  <x:si>
    <x:t xml:space="preserve">本轮适用的自动等待阶段关闭页面再打开；结束后刷新、退出重登。核对动作次数并停止模拟。</x:t>
  </x:si>
  <x:si>
    <x:t xml:space="preserve">自动办理不依赖页面打开；刷新重登不重复动作；最终结果稳定，历史保留，模拟任务已明确停止。</x:t>
  </x:si>
  <x:si>
    <x:t xml:space="preserve">进入待反制后不点发起，等待规则满足；检查当前证据和唯一可用测试设备。</x:t>
  </x:si>
  <x:si>
    <x:t xml:space="preserve">符合条件才由系统发起；记录系统身份和实际授权依据，不伪造人工审批。</x:t>
  </x:si>
  <x:si>
    <x:t xml:space="preserve">不点击核实，等待已启用规则满足。</x:t>
  </x:si>
  <x:si>
    <x:t xml:space="preserve">系统按规则核实一次；留有系统处理身份、时间和判定依据。</x:t>
  </x:si>
  <x:si>
    <x:t xml:space="preserve">按M8设置三类规则，并保存回读。记录有效时长、账号、范围、设备、通道和规则版本。</x:t>
  </x:si>
  <x:si>
    <x:t xml:space="preserve">实际运行设置与本轮相符；模拟通道可用。提供有效计划并持续沿计划飞行。</x:t>
  </x:si>
  <x:si>
    <x:t xml:space="preserve">明确合法依据与计划一致；没有无故告警。</x:t>
  </x:si>
  <x:si>
    <x:t xml:space="preserve">合法目标无须违规核实</x:t>
  </x:si>
  <x:si>
    <x:t xml:space="preserve">查看研判和告警列表，不人为捏造告警。</x:t>
  </x:si>
  <x:si>
    <x:t xml:space="preserve">无需要处理的违规告警；不强行要求人工确认可靠明确结论。</x:t>
  </x:si>
  <x:si>
    <x:t xml:space="preserve">确认没有误发通知</x:t>
  </x:si>
  <x:si>
    <x:t xml:space="preserve">核对该目标相关的通知任务与收件箱。</x:t>
  </x:si>
  <x:si>
    <x:t xml:space="preserve">没有因正常飞行误发短信或电话。</x:t>
  </x:si>
  <x:si>
    <x:t xml:space="preserve">反制正确阻断</x:t>
  </x:si>
  <x:si>
    <x:t xml:space="preserve">尝试查看/发起反制并检查后台是否产生了自动动作。</x:t>
  </x:si>
  <x:si>
    <x:t xml:space="preserve">合法依据明确，不产生无故通知、反制或处罚交接。 本步骤以正确阻断及无多余命令为通过。</x:t>
  </x:si>
  <x:si>
    <x:t xml:space="preserve">确认没有错误设备动作</x:t>
  </x:si>
  <x:si>
    <x:t xml:space="preserve">核对当前事件的指令记录和测试设备接收记录。</x:t>
  </x:si>
  <x:si>
    <x:t xml:space="preserve">本轮不应执行的动作确实没有发生；不能只因页面没显示就判为未下发。</x:t>
  </x:si>
  <x:si>
    <x:t xml:space="preserve">确认没有错误处罚交接</x:t>
  </x:si>
  <x:si>
    <x:t xml:space="preserve">核对本事件是否产生了不该有的处罚通知或交接；查看保留的历史。</x:t>
  </x:si>
  <x:si>
    <x:t xml:space="preserve">不因开了自动通知处罚就跳过实际依据；本轮无合法触发条件时不得错误移送。</x:t>
  </x:si>
  <x:si>
    <x:t xml:space="preserve">按M4设置三类规则，并保存回读。记录有效时长、账号、范围、设备、通道和规则版本。</x:t>
  </x:si>
  <x:si>
    <x:t xml:space="preserve">实际运行设置与本轮相符；模拟通道可用。待核实事件由人员判误报。</x:t>
  </x:si>
  <x:si>
    <x:t xml:space="preserve">人工判误报</x:t>
  </x:si>
  <x:si>
    <x:t xml:space="preserve">先确认处于待核实，值班人员选择误报并说明原因。</x:t>
  </x:si>
  <x:si>
    <x:t xml:space="preserve">误报事实和处理人保存；后续自动开关不能把该事件当属实。</x:t>
  </x:si>
  <x:si>
    <x:t xml:space="preserve">误报不进入通知链</x:t>
  </x:si>
  <x:si>
    <x:t xml:space="preserve">查看该事件短信与电话记录并等待调度检查。</x:t>
  </x:si>
  <x:si>
    <x:t xml:space="preserve">误报不发短信、电话，不进入待反制。</x:t>
  </x:si>
  <x:si>
    <x:t xml:space="preserve">后续虽配置自动，仍不能发短信、反制或通知处罚；误报历史保留。 本步骤以正确阻断及无多余命令为通过。</x:t>
  </x:si>
  <x:si>
    <x:t xml:space="preserve">实际运行设置与本轮相符；模拟通道可用。短信送达后，目标持续上报飞离区域的有效位置。</x:t>
  </x:si>
  <x:si>
    <x:t xml:space="preserve">检查短信发送/送达、观察开始/结束、电话接通/播放与新位置；按本轮条件操作目标。 短信送达后，目标持续上报飞离区域的有效位置。</x:t>
  </x:si>
  <x:si>
    <x:t xml:space="preserve">通知升级及反制停止；保留告警确认和短信记录，不把移送规则当作处罚依据。 本步骤以正确阻断及无多余命令为通过。</x:t>
  </x:si>
  <x:si>
    <x:t xml:space="preserve">飞离或失联本身不能触发设备处置或自动干扰完成交接。若事件已核实且符合人工交接条件，可以按当前业务权限移送；不能因为未反制就一律禁止交接。</x:t>
  </x:si>
  <x:si>
    <x:t xml:space="preserve">实际运行设置与本轮相符；模拟通道可用。短信后仍在域，电话播放完成后飞离并继续上报。</x:t>
  </x:si>
  <x:si>
    <x:t xml:space="preserve">检查短信发送/送达、观察开始/结束、电话接通/播放与新位置；按本轮条件操作目标。 短信后仍在域，电话播放完成后飞离并继续上报。</x:t>
  </x:si>
  <x:si>
    <x:t xml:space="preserve">第二段观察确认飞离，不继续反制；电话事实保留。 本步骤以正确阻断及无多余命令为通过。</x:t>
  </x:si>
  <x:si>
    <x:t xml:space="preserve">实际运行设置与本轮相符；模拟通道可用。短信送达后停掉主辅目标位置，设备心跳保留。</x:t>
  </x:si>
  <x:si>
    <x:t xml:space="preserve">检查短信发送/送达、观察开始/结束、电话接通/播放与新位置；按本轮条件操作目标。 短信送达后停掉主辅目标位置，设备心跳保留。</x:t>
  </x:si>
  <x:si>
    <x:t xml:space="preserve">显示无法确认离开；不误打电话或误反制，不能拿旧位置继续执行。 本步骤以正确阻断及无多余命令为通过。</x:t>
  </x:si>
  <x:si>
    <x:t xml:space="preserve">实际运行设置与本轮相符；模拟通道可用。分别测试无核验飞手、短信不可用、电话不可用三个子批次。</x:t>
  </x:si>
  <x:si>
    <x:t xml:space="preserve">检查短信发送/送达、观察开始/结束、电话接通/播放与新位置；按本轮条件操作目标。 分别测试无核验飞手、短信不可用、电话不可用三个子批次。</x:t>
  </x:si>
  <x:si>
    <x:t xml:space="preserve">无飞手/无短信不假造通知；电话不可用仍先短信观察。符合其他条件时才进入后续反制。 三个子批次分开记录。</x:t>
  </x:si>
  <x:si>
    <x:t xml:space="preserve">两段设备动作及分支结果</x:t>
  </x:si>
  <x:si>
    <x:t xml:space="preserve">核对同一授权的设备、命令、受理和实际回执；失败、超时及急停分支分别留证。 对有条件接续干扰的批次，分别记录反制父授权和干扰子授权、两条命令及回执。</x:t>
  </x:si>
  <x:si>
    <x:t xml:space="preserve">主链取得明确测试执行结果；提交不等于成功，未知不盲目重发，急停不等于已经停机。</x:t>
  </x:si>
  <x:si>
    <x:t xml:space="preserve">设备结果满足通知处罚条件后，不点击通知按钮，观察自动办理。 回读交接材料、送达、签收和办理结果。</x:t>
  </x:si>
  <x:si>
    <x:t xml:space="preserve">按M8→M1设置三类规则，并保存回读。记录有效时长、账号、范围、设备、通道和规则版本。</x:t>
  </x:si>
  <x:si>
    <x:t xml:space="preserve">实际运行设置与本轮相符；模拟通道可用。在核实前、反制排队未下发、通知处罚尚未发送三个节点，分别保存为手动。</x:t>
  </x:si>
  <x:si>
    <x:t xml:space="preserve">用值班账号核实属实；提交前先观察系统是否等待人工。 本节点另用独立子批次执行：在核实前、反制排队未下发、通知处罚尚未发送三个节点，分别保存为手动。</x:t>
  </x:si>
  <x:si>
    <x:t xml:space="preserve">手动模式不自动核实；有权人员提交后记录真实操作人并进入后续阶段。 保存生效后未发送动作停止自动推进，有权人员可接手；已发动作继续核对实际结果。</x:t>
  </x:si>
  <x:si>
    <x:t xml:space="preserve">等待人工接手，发起申请；换有权审批账号批准，再由执行账号操作测试设备。 本节点另用独立子批次执行：在核实前、反制排队未下发、通知处罚尚未发送三个节点，分别保存为手动。</x:t>
  </x:si>
  <x:si>
    <x:t xml:space="preserve">未人工办理不自动发起；审批、授权有效后才下发；人员权限与设备资格正确。 保存生效后未发送动作停止自动推进，有权人员可接手；已发动作继续核对实际结果。</x:t>
  </x:si>
  <x:si>
    <x:t xml:space="preserve">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</x:t>
  </x:si>
  <x:si>
    <x:t xml:space="preserve">通知方式符合配置。发送、送达、签收分开；有正式办理结果才展示，没有就明确尚无结果，不能强行显示处罚完成。 保存生效后未发送动作停止自动推进，有权人员可接手；已发动作继续核对实际结果。</x:t>
  </x:si>
  <x:si>
    <x:t xml:space="preserve">按M1→M8设置三类规则，并保存回读。记录有效时长、账号、范围、设备、通道和规则版本。</x:t>
  </x:si>
  <x:si>
    <x:t xml:space="preserve">实际运行设置与本轮相符；模拟通道可用。分别在待核实、待反制、可通知处罚但尚未发送时改为自动。</x:t>
  </x:si>
  <x:si>
    <x:t xml:space="preserve">不点击核实，等待已启用规则满足。 本节点另用独立子批次执行：分别在待核实、待反制、可通知处罚但尚未发送时改为自动。</x:t>
  </x:si>
  <x:si>
    <x:t xml:space="preserve">系统按规则核实一次；留有系统处理身份、时间和判定依据。 生效后重新检查当前依据和条件，只执行尚未完成的动作；不会重办已完成步骤。</x:t>
  </x:si>
  <x:si>
    <x:t xml:space="preserve">进入待反制后不点发起，等待规则满足；检查当前证据和唯一可用测试设备。 本节点另用独立子批次执行：分别在待核实、待反制、可通知处罚但尚未发送时改为自动。</x:t>
  </x:si>
  <x:si>
    <x:t xml:space="preserve">符合条件才由系统发起；记录系统身份和实际授权依据，不伪造人工审批。 生效后重新检查当前依据和条件，只执行尚未完成的动作；不会重办已完成步骤。</x:t>
  </x:si>
  <x:si>
    <x:t xml:space="preserve">设备结果满足通知处罚条件后，不点击通知按钮，观察自动办理。 回读交接材料、送达、签收和办理结果。 本节点另用独立子批次执行：分别在待核实、待反制、可通知处罚但尚未发送时改为自动。</x:t>
  </x:si>
  <x:si>
    <x:t xml:space="preserve">通知方式符合配置。发送、送达、签收分开；有正式办理结果才展示，没有就明确尚无结果，不能强行显示处罚完成。 生效后重新检查当前依据和条件，只执行尚未完成的动作；不会重办已完成步骤。</x:t>
  </x:si>
  <x:si>
    <x:t xml:space="preserve">实际运行设置与本轮相符；模拟通道可用。自动条件即将满足时，另一账号同时点击对应核实、反制或通知按钮。</x:t>
  </x:si>
  <x:si>
    <x:t xml:space="preserve">不点击核实，等待已启用规则满足。 本节点另用独立子批次执行：自动条件即将满足时，另一账号同时点击对应核实、反制或通知按钮。</x:t>
  </x:si>
  <x:si>
    <x:t xml:space="preserve">系统按规则核实一次；留有系统处理身份、时间和判定依据。 同一事件同一步只产生一次有效动作；冲突有提示，不重复发设备命令或通知。</x:t>
  </x:si>
  <x:si>
    <x:t xml:space="preserve">进入待反制后不点发起，等待规则满足；检查当前证据和唯一可用测试设备。 本节点另用独立子批次执行：自动条件即将满足时，另一账号同时点击对应核实、反制或通知按钮。</x:t>
  </x:si>
  <x:si>
    <x:t xml:space="preserve">符合条件才由系统发起；记录系统身份和实际授权依据，不伪造人工审批。 同一事件同一步只产生一次有效动作；冲突有提示，不重复发设备命令或通知。</x:t>
  </x:si>
  <x:si>
    <x:t xml:space="preserve">设备结果满足通知处罚条件后，不点击通知按钮，观察自动办理。 回读交接材料、送达、签收和办理结果。 本节点另用独立子批次执行：自动条件即将满足时，另一账号同时点击对应核实、反制或通知按钮。</x:t>
  </x:si>
  <x:si>
    <x:t xml:space="preserve">通知方式符合配置。发送、送达、签收分开；有正式办理结果才展示，没有就明确尚无结果，不能强行显示处罚完成。 同一事件同一步只产生一次有效动作；冲突有提示，不重复发设备命令或通知。</x:t>
  </x:si>
  <x:si>
    <x:t xml:space="preserve">按M8设置三类规则，并保存回读。记录有效时长、账号、范围、设备、通道和规则版本。 配好不满足/未知/时段外等子批次。</x:t>
  </x:si>
  <x:si>
    <x:t xml:space="preserve">实际运行设置与本轮相符；模拟通道可用。逐项测试一条不满足、未知、持续时间不足、范围外、时间窗外；再满足。</x:t>
  </x:si>
  <x:si>
    <x:t xml:space="preserve">不点击核实，等待已启用规则满足。 先观察条件不满足，再补足当前有效条件。</x:t>
  </x:si>
  <x:si>
    <x:t xml:space="preserve">系统按规则核实一次；留有系统处理身份、时间和判定依据。 先停在对应步骤并说明原因，不能自动通过；有效条件满足后只继续一次。</x:t>
  </x:si>
  <x:si>
    <x:t xml:space="preserve">进入待反制后不点发起，等待规则满足；检查当前证据和唯一可用测试设备。 先观察条件不满足，再补足当前有效条件。</x:t>
  </x:si>
  <x:si>
    <x:t xml:space="preserve">符合条件才由系统发起；记录系统身份和实际授权依据，不伪造人工审批。 先停在对应步骤并说明原因，不能自动通过；有效条件满足后只继续一次。</x:t>
  </x:si>
  <x:si>
    <x:t xml:space="preserve">设备结果满足通知处罚条件后，不点击通知按钮，观察自动办理。 回读交接材料、送达、签收和办理结果。 先观察条件不满足，再补足当前有效条件。</x:t>
  </x:si>
  <x:si>
    <x:t xml:space="preserve">通知方式符合配置。发送、送达、签收分开；有正式办理结果才展示，没有就明确尚无结果，不能强行显示处罚完成。 先停在对应步骤并说明原因，不能自动通过；有效条件满足后只继续一次。</x:t>
  </x:si>
  <x:si>
    <x:t xml:space="preserve">实际运行设置与本轮相符；模拟通道可用。分别模拟执行服务未启用/异常、页面断网、后台处理重启，然后恢复。</x:t>
  </x:si>
  <x:si>
    <x:t xml:space="preserve">不点击核实，等待已启用规则满足。 请开发在此等待阶段制造服务异常或断网并恢复。</x:t>
  </x:si>
  <x:si>
    <x:t xml:space="preserve">系统按规则核实一次；留有系统处理身份、时间和判定依据。 未启用或异常如实显示；恢复后对账，不重复核实、通知、下发或移送。</x:t>
  </x:si>
  <x:si>
    <x:t xml:space="preserve">检查短信发送/送达、观察开始/结束、电话接通/播放与新位置；按本轮条件操作目标。 请开发在此等待阶段制造服务异常或断网并恢复。</x:t>
  </x:si>
  <x:si>
    <x:t xml:space="preserve">主链持续在域时按已确认时长推进到待反制；短信、电话、飞离各凭自己的真实依据。 未启用或异常如实显示；恢复后对账，不重复核实、通知、下发或移送。</x:t>
  </x:si>
  <x:si>
    <x:t xml:space="preserve">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</x:t>
  </x:si>
  <x:si>
    <x:t xml:space="preserve">主链取得明确测试执行结果；提交不等于成功，未知不盲目重发，急停不等于已经停机。 未启用或异常如实显示；恢复后对账，不重复核实、通知、下发或移送。</x:t>
  </x:si>
  <x:si>
    <x:t xml:space="preserve">设备结果满足通知处罚条件后，不点击通知按钮，观察自动办理。 回读交接材料、送达、签收和办理结果。 请开发在此等待阶段制造服务异常或断网并恢复。</x:t>
  </x:si>
  <x:si>
    <x:t xml:space="preserve">通知方式符合配置。发送、送达、签收分开；有正式办理结果才展示，没有就明确尚无结果，不能强行显示处罚完成。 未启用或异常如实显示；恢复后对账，不重复核实、通知、下发或移送。</x:t>
  </x:si>
  <x:si>
    <x:t xml:space="preserve">实际运行设置与本轮相符；模拟通道可用。分别模拟设备忙、命令失败、结果未知；另运行一批执行中急停。</x:t>
  </x:si>
  <x:si>
    <x:t xml:space="preserve">分别模拟设备忙、命令失败、结果未知；另运行一批执行中急停。 对有条件接续干扰的批次，分别记录反制父授权和干扰子授权、两条命令及回执。</x:t>
  </x:si>
  <x:si>
    <x:t xml:space="preserve">设备失败、未知或停止不能伪装成已完成干扰并触发后续；每个子批次只按其实际结果办理。</x:t>
  </x:si>
  <x:si>
    <x:t xml:space="preserve">实际运行设置与本轮相符；模拟通道可用。在排队及续链前，让授权/规则时段到期、观测过期，或取消可执行资格。</x:t>
  </x:si>
  <x:si>
    <x:t xml:space="preserve">进入待反制后不点发起，等待规则满足；检查当前证据和唯一可用测试设备。 在排队及续链前，让授权/规则时段到期、观测过期，或取消可执行资格。</x:t>
  </x:si>
  <x:si>
    <x:t xml:space="preserve">未取得允许的设备实际结果，不应冒充完成进入自动处罚通知。</x:t>
  </x:si>
  <x:si>
    <x:t xml:space="preserve">实际运行设置与本轮相符；模拟通道可用。系统自动条件暂未满足时，用只读和范围受限账号分别操作；再换有权账号。</x:t>
  </x:si>
  <x:si>
    <x:t xml:space="preserve">不点击核实，等待已启用规则满足。 本环节另用无权、范围受限账号尝试，再用有权账号。</x:t>
  </x:si>
  <x:si>
    <x:t xml:space="preserve">系统按规则核实一次；留有系统处理身份、时间和判定依据。 无权人员不能接手，自动模式不授予个人权限；换有权账号也须满足当前业务条件。</x:t>
  </x:si>
  <x:si>
    <x:t xml:space="preserve">进入待反制后不点发起，等待规则满足；检查当前证据和唯一可用测试设备。 本环节另用无权、范围受限账号尝试，再用有权账号。</x:t>
  </x:si>
  <x:si>
    <x:t xml:space="preserve">符合条件才由系统发起；记录系统身份和实际授权依据，不伪造人工审批。 无权人员不能接手，自动模式不授予个人权限；换有权账号也须满足当前业务条件。</x:t>
  </x:si>
  <x:si>
    <x:t xml:space="preserve">设备结果满足通知处罚条件后，不点击通知按钮，观察自动办理。 回读交接材料、送达、签收和办理结果。 本环节另用无权、范围受限账号尝试，再用有权账号。</x:t>
  </x:si>
  <x:si>
    <x:t xml:space="preserve">通知方式符合配置。发送、送达、签收分开；有正式办理结果才展示，没有就明确尚无结果，不能强行显示处罚完成。 无权人员不能接手，自动模式不授予个人权限；换有权账号也须满足当前业务条件。</x:t>
  </x:si>
  <x:si>
    <x:t xml:space="preserve">按M1设置三类规则，并保存回读。记录有效时长、账号、范围、设备、通道和规则版本。</x:t>
  </x:si>
  <x:si>
    <x:t xml:space="preserve">实际运行设置与本轮相符；模拟通道可用。换显式直接授权账号人工发起；另用未授直接权限的管理员尝试。</x:t>
  </x:si>
  <x:si>
    <x:t xml:space="preserve">人工直接反制与对照账号</x:t>
  </x:si>
  <x:si>
    <x:t xml:space="preserve">被明确授予直接权限的人员手动发起；另一子批次用没有direct的管理员尝试。</x:t>
  </x:si>
  <x:si>
    <x:t xml:space="preserve">有权限且条件满足才免逐次审批；真实发起人保留；对照账号被拒绝且未下发。</x:t>
  </x:si>
  <x:si>
    <x:t xml:space="preserve">设备结果满足条件后，先确认系统等待人工，再由有权人员通知处罚部门。 回读交接材料、送达、签收和办理结果。</x:t>
  </x:si>
  <x:si>
    <x:t xml:space="preserve">实际运行设置与本轮相符；模拟通道可用。设备执行完成后模拟移送发送失败、送达未知、签收超时，再补迟到/重复回复。</x:t>
  </x:si>
  <x:si>
    <x:t xml:space="preserve">设备结果满足通知处罚条件后，不点击通知按钮，观察自动办理。 回读交接材料、送达、签收和办理结果。 设备执行完成后模拟移送发送失败、送达未知、签收超时，再补迟到/重复回复。</x:t>
  </x:si>
  <x:si>
    <x:t xml:space="preserve">准备计划和天气</x:t>
  </x:si>
  <x:si>
    <x:t xml:space="preserve">经获准入口录入计划、空域和覆盖飞行时段的有效测试预报。</x:t>
  </x:si>
  <x:si>
    <x:t xml:space="preserve">计划资料、预报来源和时段正确；与无人机告警到处罚的三类自动开关分开记录。</x:t>
  </x:si>
  <x:si>
    <x:t xml:space="preserve">风险进入计划</x:t>
  </x:si>
  <x:si>
    <x:t xml:space="preserve">运行已接入的风险判断，查看本计划当前风险及全部风险事件。</x:t>
  </x:si>
  <x:si>
    <x:t xml:space="preserve">同一计划出现对应风险；缺依据或未接入如实显示，不能人工把结果表改成成功。</x:t>
  </x:si>
  <x:si>
    <x:t xml:space="preserve">跨页面定位</x:t>
  </x:si>
  <x:si>
    <x:t xml:space="preserve">从计划进入风险详情，再到空域查看同一风险。</x:t>
  </x:si>
  <x:si>
    <x:t xml:space="preserve">计划、空域、风险编号及生效时间一致，不打开其他风险替代。</x:t>
  </x:si>
  <x:si>
    <x:t xml:space="preserve">核验风险</x:t>
  </x:si>
  <x:si>
    <x:t xml:space="preserve">在风险详情用有权账号核验属实；另测排除分支。</x:t>
  </x:si>
  <x:si>
    <x:t xml:space="preserve">记录真实核验结论；通知与回执页签不重复核验，排除分支没有误通知。</x:t>
  </x:si>
  <x:si>
    <x:t xml:space="preserve">通知上级</x:t>
  </x:si>
  <x:si>
    <x:t xml:space="preserve">按实际允许的入口通知上级，记录发送结果。</x:t>
  </x:si>
  <x:si>
    <x:t xml:space="preserve">接收对象为上级；不额外要求选职责单位，不因配置通知处罚而发错收件人。</x:t>
  </x:si>
  <x:si>
    <x:t xml:space="preserve">送达和签收</x:t>
  </x:si>
  <x:si>
    <x:t xml:space="preserve">查看已发送、送达未知、成功、失败及签收；各异常子批次分开记录。</x:t>
  </x:si>
  <x:si>
    <x:t xml:space="preserve">阶段清楚，未知先对账；重复或迟到回复不能串风险或重复通知。</x:t>
  </x:si>
  <x:si>
    <x:t xml:space="preserve">签收后风险仍在</x:t>
  </x:si>
  <x:si>
    <x:t xml:space="preserve">保持风险有效，刷新计划当前风险与地图。</x:t>
  </x:si>
  <x:si>
    <x:t xml:space="preserve">送达或签收不会自动解除风险；当前数量与列表一致。</x:t>
  </x:si>
  <x:si>
    <x:t xml:space="preserve">风险解除及待确认</x:t>
  </x:si>
  <x:si>
    <x:t xml:space="preserve">提供有效解除依据；另一子批次只停止更新而不提供依据。</x:t>
  </x:si>
  <x:si>
    <x:t xml:space="preserve">有依据才按规则解除；无法确认的单独标记，不因失联当解除。</x:t>
  </x:si>
  <x:si>
    <x:t xml:space="preserve">历史证据和统计</x:t>
  </x:si>
  <x:si>
    <x:t xml:space="preserve">核对风险历史、通知内容、接收方和同范围统计。</x:t>
  </x:si>
  <x:si>
    <x:t xml:space="preserve">旧记录保留且关联同一计划；历史通知快照不随配置变化重写。</x:t>
  </x:si>
  <x:si>
    <x:t xml:space="preserve">刷新重登检查</x:t>
  </x:si>
  <x:si>
    <x:t xml:space="preserve">重新登录，从计划与空域分别回查本风险并停止模拟。</x:t>
  </x:si>
  <x:si>
    <x:t xml:space="preserve">处理结果一致，无重复通知；受限账号看不到范围外数据。</x:t>
  </x:si>
  <x:si>
    <x:t xml:space="preserve">准备计划与测试设备</x:t>
  </x:si>
  <x:si>
    <x:t xml:space="preserve">准备已到计划起飞时间但未收到目标的计划；设备异常、正常、信息不足三个子批次。</x:t>
  </x:si>
  <x:si>
    <x:t xml:space="preserve">设备与计划范围匹配，独立编号可追溯；只用测试设备。</x:t>
  </x:si>
  <x:si>
    <x:t xml:space="preserve">前台发现未见目标</x:t>
  </x:si>
  <x:si>
    <x:t xml:space="preserve">打开飞行计划检查结果和最近观测。</x:t>
  </x:si>
  <x:si>
    <x:t xml:space="preserve">未见目标不直接当作没有起飞；说明当前设备和观测依据。</x:t>
  </x:si>
  <x:si>
    <x:t xml:space="preserve">检查附近设备</x:t>
  </x:si>
  <x:si>
    <x:t xml:space="preserve">按已有规则读取设备检查；对照实际设备异常及最近上报。</x:t>
  </x:si>
  <x:si>
    <x:t xml:space="preserve">设备异常、设备正常、资料不足分开；缺依据不造出检查通过。</x:t>
  </x:si>
  <x:si>
    <x:t xml:space="preserve">发送设备异常通知</x:t>
  </x:si>
  <x:si>
    <x:t xml:space="preserve">对实际异常用有权账号通知，重复点击并记录操作结果。</x:t>
  </x:si>
  <x:si>
    <x:t xml:space="preserve">通知对应同一设备/计划；无权账号被拒；不重复创建处理事项。</x:t>
  </x:si>
  <x:si>
    <x:t xml:space="preserve">后台接到处理事项</x:t>
  </x:si>
  <x:si>
    <x:t xml:space="preserve">在管理后台找到前台产生的同一事项，核对设备、时间及异常原因。</x:t>
  </x:si>
  <x:si>
    <x:t xml:space="preserve">前后台同一件事；不是拿另一条历史待办替代。</x:t>
  </x:si>
  <x:si>
    <x:t xml:space="preserve">后台办理并记录结果</x:t>
  </x:si>
  <x:si>
    <x:t xml:space="preserve">按已有流程处理测试设备异常；分别模拟处理成功、失败及回复未知。</x:t>
  </x:si>
  <x:si>
    <x:t xml:space="preserve">操作提交、设备回复和后台办理状态分开；未知不标成功。</x:t>
  </x:si>
  <x:si>
    <x:t xml:space="preserve">验证实际恢复</x:t>
  </x:si>
  <x:si>
    <x:t xml:space="preserve">恢复设备上报和健康数据；另一子批次仅完成后台处理但不恢复设备。</x:t>
  </x:si>
  <x:si>
    <x:t xml:space="preserve">实际恢复需真实依据；工单处理完、收到命令、设备心跳恢复不能互相替代。</x:t>
  </x:si>
  <x:si>
    <x:t xml:space="preserve">前台回读检查结果</x:t>
  </x:si>
  <x:si>
    <x:t xml:space="preserve">回到原计划和融合感知查看设备状态、异常提示及检查依据。</x:t>
  </x:si>
  <x:si>
    <x:t xml:space="preserve">已验证恢复才更新对应异常；未恢复继续提示，计划和设备仍正确关联。</x:t>
  </x:si>
  <x:si>
    <x:t xml:space="preserve">计划与历史一致</x:t>
  </x:si>
  <x:si>
    <x:t xml:space="preserve">核对计划未见目标提示、处理历史及异常通知记录。</x:t>
  </x:si>
  <x:si>
    <x:t xml:space="preserve">设备恢复不等于无人机已起飞或计划获准；历史异常与通知不删除。</x:t>
  </x:si>
  <x:si>
    <x:t xml:space="preserve">重新登录回查同一计划和设备；结束模拟并核对停止。</x:t>
  </x:si>
  <x:si>
    <x:t xml:space="preserve">数据一致、不重复生成待办；权限范围依旧有效。</x:t>
  </x:si>
  <x:si>
    <x:t xml:space="preserve">准备鸟群和重点区域</x:t>
  </x:si>
  <x:si>
    <x:t xml:space="preserve">准备鸟群原始输入、重点区域、核验账号及模拟上级通道。</x:t>
  </x:si>
  <x:si>
    <x:t xml:space="preserve">记录来源、分类依据、范围、时段与批次；缺风险生成能力如实记暂时测不了。</x:t>
  </x:si>
  <x:si>
    <x:t xml:space="preserve">发出鸟群数据</x:t>
  </x:si>
  <x:si>
    <x:t xml:space="preserve">经真实测试接入发原始样本，记录平台统一目标。</x:t>
  </x:si>
  <x:si>
    <x:t xml:space="preserve">可追到原始来源；不是直接写已生成风险结果。</x:t>
  </x:si>
  <x:si>
    <x:t xml:space="preserve">核对风险发现</x:t>
  </x:si>
  <x:si>
    <x:t xml:space="preserve">在空域或飞行计划全部风险中找到本次风险。</x:t>
  </x:si>
  <x:si>
    <x:t xml:space="preserve">同一鸟群、位置、时段和风险原因对应。</x:t>
  </x:si>
  <x:si>
    <x:t xml:space="preserve">核对业务分流</x:t>
  </x:si>
  <x:si>
    <x:t xml:space="preserve">查看合法性及无人机反制记录。</x:t>
  </x:si>
  <x:si>
    <x:t xml:space="preserve">鸟群不因没有飞行计划被判黑飞，不进无人机反制。</x:t>
  </x:si>
  <x:si>
    <x:t xml:space="preserve">人员核验风险</x:t>
  </x:si>
  <x:si>
    <x:t xml:space="preserve">有权账号在风险详情核验属实。</x:t>
  </x:si>
  <x:si>
    <x:t xml:space="preserve">核验依据与历史保存；只读通知页不重复核验。</x:t>
  </x:si>
  <x:si>
    <x:t xml:space="preserve">发送本风险通知并核对接收对象。</x:t>
  </x:si>
  <x:si>
    <x:t xml:space="preserve">提交、送达分开；接收人来自当前有效配置。</x:t>
  </x:si>
  <x:si>
    <x:t xml:space="preserve">签收但风险仍在</x:t>
  </x:si>
  <x:si>
    <x:t xml:space="preserve">返回签收回执，同时保持鸟群有效观测。</x:t>
  </x:si>
  <x:si>
    <x:t xml:space="preserve">风险仍显示存在，签收不能代替解除。</x:t>
  </x:si>
  <x:si>
    <x:t xml:space="preserve">处置反馈与解除</x:t>
  </x:si>
  <x:si>
    <x:t xml:space="preserve">按现有接口提供明确反馈及当前解除依据。</x:t>
  </x:si>
  <x:si>
    <x:t xml:space="preserve">区分处置回复与真实风险状态；依据不足保留待确认。</x:t>
  </x:si>
  <x:si>
    <x:t xml:space="preserve">历史证据与统计</x:t>
  </x:si>
  <x:si>
    <x:t xml:space="preserve">核对风险、通知、回执、证据及相关统计。</x:t>
  </x:si>
  <x:si>
    <x:t xml:space="preserve">同一组ID和事实；不把鸟群计入无人机违法数。</x:t>
  </x:si>
  <x:si>
    <x:t xml:space="preserve">重登复查与结束</x:t>
  </x:si>
  <x:si>
    <x:t xml:space="preserve">刷新重登，查历史并结束模拟。</x:t>
  </x:si>
  <x:si>
    <x:t xml:space="preserve">无重复风险通知，历史完整，模拟明确停止。</x:t>
  </x:si>
  <x:si>
    <x:t xml:space="preserve">冻结来源与数据真值</x:t>
  </x:si>
  <x:si>
    <x:t xml:space="preserve">登记三路协议版本、设备、目标真值和坐标时间。</x:t>
  </x:si>
  <x:si>
    <x:t xml:space="preserve">三路输入可独立追溯；模拟标签明确。</x:t>
  </x:si>
  <x:si>
    <x:t xml:space="preserve">启动雷达所在融合箱</x:t>
  </x:si>
  <x:si>
    <x:t xml:space="preserve">先只发送融合箱雷达帧。</x:t>
  </x:si>
  <x:si>
    <x:t xml:space="preserve">有有效点和轨迹，不以TDOA缺失否定雷达存在。</x:t>
  </x:si>
  <x:si>
    <x:t xml:space="preserve">接入5G-A同目标</x:t>
  </x:si>
  <x:si>
    <x:t xml:space="preserve">发送相同时空的5G-A目标。</x:t>
  </x:si>
  <x:si>
    <x:t xml:space="preserve">按已确认融合规则关联，保留原始来源ID。</x:t>
  </x:si>
  <x:si>
    <x:t xml:space="preserve">接入TDOA同目标</x:t>
  </x:si>
  <x:si>
    <x:t xml:space="preserve">补入同目标TDOA及遥控器位置。</x:t>
  </x:si>
  <x:si>
    <x:t xml:space="preserve">统一目标稳定，遥控器单独关联不多算无人机。</x:t>
  </x:si>
  <x:si>
    <x:t xml:space="preserve">加入相邻目标</x:t>
  </x:si>
  <x:si>
    <x:t xml:space="preserve">加入第二架交叉飞行目标。</x:t>
  </x:si>
  <x:si>
    <x:t xml:space="preserve">两目标身份不交换、不错误合并。</x:t>
  </x:si>
  <x:si>
    <x:t xml:space="preserve">核对业务研判</x:t>
  </x:si>
  <x:si>
    <x:t xml:space="preserve">关联有效计划，核对合法性及告警。</x:t>
  </x:si>
  <x:si>
    <x:t xml:space="preserve">业务消费统一目标；证据不足明确未知。</x:t>
  </x:si>
  <x:si>
    <x:t xml:space="preserve">中断一路</x:t>
  </x:si>
  <x:si>
    <x:t xml:space="preserve">停止TDOA，其他两路持续。</x:t>
  </x:si>
  <x:si>
    <x:t xml:space="preserve">降级说明可见，目标不因一路掉线飞离。</x:t>
  </x:si>
  <x:si>
    <x:t xml:space="preserve">恢复并补传</x:t>
  </x:si>
  <x:si>
    <x:t xml:space="preserve">恢复当前数据，同时按协议补传旧数据。</x:t>
  </x:si>
  <x:si>
    <x:t xml:space="preserve">历史和实时区分，不因补传产生新的错误通知或反制。</x:t>
  </x:si>
  <x:si>
    <x:t xml:space="preserve">对照原始和融合轨迹</x:t>
  </x:si>
  <x:si>
    <x:t xml:space="preserve">查原始来源、轨迹、证据和统计。</x:t>
  </x:si>
  <x:si>
    <x:t xml:space="preserve">预测或弥合部分如实标记，不冒充实测点。</x:t>
  </x:si>
  <x:si>
    <x:t xml:space="preserve">记录指标并重登</x:t>
  </x:si>
  <x:si>
    <x:t xml:space="preserve">记录ID稳定、重复数、时延，重登核对并停模拟。</x:t>
  </x:si>
  <x:si>
    <x:t xml:space="preserve">只有功能观察值；算法精度未单独验收不能冒充正式精度。</x:t>
  </x:si>
  <x:si>
    <x:t xml:space="preserve">准备支持的测试能力</x:t>
  </x:si>
  <x:si>
    <x:t xml:space="preserve">读取光电与反制设备协议、账号、M1配置和授权范围。</x:t>
  </x:si>
  <x:si>
    <x:t xml:space="preserve">不要求协议尚不支持的点动或角度控制；只用测试设备。</x:t>
  </x:si>
  <x:si>
    <x:t xml:space="preserve">雷达发现违规目标</x:t>
  </x:si>
  <x:si>
    <x:t xml:space="preserve">输入持续有效的无人机观测与违规依据。</x:t>
  </x:si>
  <x:si>
    <x:t xml:space="preserve">目标与告警可对应，身份尚未明确时不强行反制。</x:t>
  </x:si>
  <x:si>
    <x:t xml:space="preserve">发起获准跟踪任务</x:t>
  </x:si>
  <x:si>
    <x:t xml:space="preserve">在已有业务入口选择目标和可用光电。</x:t>
  </x:si>
  <x:si>
    <x:t xml:space="preserve">任务绑定目标和位置；无权限不能发。</x:t>
  </x:si>
  <x:si>
    <x:t xml:space="preserve">核对光电执行回执</x:t>
  </x:si>
  <x:si>
    <x:t xml:space="preserve">查看受理、跟踪状态及视频可用状态。</x:t>
  </x:si>
  <x:si>
    <x:t xml:space="preserve">受理不等于跟踪成功，不拿旧画面凑成功。</x:t>
  </x:si>
  <x:si>
    <x:t xml:space="preserve">保存分类与画面证据</x:t>
  </x:si>
  <x:si>
    <x:t xml:space="preserve">核对光电类别、来源、截图与视频关联。</x:t>
  </x:si>
  <x:si>
    <x:t xml:space="preserve">归属同一目标；算法推断和设备原始结果分开。</x:t>
  </x:si>
  <x:si>
    <x:t xml:space="preserve">核实通知并申请审批</x:t>
  </x:si>
  <x:si>
    <x:t xml:space="preserve">核实后按通知计时推进，人员申请，另一账号审批。</x:t>
  </x:si>
  <x:si>
    <x:t xml:space="preserve">当前依据满足才可下发；光电画面本身不是授权。</x:t>
  </x:si>
  <x:si>
    <x:t xml:space="preserve">反制后接续干扰</x:t>
  </x:si>
  <x:si>
    <x:t xml:space="preserve">核对父授权反制结果，再核对干扰子授权与结果。</x:t>
  </x:si>
  <x:si>
    <x:t xml:space="preserve">续链检查当前资格与有效期，两个命令和结果分别记录。</x:t>
  </x:si>
  <x:si>
    <x:t xml:space="preserve">人工通知处罚部门</x:t>
  </x:si>
  <x:si>
    <x:t xml:space="preserve">干扰完成后查看已冻结交接，按M1由有权者通知。</x:t>
  </x:si>
  <x:si>
    <x:t xml:space="preserve">引擎开启但dispose停用时等待人工发送；不重建已有交接。</x:t>
  </x:si>
  <x:si>
    <x:t xml:space="preserve">证据与交接核对</x:t>
  </x:si>
  <x:si>
    <x:t xml:space="preserve">查看原始轨迹、光电证据、授权、回执及冻结材料。</x:t>
  </x:si>
  <x:si>
    <x:t xml:space="preserve">形成同一事件证据关系，缺文件或回执不能宣称完整。</x:t>
  </x:si>
  <x:si>
    <x:t xml:space="preserve">收尾与审计</x:t>
  </x:si>
  <x:si>
    <x:t xml:space="preserve">正常停止或确认结束，重登核对后台审计。</x:t>
  </x:si>
  <x:si>
    <x:t xml:space="preserve">操作人、设备、授权、指令、时刻、结果齐全。</x:t>
  </x:si>
  <x:si>
    <x:t xml:space="preserve">准备属实事件与接收方</x:t>
  </x:si>
  <x:si>
    <x:t xml:space="preserve">核实事件属实，确保没有反制或干扰记录，准备可用模拟处罚接收方。</x:t>
  </x:si>
  <x:si>
    <x:t xml:space="preserve">权限、范围、版本和接收方齐备。</x:t>
  </x:si>
  <x:si>
    <x:t xml:space="preserve">确认未走设备动作</x:t>
  </x:si>
  <x:si>
    <x:t xml:space="preserve">回查授权和设备命令清单。</x:t>
  </x:si>
  <x:si>
    <x:t xml:space="preserve">确实没有反制或干扰，不拿已有完成事件替代。</x:t>
  </x:si>
  <x:si>
    <x:t xml:space="preserve">检查前台交接入口</x:t>
  </x:si>
  <x:si>
    <x:t xml:space="preserve">从该事件查找现有允许的交接入口。</x:t>
  </x:si>
  <x:si>
    <x:t xml:space="preserve">能定位同事件；没有入口则记录缺口，本步填暂时测不了。</x:t>
  </x:si>
  <x:si>
    <x:t xml:space="preserve">提交或接口联验</x:t>
  </x:si>
  <x:si>
    <x:t xml:space="preserve">入口存在则由有权者提交；仅有接口时开发配合单独记录。</x:t>
  </x:si>
  <x:si>
    <x:t xml:space="preserve">服务端不因没有反制记录而拒绝；前台缺入口仍不能整条通过。</x:t>
  </x:si>
  <x:si>
    <x:t xml:space="preserve">核对冻结材料</x:t>
  </x:si>
  <x:si>
    <x:t xml:space="preserve">打开交接材料及事件版本。</x:t>
  </x:si>
  <x:si>
    <x:t xml:space="preserve">材料如实无设备完成记录，不伪造已反制或已干扰。</x:t>
  </x:si>
  <x:si>
    <x:t xml:space="preserve">核对发送事实</x:t>
  </x:si>
  <x:si>
    <x:t xml:space="preserve">按实际配置发模拟通知或处理待发送事项。</x:t>
  </x:si>
  <x:si>
    <x:t xml:space="preserve">按已有投递进度操作，不重复创建交接。</x:t>
  </x:si>
  <x:si>
    <x:t xml:space="preserve">核对送达签收</x:t>
  </x:si>
  <x:si>
    <x:t xml:space="preserve">模拟渠道返回对应送达和签收。</x:t>
  </x:si>
  <x:si>
    <x:t xml:space="preserve">同一交接关联回执；签收不是处罚决定。</x:t>
  </x:si>
  <x:si>
    <x:t xml:space="preserve">后续修改原事件</x:t>
  </x:si>
  <x:si>
    <x:t xml:space="preserve">在获准范围更新原事件资料，回看旧冻结材料。</x:t>
  </x:si>
  <x:si>
    <x:t xml:space="preserve">冻结材料不随当前资料悄悄改变。</x:t>
  </x:si>
  <x:si>
    <x:t xml:space="preserve">统计和证据复核</x:t>
  </x:si>
  <x:si>
    <x:t xml:space="preserve">在处罚、证据、统计页对照本事件。</x:t>
  </x:si>
  <x:si>
    <x:t xml:space="preserve">计数按真实事实，不能多算设备反制成功。</x:t>
  </x:si>
  <x:si>
    <x:t xml:space="preserve">重登并交付记录</x:t>
  </x:si>
  <x:si>
    <x:t xml:space="preserve">重登复查，留下入口缺口或完整证据。</x:t>
  </x:si>
  <x:si>
    <x:t xml:space="preserve">前台和接口验证结论分别清楚，未验证部分不填通过。</x:t>
  </x:si>
  <x:si>
    <x:t xml:space="preserve">准备设备与权限</x:t>
  </x:si>
  <x:si>
    <x:t xml:space="preserve">准备专用测试TCP设备、接入范围、协议版本与账号。</x:t>
  </x:si>
  <x:si>
    <x:t xml:space="preserve">登记来源和模拟标记，不混入现场设备。</x:t>
  </x:si>
  <x:si>
    <x:t xml:space="preserve">接入登记</x:t>
  </x:si>
  <x:si>
    <x:t xml:space="preserve">从统一入口选雷达及支持的TCP协议，保存配置。</x:t>
  </x:si>
  <x:si>
    <x:t xml:space="preserve">设备ID稳定；保存不等于在线。</x:t>
  </x:si>
  <x:si>
    <x:t xml:space="preserve">查看台账</x:t>
  </x:si>
  <x:si>
    <x:t xml:space="preserve">核对型号、单位区域、地址和允许启停状态。</x:t>
  </x:si>
  <x:si>
    <x:t xml:space="preserve">资料准确，敏感字段按权可见。</x:t>
  </x:si>
  <x:si>
    <x:t xml:space="preserve">创建调测</x:t>
  </x:si>
  <x:si>
    <x:t xml:space="preserve">创建任务并发起连接。</x:t>
  </x:si>
  <x:si>
    <x:t xml:space="preserve">取得任务ID，受理与连接成功分开。</x:t>
  </x:si>
  <x:si>
    <x:t xml:space="preserve">配置并开始</x:t>
  </x:si>
  <x:si>
    <x:t xml:space="preserve">连接成功后保存本次参数，再开始调测。</x:t>
  </x:si>
  <x:si>
    <x:t xml:space="preserve">状态顺序正确，任务保存配置快照。</x:t>
  </x:si>
  <x:si>
    <x:t xml:space="preserve">核对协议结果</x:t>
  </x:si>
  <x:si>
    <x:t xml:space="preserve">由模拟器返回真实测试协议响应、心跳和点迹。</x:t>
  </x:si>
  <x:si>
    <x:t xml:space="preserve">分项依据可查，不回退mock。</x:t>
  </x:si>
  <x:si>
    <x:t xml:space="preserve">核对调测报告</x:t>
  </x:si>
  <x:si>
    <x:t xml:space="preserve">查看结束状态及完整报告。</x:t>
  </x:si>
  <x:si>
    <x:t xml:space="preserve">通过、失败、不可判定如实记录，明确模拟边界。</x:t>
  </x:si>
  <x:si>
    <x:t xml:space="preserve">查看实时监测</x:t>
  </x:si>
  <x:si>
    <x:t xml:space="preserve">核对设备当前信息、来源时间和健康。</x:t>
  </x:si>
  <x:si>
    <x:t xml:space="preserve">与实际测试报文一致，不把厂家参数当实测。</x:t>
  </x:si>
  <x:si>
    <x:t xml:space="preserve">前台核对目标</x:t>
  </x:si>
  <x:si>
    <x:t xml:space="preserve">前台融合感知查本设备原始来源及统一目标。</x:t>
  </x:si>
  <x:si>
    <x:t xml:space="preserve">来源ID、坐标、时段一致，不拿别的目标代替。</x:t>
  </x:si>
  <x:si>
    <x:t xml:space="preserve">重登与收尾</x:t>
  </x:si>
  <x:si>
    <x:t xml:space="preserve">重登回查报告和目标，结束模拟并核对状态变化。</x:t>
  </x:si>
  <x:si>
    <x:t xml:space="preserve">原报告保留，停止上报后状态按协议更新。</x:t>
  </x:si>
  <x:si>
    <x:t xml:space="preserve">准备通道</x:t>
  </x:si>
  <x:si>
    <x:t xml:space="preserve">准备同范围启用的测试MQTT接入通道及设备。</x:t>
  </x:si>
  <x:si>
    <x:t xml:space="preserve">记录协议和实际超时阈值。</x:t>
  </x:si>
  <x:si>
    <x:t xml:space="preserve">同范围已启用replay通道，LINGYUN_MQTT_V8_6，离线阈值30秒。</x:t>
  </x:si>
  <x:si>
    <x:t xml:space="preserve">Codex（接口测试）</x:t>
  </x:si>
  <x:si>
    <x:t xml:space="preserve">2026-09-27</x:t>
  </x:si>
  <x:si>
    <x:t xml:space="preserve">第三轮 device-lifecycle.json、device-actions.json、incident-recovered.json</x:t>
  </x:si>
  <x:si>
    <x:t xml:space="preserve">sim-0927184141-d977 / 529a027a-41bd-48bd-b13b-e5b3562d6e9a</x:t>
  </x:si>
  <x:si>
    <x:t xml:space="preserve">接入并首报</x:t>
  </x:si>
  <x:si>
    <x:t xml:space="preserve">登记设备，发送有效工参和目标。</x:t>
  </x:si>
  <x:si>
    <x:t xml:space="preserve">设备有稳定内部ID；工参与目标时间分别记录。</x:t>
  </x:si>
  <x:si>
    <x:t xml:space="preserve">核对前后台在线</x:t>
  </x:si>
  <x:si>
    <x:t xml:space="preserve">查看后台状态和前台设备点。</x:t>
  </x:si>
  <x:si>
    <x:t xml:space="preserve">同设备同状态，订阅连接成功不替代工参。</x:t>
  </x:si>
  <x:si>
    <x:t xml:space="preserve">第五轮独立sim-0927195329-a584-1在前后台均可定位并显示在线，API同内部ID，未用MQTT订阅连接代替有效工参。</x:t>
  </x:si>
  <x:si>
    <x:t xml:space="preserve">第五、六轮证据：monitor-online.txt；front-reloaded-devices.txt；device-lifecycle-r5.jsonl</x:t>
  </x:si>
  <x:si>
    <x:t xml:space="preserve">sim-0927195329-a584 / 873c6db9-694f-4e7b-bc9c-2c22ed3582b7</x:t>
  </x:si>
  <x:si>
    <x:t xml:space="preserve">停止有效工参</x:t>
  </x:si>
  <x:si>
    <x:t xml:space="preserve">停设备上报，记录最后心跳时刻。</x:t>
  </x:si>
  <x:si>
    <x:t xml:space="preserve">按配置等待超时，不用暂停页面模拟设备离线。</x:t>
  </x:si>
  <x:si>
    <x:t xml:space="preserve">运行第35秒停止工参，上次有效心跳可查；第69秒已经OFFLINE。</x:t>
  </x:si>
  <x:si>
    <x:t xml:space="preserve">查看异常生成</x:t>
  </x:si>
  <x:si>
    <x:t xml:space="preserve">跨多个调度周期查离线事件。</x:t>
  </x:si>
  <x:si>
    <x:t xml:space="preserve">同类未恢复事件不重复；前台异常可见。</x:t>
  </x:si>
  <x:si>
    <x:t xml:space="preserve">检查不支持能力</x:t>
  </x:si>
  <x:si>
    <x:t xml:space="preserve">查看异常允许动作，尝试获准的恢复入口。</x:t>
  </x:si>
  <x:si>
    <x:t xml:space="preserve">不支持重启时说明原因，不造成功。</x:t>
  </x:si>
  <x:si>
    <x:t xml:space="preserve">重启返回409 REBOOT_NOT_SUPPORTED；离线恢复核验FAIL。</x:t>
  </x:si>
  <x:si>
    <x:t xml:space="preserve">恢复新心跳</x:t>
  </x:si>
  <x:si>
    <x:t xml:space="preserve">恢复报修/事件发生后的有效心跳。</x:t>
  </x:si>
  <x:si>
    <x:t xml:space="preserve">只能证明当前连接；旧或未来心跳不算。</x:t>
  </x:si>
  <x:si>
    <x:t xml:space="preserve">第115秒恢复上报，第118秒接口ONLINE且心跳为事件之后。</x:t>
  </x:si>
  <x:si>
    <x:t xml:space="preserve">核验异常恢复</x:t>
  </x:si>
  <x:si>
    <x:t xml:space="preserve">使用既有设备异常恢复核验接口或入口。</x:t>
  </x:si>
  <x:si>
    <x:t xml:space="preserve">事件按条件恢复；接口不顺便完成维护待办。</x:t>
  </x:si>
  <x:si>
    <x:t xml:space="preserve">恢复核验PASS，事件RECOVERED；同键重试结果一致，未完成任何维护待办。</x:t>
  </x:si>
  <x:si>
    <x:t xml:space="preserve">核对整体健康</x:t>
  </x:si>
  <x:si>
    <x:t xml:space="preserve">检查健康仍未知与已GOOD的独立样本。</x:t>
  </x:si>
  <x:si>
    <x:t xml:space="preserve">心跳恢复不让健康未知自动变GOOD。</x:t>
  </x:si>
  <x:si>
    <x:t xml:space="preserve">前台及历史复查</x:t>
  </x:si>
  <x:si>
    <x:t xml:space="preserve">回前台、后台事件历史，结束模拟。</x:t>
  </x:si>
  <x:si>
    <x:t xml:space="preserve">当前异常按事实变化；历史事件和通知仍可查。</x:t>
  </x:si>
  <x:si>
    <x:t xml:space="preserve">准备计划与异常设备</x:t>
  </x:si>
  <x:si>
    <x:t xml:space="preserve">准备到起飞时间仍未见目标的计划和确有异常的关联设备。</x:t>
  </x:si>
  <x:si>
    <x:t xml:space="preserve">分清可能未起飞与设备异常，不误报。</x:t>
  </x:si>
  <x:si>
    <x:t xml:space="preserve">前台通知运维</x:t>
  </x:si>
  <x:si>
    <x:t xml:space="preserve">由有权账号发起设备异常通知并记源事项ID。</x:t>
  </x:si>
  <x:si>
    <x:t xml:space="preserve">后台生成对应待办；重复点击不重复建。</x:t>
  </x:si>
  <x:si>
    <x:t xml:space="preserve">后台接收待办</x:t>
  </x:si>
  <x:si>
    <x:t xml:space="preserve">查看消息、上报详情和通知投递历史。</x:t>
  </x:si>
  <x:si>
    <x:t xml:space="preserve">同一设备、原因、来源和接收对象；已读不算完成。</x:t>
  </x:si>
  <x:si>
    <x:t xml:space="preserve">开始处理</x:t>
  </x:si>
  <x:si>
    <x:t xml:space="preserve">进入接入调测中的维护工作流并开始处理。</x:t>
  </x:si>
  <x:si>
    <x:t xml:space="preserve">记录真实处理人，状态变处理中。</x:t>
  </x:si>
  <x:si>
    <x:t xml:space="preserve">接口START成功，真实账号超级管理员，PROCESSING版本2。并发另一次被409拒绝。</x:t>
  </x:si>
  <x:si>
    <x:t xml:space="preserve">第四轮 api-checks.json、maintenance-concurrency.json、maintenance-final.json</x:t>
  </x:si>
  <x:si>
    <x:t xml:space="preserve">sim-0927184141-d977 / 任务5dc91f6a-bb67-4b1a-955b-10b7e0544aae</x:t>
  </x:si>
  <x:si>
    <x:t xml:space="preserve">处理并记录进展</x:t>
  </x:si>
  <x:si>
    <x:t xml:space="preserve">保存实际处理说明，必要时关联同设备已有调测。</x:t>
  </x:si>
  <x:si>
    <x:t xml:space="preserve">关联不自动启动；处理说明不等于修好。</x:t>
  </x:si>
  <x:si>
    <x:t xml:space="preserve">恢复设备实际状态</x:t>
  </x:si>
  <x:si>
    <x:t xml:space="preserve">模拟修复，提供新鲜在线GOOD无告警状态，结束活动任务。</x:t>
  </x:si>
  <x:si>
    <x:t xml:space="preserve">状态及心跳均来自报修后，来源一致；无假写成功。</x:t>
  </x:si>
  <x:si>
    <x:t xml:space="preserve">核验设备异常</x:t>
  </x:si>
  <x:si>
    <x:t xml:space="preserve">对未恢复异常逐一走原恢复核验流程。</x:t>
  </x:si>
  <x:si>
    <x:t xml:space="preserve">事件确实恢复；维护接口不代替关闭事件。</x:t>
  </x:si>
  <x:si>
    <x:t xml:space="preserve">提交并核验恢复</x:t>
  </x:si>
  <x:si>
    <x:t xml:space="preserve">提交待核验，再执行恢复核验。</x:t>
  </x:si>
  <x:si>
    <x:t xml:space="preserve">PASS后仍待核验，结果含检查时间及原因。</x:t>
  </x:si>
  <x:si>
    <x:t xml:space="preserve">确认完成</x:t>
  </x:si>
  <x:si>
    <x:t xml:space="preserve">300秒有效窗口内填完成说明，系统重新核验。</x:t>
  </x:si>
  <x:si>
    <x:t xml:space="preserve">当前仍满足条件才COMPLETED，操作及审计保留。</x:t>
  </x:si>
  <x:si>
    <x:t xml:space="preserve">返回前台复核</x:t>
  </x:si>
  <x:si>
    <x:t xml:space="preserve">重登并查原计划、设备点、通知和后台历史。</x:t>
  </x:si>
  <x:si>
    <x:t xml:space="preserve">设备恢复事实同步；计划起飞与否仍按真实目标判断。</x:t>
  </x:si>
  <x:si>
    <x:t xml:space="preserve">准备处理中待办</x:t>
  </x:si>
  <x:si>
    <x:t xml:space="preserve">使用专用异常设备和处理中维护任务。</x:t>
  </x:si>
  <x:si>
    <x:t xml:space="preserve">记录同一设备、来源、报修时间及任务版本。</x:t>
  </x:si>
  <x:si>
    <x:t xml:space="preserve">本批维护任务已创建并处理，记录task_id、device_id、来源和报修时间。</x:t>
  </x:si>
  <x:si>
    <x:t xml:space="preserve">提供不完整恢复信息</x:t>
  </x:si>
  <x:si>
    <x:t xml:space="preserve">只恢复心跳，让健康保持未知。</x:t>
  </x:si>
  <x:si>
    <x:t xml:space="preserve">在线事实存在，但不能宣布设备整体健康。</x:t>
  </x:si>
  <x:si>
    <x:t xml:space="preserve">报修后向同一replay设备发送有效工参，状态ONLINE、health=UNKNOWN，未补造健康指标。</x:t>
  </x:si>
  <x:si>
    <x:t xml:space="preserve">提交待核验</x:t>
  </x:si>
  <x:si>
    <x:t xml:space="preserve">确保无活动任务，填写说明提交。</x:t>
  </x:si>
  <x:si>
    <x:t xml:space="preserve">状态待核验，未自动完成。</x:t>
  </x:si>
  <x:si>
    <x:t xml:space="preserve">接口SUBMIT_VERIFICATION进入PENDING_VERIFICATION版本4，没有自动完成。</x:t>
  </x:si>
  <x:si>
    <x:t xml:space="preserve">执行恢复核验</x:t>
  </x:si>
  <x:si>
    <x:t xml:space="preserve">对健康未知或旧状态进行核验。</x:t>
  </x:si>
  <x:si>
    <x:t xml:space="preserve">得到UNKNOWN/FAIL和具体原因，留在待核验。</x:t>
  </x:si>
  <x:si>
    <x:t xml:space="preserve">报修后无新鲜状态和心跳，VERIFY_RECOVERY结果UNKNOWN，仍待核验。</x:t>
  </x:si>
  <x:si>
    <x:t xml:space="preserve">尝试完成</x:t>
  </x:si>
  <x:si>
    <x:t xml:space="preserve">在未PASS时点击或接口尝试完成。</x:t>
  </x:si>
  <x:si>
    <x:t xml:space="preserve">拒绝办结，记录真实阻断。</x:t>
  </x:si>
  <x:si>
    <x:t xml:space="preserve">未PASS尝试COMPLETE，409 MAINTENANCE_RECOVERY_REQUIRED，未办结。</x:t>
  </x:si>
  <x:si>
    <x:t xml:space="preserve">恢复处理</x:t>
  </x:si>
  <x:si>
    <x:t xml:space="preserve">点击恢复处理并保存新进展。</x:t>
  </x:si>
  <x:si>
    <x:t xml:space="preserve">回到处理中，清当前摘要但保留旧事件。</x:t>
  </x:si>
  <x:si>
    <x:t xml:space="preserve">再次恢复并核验</x:t>
  </x:si>
  <x:si>
    <x:t xml:space="preserve">补齐全部恢复条件，重新提交核验获得PASS。</x:t>
  </x:si>
  <x:si>
    <x:t xml:space="preserve">新轮次有独立检查时刻及有效依据。</x:t>
  </x:si>
  <x:si>
    <x:t xml:space="preserve">制造再次异常</x:t>
  </x:si>
  <x:si>
    <x:t xml:space="preserve">PASS后、完成前让设备再次故障。</x:t>
  </x:si>
  <x:si>
    <x:t xml:space="preserve">完成时重查并拒绝，旧PASS不能覆盖新异常。</x:t>
  </x:si>
  <x:si>
    <x:t xml:space="preserve">重做有效核验</x:t>
  </x:si>
  <x:si>
    <x:t xml:space="preserve">修复后消除未恢复事件，重新核验并确认完成。</x:t>
  </x:si>
  <x:si>
    <x:t xml:space="preserve">只有当前符合且核验有效才完成。</x:t>
  </x:si>
  <x:si>
    <x:t xml:space="preserve">对照全历史</x:t>
  </x:si>
  <x:si>
    <x:t xml:space="preserve">检查各轮进展、核验失败、PASS与完成记录。</x:t>
  </x:si>
  <x:si>
    <x:t xml:space="preserve">顺序可追溯，前台不曾把失败阶段显示成已修好。</x:t>
  </x:si>
  <x:si>
    <x:t xml:space="preserve">准备两名人员</x:t>
  </x:si>
  <x:si>
    <x:t xml:space="preserve">甲乙账号均有同范围运维权限，打开同一待处理任务。</x:t>
  </x:si>
  <x:si>
    <x:t xml:space="preserve">页面版本相同且账号可区分。</x:t>
  </x:si>
  <x:si>
    <x:t xml:space="preserve">同时开始处理</x:t>
  </x:si>
  <x:si>
    <x:t xml:space="preserve">两人几乎同时提交开始。</x:t>
  </x:si>
  <x:si>
    <x:t xml:space="preserve">只有一次有效开始，处理人真实。</x:t>
  </x:si>
  <x:si>
    <x:t xml:space="preserve">冲突后刷新</x:t>
  </x:si>
  <x:si>
    <x:t xml:space="preserve">未成功者回查任务，不更换目标。</x:t>
  </x:si>
  <x:si>
    <x:t xml:space="preserve">看到最新阶段与版本，不覆盖他人操作。</x:t>
  </x:si>
  <x:si>
    <x:t xml:space="preserve">保存进展丢回复</x:t>
  </x:si>
  <x:si>
    <x:t xml:space="preserve">提交有效进展后模拟响应丢失。</x:t>
  </x:si>
  <x:si>
    <x:t xml:space="preserve">页面保留待确认状态及原提交编号。</x:t>
  </x:si>
  <x:si>
    <x:t xml:space="preserve">恢复并查询</x:t>
  </x:si>
  <x:si>
    <x:t xml:space="preserve">恢复网络，查询同任务当前事件。</x:t>
  </x:si>
  <x:si>
    <x:t xml:space="preserve">先查是否已办成，不直接再提交新动作。</x:t>
  </x:si>
  <x:si>
    <x:t xml:space="preserve">原请求重试</x:t>
  </x:si>
  <x:si>
    <x:t xml:space="preserve">开发协助使用同键同内容重放。</x:t>
  </x:si>
  <x:si>
    <x:t xml:space="preserve">不新增重复事件，返回当前权限下最新工作流。</x:t>
  </x:si>
  <x:si>
    <x:t xml:space="preserve">同键不同内容</x:t>
  </x:si>
  <x:si>
    <x:t xml:space="preserve">用相同提交编号提交另一内容。</x:t>
  </x:si>
  <x:si>
    <x:t xml:space="preserve">明确冲突，不执行第二个动作。</x:t>
  </x:si>
  <x:si>
    <x:t xml:space="preserve">处理中撤权</x:t>
  </x:si>
  <x:si>
    <x:t xml:space="preserve">管理员撤销甲权限，再尝试原请求重放和新操作。</x:t>
  </x:si>
  <x:si>
    <x:t xml:space="preserve">两者仍核对当前权限，不借幂等记录越权。</x:t>
  </x:si>
  <x:si>
    <x:t xml:space="preserve">检查消息已读</x:t>
  </x:si>
  <x:si>
    <x:t xml:space="preserve">甲乙分别标记已读并查看各自未读数。</x:t>
  </x:si>
  <x:si>
    <x:t xml:space="preserve">已读分用户，不改变任务状态和通知回执。</x:t>
  </x:si>
  <x:si>
    <x:t xml:space="preserve">核对审计与收尾</x:t>
  </x:si>
  <x:si>
    <x:t xml:space="preserve">核对开始、进展、拒绝、版本和任务历史。</x:t>
  </x:si>
  <x:si>
    <x:t xml:space="preserve">仅实际成功动作推进，失败与拒绝可追溯。</x:t>
  </x:si>
  <x:si>
    <x:t xml:space="preserve">准备退役测试档案</x:t>
  </x:si>
  <x:si>
    <x:t xml:space="preserve">选择专用可弃设备，预先留存任务、事件或证据。</x:t>
  </x:si>
  <x:si>
    <x:t xml:space="preserve">记录设备编号、身份及历史ID，不使用生产设备。</x:t>
  </x:si>
  <x:si>
    <x:t xml:space="preserve">启用状态尝试删除</x:t>
  </x:si>
  <x:si>
    <x:t xml:space="preserve">在仍启用时执行删除测试。</x:t>
  </x:si>
  <x:si>
    <x:t xml:space="preserve">要求先停用，台账不消失。</x:t>
  </x:si>
  <x:si>
    <x:t xml:space="preserve">忙碌状态尝试删除</x:t>
  </x:si>
  <x:si>
    <x:t xml:space="preserve">停用但保留测试未完成任务，再尝试删除。</x:t>
  </x:si>
  <x:si>
    <x:t xml:space="preserve">因活动工作拒绝，关联关系不损坏。</x:t>
  </x:si>
  <x:si>
    <x:t xml:space="preserve">完成收尾</x:t>
  </x:si>
  <x:si>
    <x:t xml:space="preserve">按允许流程结束或取消活动任务并确认设备停用。</x:t>
  </x:si>
  <x:si>
    <x:t xml:space="preserve">无遗留指令、调测或跟踪工作。</x:t>
  </x:si>
  <x:si>
    <x:t xml:space="preserve">填写原因删除</x:t>
  </x:si>
  <x:si>
    <x:t xml:space="preserve">携当前版本填写有效原因删除。</x:t>
  </x:si>
  <x:si>
    <x:t xml:space="preserve">逻辑删除并留审计，提交成功后重新读取。</x:t>
  </x:si>
  <x:si>
    <x:t xml:space="preserve">后台列表复查</x:t>
  </x:si>
  <x:si>
    <x:t xml:space="preserve">查台账、设备树、选项和统计。</x:t>
  </x:si>
  <x:si>
    <x:t xml:space="preserve">当前视图不再列出；删空末页回到有效页。</x:t>
  </x:si>
  <x:si>
    <x:t xml:space="preserve">前台地图复查</x:t>
  </x:si>
  <x:si>
    <x:t xml:space="preserve">在前台当前设备点和列表查同设备。</x:t>
  </x:si>
  <x:si>
    <x:t xml:space="preserve">不再显示为可用当前设备；不删除历史业务资料。</x:t>
  </x:si>
  <x:si>
    <x:t xml:space="preserve">历史记录复查</x:t>
  </x:si>
  <x:si>
    <x:t xml:space="preserve">按原任务、事件、命令、证据ID回看。</x:t>
  </x:si>
  <x:si>
    <x:t xml:space="preserve">历史仍可追溯，按历史权限读取。</x:t>
  </x:si>
  <x:si>
    <x:t xml:space="preserve">重复删除和身份复用</x:t>
  </x:si>
  <x:si>
    <x:t xml:space="preserve">再次删除，尝试新建同编号或同接入身份。</x:t>
  </x:si>
  <x:si>
    <x:t xml:space="preserve">不重复写删除事件，身份继续占用，不通过启用恢复。</x:t>
  </x:si>
  <x:si>
    <x:t xml:space="preserve">9bcb8019-1b02-45d3-b579-2d889edb3152</x:t>
  </x:si>
  <x:si>
    <x:t xml:space="preserve">重登核对</x:t>
  </x:si>
  <x:si>
    <x:t xml:space="preserve">前后台重登复查状态、数量及审计。</x:t>
  </x:si>
  <x:si>
    <x:t xml:space="preserve">结果稳定，历史和当前视图区分清楚。</x:t>
  </x:si>
  <x:si>
    <x:t xml:space="preserve">现有测试计划审查结论</x:t>
  </x:si>
  <x:si>
    <x:t xml:space="preserve">黄色列填写负责人和确认结果。自动模式仍在本轮范围；授权口径、短信时长等未确定时，相关正向测试不能宣布通过。</x:t>
  </x:si>
  <x:si>
    <x:t xml:space="preserve">处理顺序</x:t>
  </x:si>
  <x:si>
    <x:t xml:space="preserve">问题性质</x:t>
  </x:si>
  <x:si>
    <x:t xml:space="preserve">说清楚是什么问题</x:t>
  </x:si>
  <x:si>
    <x:t xml:space="preserve">核对发现</x:t>
  </x:si>
  <x:si>
    <x:t xml:space="preserve">测试计划怎么改</x:t>
  </x:si>
  <x:si>
    <x:t xml:space="preserve">依据</x:t>
  </x:si>
  <x:si>
    <x:t xml:space="preserve">关联位置</x:t>
  </x:si>
  <x:si>
    <x:t xml:space="preserve">确认意见或变更编号</x:t>
  </x:si>
  <x:si>
    <x:t xml:space="preserve">Q01</x:t>
  </x:si>
  <x:si>
    <x:t xml:space="preserve">必须先定</x:t>
  </x:si>
  <x:si>
    <x:t xml:space="preserve">授权口径冲突</x:t>
  </x:si>
  <x:si>
    <x:t xml:space="preserve">自动反制是否有可追溯的人为授权</x:t>
  </x:si>
  <x:si>
    <x:t xml:space="preserve">旧计划把规则通过后的自动反制当作正向通过。会议要求人在授权环节，当前代码用系统身份创建直接授权；不能仅凭代码存在就认定已满足业务授权。</x:t>
  </x:si>
  <x:si>
    <x:t xml:space="preserve">保留自动模式测试，但把授权人、授权范围、期限及允许自动执行的依据列为开测条件。缺依据时验证阻断，不能签正向通过。</x:t>
  </x:si>
  <x:si>
    <x:t xml:space="preserve">会议第1、5、15节；V1.1 第11章；AlarmRuleCounter、DirectDisposalAccess</x:t>
  </x:si>
  <x:si>
    <x:t xml:space="preserve">自动手动组合；F03/F04/F07/F08；R01–R03</x:t>
  </x:si>
  <x:si>
    <x:t xml:space="preserve">Q02</x:t>
  </x:si>
  <x:si>
    <x:t xml:space="preserve">必须先改</x:t>
  </x:si>
  <x:si>
    <x:t xml:space="preserve">配置理解错误</x:t>
  </x:si>
  <x:si>
    <x:t xml:space="preserve">关闭规则引擎不等于切成手动</x:t>
  </x:si>
  <x:si>
    <x:t xml:space="preserve">当前处罚通知代码在引擎关闭时允许自动发送；前提是已完成干扰且满足交接条件。原表没有单独覆盖这条分支。</x:t>
  </x:si>
  <x:si>
    <x:t xml:space="preserve">8种组合均在引擎正常运行下，通过每类规则启停切换。另测引擎关闭后的实际行为，记录与预期的差异。</x:t>
  </x:si>
  <x:si>
    <x:t xml:space="preserve">HandoffSubmissionService.automaticPunishmentSend；RuleManagementView</x:t>
  </x:si>
  <x:si>
    <x:t xml:space="preserve">自动手动组合；R04–R07</x:t>
  </x:si>
  <x:si>
    <x:t xml:space="preserve">Q03</x:t>
  </x:si>
  <x:si>
    <x:t xml:space="preserve">主流程漏步骤</x:t>
  </x:si>
  <x:si>
    <x:t xml:space="preserve">反制完成后还会接续信号干扰</x:t>
  </x:si>
  <x:si>
    <x:t xml:space="preserve">原流程写成设备反制结果后直接移送。当前代码是反制完成后尝试接续干扰，干扰完成才触发自动交接。两次设备动作不能算成一次。</x:t>
  </x:si>
  <x:si>
    <x:t xml:space="preserve">分别记录反制授权和命令、干扰子授权和命令、两次回执及父子关系。续链前重新检查资格，急停和过期分支单测。</x:t>
  </x:si>
  <x:si>
    <x:t xml:space="preserve">会议第5、10节；DisposalReceiptSync、DisposalJammingChain</x:t>
  </x:si>
  <x:si>
    <x:t xml:space="preserve">F01–F08步骤7；R08–R11</x:t>
  </x:si>
  <x:si>
    <x:t xml:space="preserve">Q04</x:t>
  </x:si>
  <x:si>
    <x:t xml:space="preserve">流程条件混用</x:t>
  </x:si>
  <x:si>
    <x:t xml:space="preserve">人工处罚交接不必先完成反制</x:t>
  </x:si>
  <x:si>
    <x:t xml:space="preserve">当前人工交接接口只要求事件已核实且满足权限等条件，不把反制完成当作前置；自动建交接、自动发送、人工补发也不是同一个动作。</x:t>
  </x:si>
  <x:si>
    <x:t xml:space="preserve">增加未反制但已核实的交接路径；分别验建交接、发通知、送达、签收、办理结果。前台没有入口时记录缺口，接口成功不能代替前台通过。</x:t>
  </x:si>
  <x:si>
    <x:t xml:space="preserve">HandoffRules；HandoffSubmissionService；PunishmentNotification</x:t>
  </x:si>
  <x:si>
    <x:t xml:space="preserve">F30；R12–R15</x:t>
  </x:si>
  <x:si>
    <x:t xml:space="preserve">Q05</x:t>
  </x:si>
  <x:si>
    <x:t xml:space="preserve">时间口径冲突</x:t>
  </x:si>
  <x:si>
    <x:t xml:space="preserve">短信观察3秒与10秒不一致</x:t>
  </x:si>
  <x:si>
    <x:t xml:space="preserve">前台项目约定短信观察10秒、电话后10秒；当前NotifyFlow写短信3秒、电话10秒。原表只说先确认，没有逐时间点判定。</x:t>
  </x:si>
  <x:si>
    <x:t xml:space="preserve">按已确认的10秒业务约定保留验收标准，记录当前3秒实现差异。要改为3秒需留下新确认，不得按代码自行放宽。</x:t>
  </x:si>
  <x:si>
    <x:t xml:space="preserve">前台AGENTS 2026-09-22；NotifyFlow 第7–8行；三个旧文档未规定本时长</x:t>
  </x:si>
  <x:si>
    <x:t xml:space="preserve">准备与流程；R16–R19</x:t>
  </x:si>
  <x:si>
    <x:t xml:space="preserve">Q06</x:t>
  </x:si>
  <x:si>
    <x:t xml:space="preserve">重要补齐</x:t>
  </x:si>
  <x:si>
    <x:t xml:space="preserve">业务主线覆盖不足</x:t>
  </x:si>
  <x:si>
    <x:t xml:space="preserve">鸟群和异物风险要单独走完</x:t>
  </x:si>
  <x:si>
    <x:t xml:space="preserve">已有鸟类不进入合法性页、风险核验和通知等检查，但没有以同一只鸟或同一群鸟从发现到通知、处置反馈、风险解除的独立流程。</x:t>
  </x:si>
  <x:si>
    <x:t xml:space="preserve">增加F27。无计划不应让鸟变成黑飞；收到通知不等于风险已解除。未知、识别中、算法推断分别留证。</x:t>
  </x:si>
  <x:si>
    <x:t xml:space="preserve">会议第3节及第12节六类场景；功能方案3.2；V1.1 2.3及7.2</x:t>
  </x:si>
  <x:si>
    <x:t xml:space="preserve">F27；R20–R24</x:t>
  </x:si>
  <x:si>
    <x:t xml:space="preserve">Q07</x:t>
  </x:si>
  <x:si>
    <x:t xml:space="preserve">融合验证太粗</x:t>
  </x:si>
  <x:si>
    <x:t xml:space="preserve">一条合并检查不足以验收三路融合</x:t>
  </x:si>
  <x:si>
    <x:t xml:space="preserve">已有同目标合并和相邻目标不误合并，但缺少稳定来源对应、单路掉线、只有雷达、时间乱序、恢复补传等分项记录。</x:t>
  </x:si>
  <x:si>
    <x:t xml:space="preserve">新增三路独立输入和降级恢复流程，按原始来源与统一目标对账；原始点、融合结果、预测段区分。精度指标由算法方确认。</x:t>
  </x:si>
  <x:si>
    <x:t xml:space="preserve">会议第2、4、9节；V1.1 第6章、13.2</x:t>
  </x:si>
  <x:si>
    <x:t xml:space="preserve">F28；R25–R30</x:t>
  </x:si>
  <x:si>
    <x:t xml:space="preserve">Q08</x:t>
  </x:si>
  <x:si>
    <x:t xml:space="preserve">历史版本取舍缺失</x:t>
  </x:si>
  <x:si>
    <x:t xml:space="preserve">不能照最早方案要求所有设备能力</x:t>
  </x:si>
  <x:si>
    <x:t xml:space="preserve">早期功能方案列ADS-B，V1.1明确不纳入；部分云台点动暂不支持；气球等类别可能来自算法，遥控器也不能算成第二架无人机。</x:t>
  </x:si>
  <x:si>
    <x:t xml:space="preserve">采用V1.1已明确的设备边界，新增来源标记、遥控器统计、任务式跟踪和不支持能力提示。若后来已支持，以新协议版本留证。</x:t>
  </x:si>
  <x:si>
    <x:t xml:space="preserve">V1.1 P0505、P0929–P0931、P1798及目标类型章节</x:t>
  </x:si>
  <x:si>
    <x:t xml:space="preserve">F29；R22–R24、R31–R33</x:t>
  </x:si>
  <x:si>
    <x:t xml:space="preserve">Q09</x:t>
  </x:si>
  <x:si>
    <x:t xml:space="preserve">空间时间验收不够细</x:t>
  </x:si>
  <x:si>
    <x:t xml:space="preserve">高度基准与规则版本要分开测</x:t>
  </x:si>
  <x:si>
    <x:t xml:space="preserve">原计划只笼统检查地图位置和高度含义。当前后端已有AGL/AMSL同基准比较、版本和时间窗逻辑，需要可复现的边界数据。</x:t>
  </x:si>
  <x:si>
    <x:t xml:space="preserve">分别测真高与海拔高、缺基准、边界点、时间起止、版本切换及历史依据不漂移。只通过现有授权入口准备数据。</x:t>
  </x:si>
  <x:si>
    <x:t xml:space="preserve">V1.1 3.4、7.4、8.5；CheckSupport、AirspaceCoverageCheck、AirspaceWriteService</x:t>
  </x:si>
  <x:si>
    <x:t xml:space="preserve">R34–R39；原AIR/SIM</x:t>
  </x:si>
  <x:si>
    <x:t xml:space="preserve">Q10</x:t>
  </x:si>
  <x:si>
    <x:t xml:space="preserve">执行记录容易假完整</x:t>
  </x:si>
  <x:si>
    <x:t xml:space="preserve">多个子场景不能共用一个通过</x:t>
  </x:si>
  <x:si>
    <x:t xml:space="preserve">F14–F18等把多个子批次合在一个结果里；原流程公式只数通过，没有检查实际结果、执行人、时间、证据及事件编号是否填写。</x:t>
  </x:si>
  <x:si>
    <x:t xml:space="preserve">补充单独子场景记录；全流程全部通过后还要检查每一步的证据字段。未跑的子批次不能由另一批次代替。</x:t>
  </x:si>
  <x:si>
    <x:t xml:space="preserve">现有Excel 全流程验收与流程步骤记录；前台AGENTS 批次留痕约定</x:t>
  </x:si>
  <x:si>
    <x:t xml:space="preserve">F14–F18；R40–R45；流程结果公式</x:t>
  </x:si>
  <x:si>
    <x:t xml:space="preserve">Q11</x:t>
  </x:si>
  <x:si>
    <x:t xml:space="preserve">性能验证范围不足</x:t>
  </x:si>
  <x:si>
    <x:t xml:space="preserve">页面快不代表整条链路及时</x:t>
  </x:si>
  <x:si>
    <x:t xml:space="preserve">已有页面20次p50/p95测量，缺少目标上报到前台显示、告警生成、设备受理、多人监视等链路测量；文档没有已确认的统一数值门槛。</x:t>
  </x:si>
  <x:si>
    <x:t xml:space="preserve">补采链路时间和负载，先确认用户数、目标数、频率及允许时延。未确认门槛只报测量结果，不能直接判性能达标。</x:t>
  </x:si>
  <x:si>
    <x:t xml:space="preserve">V1.1 13.1；原NET-06</x:t>
  </x:si>
  <x:si>
    <x:t xml:space="preserve">R46–R48</x:t>
  </x:si>
  <x:si>
    <x:t xml:space="preserve">Q12</x:t>
  </x:si>
  <x:si>
    <x:t xml:space="preserve">开测前记录</x:t>
  </x:si>
  <x:si>
    <x:t xml:space="preserve">验收版本和范围不清</x:t>
  </x:si>
  <x:si>
    <x:t xml:space="preserve">旧页面数量不能当当前验收目录</x:t>
  </x:si>
  <x:si>
    <x:t xml:space="preserve">会议14页、V1.1十个业务页面、当前前后台拆分属于不同版本。代码存在多处未提交改动，正在运行的服务不一定就是本次读到的源码。</x:t>
  </x:si>
  <x:si>
    <x:t xml:space="preserve">按当前入口和职责验前台，后台配合验证配置权限及审计；保存前后端版本、配置、模拟批次。旧功能是否恢复另作需求决定，不写成默认缺陷。</x:t>
  </x:si>
  <x:si>
    <x:t xml:space="preserve">会议第10节；V1.1第8章；前后台AGENTS与当前路由</x:t>
  </x:si>
  <x:si>
    <x:t xml:space="preserve">测试总览开测条件；全部流程</x:t>
  </x:si>
  <x:si>
    <x:t xml:space="preserve">历史资料：《无人机融合感知平台_会议纪要_说人话版》2026-08-23；《系统设计方案_V1.1》；《无人机融合感知与低空飞行安全管理平台方案》。</x:t>
  </x:si>
  <x:si>
    <x:t xml:space="preserve">采用顺序：用户本次要求与后续已确认约定优先；V1.1已明确修订的设备能力优先于早期方案；代码用于说明现状，不自动成为业务验收标准。</x:t>
  </x:si>
  <x:si>
    <x:t xml:space="preserve">保留当前前后台分工、取消人工现场记录、设备回执为准、显式直接反制权限等约定。不因旧会议的页面数量而要求恢复旧页面。</x:t>
  </x:si>
  <x:si>
    <x:t xml:space="preserve">本次未登录执行业务、未启停配置、未发送通知或设备指令。现有源码有未提交改动，运行服务版本及实际启用配置需由执行人员记录。</x:t>
  </x:si>
  <x:si>
    <x:t xml:space="preserve">详细代码定位见同目录《前台测试计划审查说明-2026-09-27.md》。本表负责需求核对，执行结果仍填写原模块、流程及补充测试清单。</x:t>
  </x:si>
  <x:si>
    <x:t xml:space="preserve">补充测试清单</x:t>
  </x:si>
  <x:si>
    <x:t xml:space="preserve">新增48项，针对会议要求、当前分支和原表漏测补充。每行单独记录；R29等含对照输入的项目，实际记录须逐项写明输入与结果。</x:t>
  </x:si>
  <x:si>
    <x:t xml:space="preserve">H至L为黄色填写区。写通过后还需填写实际结果、批次、证据与关联编号、执行人和日期，M列才显示记录齐全。</x:t>
  </x:si>
  <x:si>
    <x:t xml:space="preserve">模块</x:t>
  </x:si>
  <x:si>
    <x:t xml:space="preserve">场景和准备条件</x:t>
  </x:si>
  <x:si>
    <x:t xml:space="preserve">实际结果及批次</x:t>
  </x:si>
  <x:si>
    <x:t xml:space="preserve">证据位置及关联编号</x:t>
  </x:si>
  <x:si>
    <x:t xml:space="preserve">执行人</x:t>
  </x:si>
  <x:si>
    <x:t xml:space="preserve">执行日期</x:t>
  </x:si>
  <x:si>
    <x:t xml:space="preserve">记录检查</x:t>
  </x:si>
  <x:si>
    <x:t xml:space="preserve">R01</x:t>
  </x:si>
  <x:si>
    <x:t xml:space="preserve">授权</x:t>
  </x:si>
  <x:si>
    <x:t xml:space="preserve">规则自动反制缺少明确授权依据
引擎正常，规则满足，测试设备可用；授权依据尚未确认。</x:t>
  </x:si>
  <x:si>
    <x:t xml:space="preserve">记录系统生成的授权方式、发起人和依据，不启动真实设备。
留证：授权依据、系统授权记录、规则版本</x:t>
  </x:si>
  <x:si>
    <x:t xml:space="preserve">不能凭系统自建DIRECT就认定业务授权合格；确认前此正向验收项填暂时测不了。</x:t>
  </x:si>
  <x:si>
    <x:t xml:space="preserve">R02</x:t>
  </x:si>
  <x:si>
    <x:t xml:space="preserve">人工直接授权被撤销后排队下发
人工DIRECT仍排队，随后由管理员撤回显式权限。</x:t>
  </x:si>
  <x:si>
    <x:t xml:space="preserve">等待队列尝试下发，回查设备收令。
留证：撤权时刻、队列检查、设备命令</x:t>
  </x:si>
  <x:si>
    <x:t xml:space="preserve">撤权后不继续下发；已发指令保留事实；管理员身份不替代权限。</x:t>
  </x:si>
  <x:si>
    <x:t xml:space="preserve">R03</x:t>
  </x:si>
  <x:si>
    <x:t xml:space="preserve">系统自动身份与人员权限分开
分别准备自动规则发起与普通人员直接发起的同类测试事件。</x:t>
  </x:si>
  <x:si>
    <x:t xml:space="preserve">对照请求人、审批人、授权方式和审计。
留证：两批事件和授权、审计</x:t>
  </x:si>
  <x:si>
    <x:t xml:space="preserve">自动身份不伪装成人员审批；普通人员仍要求显式direct。系统身份的授权来源单独说明。</x:t>
  </x:si>
  <x:si>
    <x:t xml:space="preserve">R04</x:t>
  </x:si>
  <x:si>
    <x:t xml:space="preserve">配置</x:t>
  </x:si>
  <x:si>
    <x:t xml:space="preserve">引擎开启但某类没有启用规则
引擎健康；核实类别0条启用，其他类别保持固定。</x:t>
  </x:si>
  <x:si>
    <x:t xml:space="preserve">输入待核实事件并观察，再用有权账号核实。
留证：配置回读、运行状态、核实历史</x:t>
  </x:si>
  <x:si>
    <x:t xml:space="preserve">该类暂停自动处理；人工入口按权限可用。不得把0条规则当全部条件通过。</x:t>
  </x:si>
  <x:si>
    <x:t xml:space="preserve">R05</x:t>
  </x:si>
  <x:si>
    <x:t xml:space="preserve">引擎关闭后的处罚通知
测试事件已干扰完成，接收方唯一，模拟通知可用。</x:t>
  </x:si>
  <x:si>
    <x:t xml:space="preserve">关闭引擎后观察后台调度和模拟收件箱，不点发送。
留证：引擎配置、干扰回执、投递记录</x:t>
  </x:si>
  <x:si>
    <x:t xml:space="preserve">当前实现可能自动发通知；如本轮要求手动，应记配置语义问题，不能按手动组合通过。</x:t>
  </x:si>
  <x:si>
    <x:t xml:space="preserve">R06</x:t>
  </x:si>
  <x:si>
    <x:t xml:space="preserve">通知处罚规则全部停用
引擎开启且健康；已干扰完成；dispose无启用规则。</x:t>
  </x:si>
  <x:si>
    <x:t xml:space="preserve">查看交接和投递，再由有权人员点击通知。
留证：交接ID、等待原因、人工发送回执</x:t>
  </x:si>
  <x:si>
    <x:t xml:space="preserve">可以已有冻结交接，但自动投递等待规则；人工通知按权限执行一次。</x:t>
  </x:si>
  <x:si>
    <x:t xml:space="preserve">R07</x:t>
  </x:si>
  <x:si>
    <x:t xml:space="preserve">规则一条满足另一条不满足
同类别启用两条可独立控制的规则。</x:t>
  </x:si>
  <x:si>
    <x:t xml:space="preserve">先只满足一条，再持续满足两条。
留证：规则版本、逐条判定、触发时刻</x:t>
  </x:si>
  <x:si>
    <x:t xml:space="preserve">先不自动通过；全部满足且持续时间达标才通过，记录每条实际依据。</x:t>
  </x:si>
  <x:si>
    <x:t xml:space="preserve">R08</x:t>
  </x:si>
  <x:si>
    <x:t xml:space="preserve">设备链路</x:t>
  </x:si>
  <x:si>
    <x:t xml:space="preserve">反制完成后接续干扰
批准或明确授权的持续违规测试事件，测试设备可用。</x:t>
  </x:si>
  <x:si>
    <x:t xml:space="preserve">先确认反制回执，再观察干扰子授权、命令和回执。
留证：父子授权ID、两条命令及回执</x:t>
  </x:si>
  <x:si>
    <x:t xml:space="preserve">两次动作各有记录，父子授权可追溯；第二次不能套用第一次成功。</x:t>
  </x:si>
  <x:si>
    <x:t xml:space="preserve">R09</x:t>
  </x:si>
  <x:si>
    <x:t xml:space="preserve">反制完成但续链时依据失效
反制已回执，干扰续链前使有效观测过期。</x:t>
  </x:si>
  <x:si>
    <x:t xml:space="preserve">观察干扰是否仍被创建或下发。
留证：观测时间、阻断原因、设备收令</x:t>
  </x:si>
  <x:si>
    <x:t xml:space="preserve">旧观测不能支持新的干扰动作；反制已完成事实保留。</x:t>
  </x:si>
  <x:si>
    <x:t xml:space="preserve">R10</x:t>
  </x:si>
  <x:si>
    <x:t xml:space="preserve">直接授权到期后不能续链
DIRECT授权窗口将结束，干扰尚未发送。</x:t>
  </x:si>
  <x:si>
    <x:t xml:space="preserve">到期后让续链或队列检查运行。
留证：原有效期、检查时间、无新增指令证据</x:t>
  </x:si>
  <x:si>
    <x:t xml:space="preserve">不得延长原DIRECT窗口；未发送动作阻断，不伪造审批人。</x:t>
  </x:si>
  <x:si>
    <x:t xml:space="preserve">R11</x:t>
  </x:si>
  <x:si>
    <x:t xml:space="preserve">干扰失败不能算整链成功
反制成功，干扰测试设备返回失败或明确拒绝。</x:t>
  </x:si>
  <x:si>
    <x:t xml:space="preserve">查两段授权、告警详情和自动交接。
留证：两段结果、交接查询、设备日志</x:t>
  </x:si>
  <x:si>
    <x:t xml:space="preserve">反制成功与干扰失败分别显示；不能凭反制成功触发干扰完成分支。</x:t>
  </x:si>
  <x:si>
    <x:t xml:space="preserve">R12</x:t>
  </x:si>
  <x:si>
    <x:t xml:space="preserve">处罚交接</x:t>
  </x:si>
  <x:si>
    <x:t xml:space="preserve">未反制的属实事件人工交接
属实事件、可见范围、handoff:create及可用接收方齐全；没有反制记录。</x:t>
  </x:si>
  <x:si>
    <x:t xml:space="preserve">通过现有获准入口提交；若仅有接口由开发配合并记录前台入口缺口。
留证：事件、提交入口、交接及入口缺口</x:t>
  </x:si>
  <x:si>
    <x:t xml:space="preserve">服务端不以反制未完成为由拒绝；其他条件仍检查。接口通过不代替前台流程通过。</x:t>
  </x:si>
  <x:si>
    <x:t xml:space="preserve">R13</x:t>
  </x:si>
  <x:si>
    <x:t xml:space="preserve">仅完成反制不等于自动交接条件齐全
反制完成，干扰仍未完成，未人工建立交接。</x:t>
  </x:si>
  <x:si>
    <x:t xml:space="preserve">观察后台自动建交接和通知记录。
留证：两段状态、调度、交接查询</x:t>
  </x:si>
  <x:si>
    <x:t xml:space="preserve">不能把反制完成直接当干扰完成；实际自动交接触发条件需满足。</x:t>
  </x:si>
  <x:si>
    <x:t xml:space="preserve">R14</x:t>
  </x:si>
  <x:si>
    <x:t xml:space="preserve">接收方不是唯一时自动交接
干扰完成，存在两个有效处罚接收方。</x:t>
  </x:si>
  <x:si>
    <x:t xml:space="preserve">等待调度，查看阻断和可用人工处理入口。
留证：接收方配置、交接查询、提示</x:t>
  </x:si>
  <x:si>
    <x:t xml:space="preserve">当前自动建交接不应任意挑一个；说明缺少唯一接收方，不假装已送达。</x:t>
  </x:si>
  <x:si>
    <x:t xml:space="preserve">R15</x:t>
  </x:si>
  <x:si>
    <x:t xml:space="preserve">迟到签收不改成处罚办结
模拟通知已送达且签收超时。</x:t>
  </x:si>
  <x:si>
    <x:t xml:space="preserve">补入与原交接对应的有效迟到签收回执。
留证：原交接ID、回执ID、结果页</x:t>
  </x:si>
  <x:si>
    <x:t xml:space="preserve">只更新对应投递或签收事实；不另建交接、不自动形成处罚决定。</x:t>
  </x:si>
  <x:si>
    <x:t xml:space="preserve">R16</x:t>
  </x:si>
  <x:si>
    <x:t xml:space="preserve">通知计时</x:t>
  </x:si>
  <x:si>
    <x:t xml:space="preserve">短信送达后3秒节点
有飞手、短信电话均可用，目标持续有效在域。</x:t>
  </x:si>
  <x:si>
    <x:t xml:space="preserve">以短信送达时刻起计，在3秒前后记录电话和阶段。
留证：送达、电话任务、观测的时间戳</x:t>
  </x:si>
  <x:si>
    <x:t xml:space="preserve">按现有10秒约定此时不能提前打电话；若3秒已升级记录缺陷，不改预期凑通过。</x:t>
  </x:si>
  <x:si>
    <x:t xml:space="preserve">R17</x:t>
  </x:si>
  <x:si>
    <x:t xml:space="preserve">短信送达后10秒节点
目标持续在域且短信已送达。</x:t>
  </x:si>
  <x:si>
    <x:t xml:space="preserve">在10秒前后记录新位置和电话任务；同时记录调度周期。
留证：送达、有效位置、任务创建时间</x:t>
  </x:si>
  <x:si>
    <x:t xml:space="preserve">满10秒且当前依据满足后才允许升级；允许的调度延迟需记录，不把提前触发算正常。</x:t>
  </x:si>
  <x:si>
    <x:t xml:space="preserve">R18</x:t>
  </x:si>
  <x:si>
    <x:t xml:space="preserve">电话播放后10秒节点
电话播放完成，目标持续上报有效位置。</x:t>
  </x:si>
  <x:si>
    <x:t xml:space="preserve">以播放完成时刻起计检查9秒和10秒后的阶段。
留证：拨号、播放完成、阶段时间</x:t>
  </x:si>
  <x:si>
    <x:t xml:space="preserve">观察未满不升级；满足当前条件后进入待反制。拨号时间不冒充播放完成时间。</x:t>
  </x:si>
  <x:si>
    <x:t xml:space="preserve">R19</x:t>
  </x:si>
  <x:si>
    <x:t xml:space="preserve">短信只有提交没有送达
短信返回提交成功，但不提供送达回执。</x:t>
  </x:si>
  <x:si>
    <x:t xml:space="preserve">持续观察前台通知进度与电话任务。
留证：发送记录、回执查询、阶段</x:t>
  </x:si>
  <x:si>
    <x:t xml:space="preserve">不能以点击或提交时间冒充送达时间启动后续计时；真实未送达或未知要保留。</x:t>
  </x:si>
  <x:si>
    <x:t xml:space="preserve">R20</x:t>
  </x:si>
  <x:si>
    <x:t xml:space="preserve">异物风险</x:t>
  </x:si>
  <x:si>
    <x:t xml:space="preserve">鸟进入重点区域全流程
鸟类输入与重点区域资料齐全，模拟上级通知可用。</x:t>
  </x:si>
  <x:si>
    <x:t xml:space="preserve">按F27跑发现、风险、核验、通知、反馈和历史。
留证：目标、风险、通知、回执和历史ID</x:t>
  </x:si>
  <x:si>
    <x:t xml:space="preserve">进入风险主线，不因没计划判黑飞或走无人机反制链。</x:t>
  </x:si>
  <x:si>
    <x:t xml:space="preserve">R21</x:t>
  </x:si>
  <x:si>
    <x:t xml:space="preserve">上级签收但鸟群仍在
同一鸟群风险已通知并签收，继续上报风险位置。</x:t>
  </x:si>
  <x:si>
    <x:t xml:space="preserve">回到空域与飞行计划当前风险列表。
留证：签收、持续观测、当前风险</x:t>
  </x:si>
  <x:si>
    <x:t xml:space="preserve">风险仍按实际依据存在；签收不自动清除，历史通知保留。</x:t>
  </x:si>
  <x:si>
    <x:t xml:space="preserve">R22</x:t>
  </x:si>
  <x:si>
    <x:t xml:space="preserve">类别来源</x:t>
  </x:si>
  <x:si>
    <x:t xml:space="preserve">气球细分类来自算法
使用可追溯算法样本，上游原始类别为未知或识别中。</x:t>
  </x:si>
  <x:si>
    <x:t xml:space="preserve">看类别、细分类、来源与算法版本说明。
留证：原始类别、算法结果、前台标签</x:t>
  </x:si>
  <x:si>
    <x:t xml:space="preserve">不伪称设备直接识别；能力未验证时明确算法推断或未知。</x:t>
  </x:si>
  <x:si>
    <x:t xml:space="preserve">R23</x:t>
  </x:si>
  <x:si>
    <x:t xml:space="preserve">识别中目标不强行判无人机
输入协议255或当前协议等价识别中目标。</x:t>
  </x:si>
  <x:si>
    <x:t xml:space="preserve">看融合感知、合法性、风险和自动动作。
留证：原始枚举、目标详情、自动记录</x:t>
  </x:si>
  <x:si>
    <x:t xml:space="preserve">未知/识别中如实显示，不默认无人机或合法，不误触发无人机反制。</x:t>
  </x:si>
  <x:si>
    <x:t xml:space="preserve">R24</x:t>
  </x:si>
  <x:si>
    <x:t xml:space="preserve">统计口径</x:t>
  </x:si>
  <x:si>
    <x:t xml:space="preserve">遥控器不能多算一架无人机
同一批次输入无人机与关联遥控器。</x:t>
  </x:si>
  <x:si>
    <x:t xml:space="preserve">核对两个对象身份、关联以及无人机统计。
留证：原始报文、关联、统计</x:t>
  </x:si>
  <x:si>
    <x:t xml:space="preserve">位置对象可以分别记录，但不能把遥控器算成第二架无人机；来源可追溯。</x:t>
  </x:si>
  <x:si>
    <x:t xml:space="preserve">R25</x:t>
  </x:si>
  <x:si>
    <x:t xml:space="preserve">三路融合</x:t>
  </x:si>
  <x:si>
    <x:t xml:space="preserve">三路观察同一个目标
融合箱、5G-A、TDOA三路使用一致时空的同一目标样本。</x:t>
  </x:si>
  <x:si>
    <x:t xml:space="preserve">按F28核对原始来源及统一目标。
留证：三路输入、统一目标ID、轨迹ID</x:t>
  </x:si>
  <x:si>
    <x:t xml:space="preserve">保留三路来源映射，统一目标不重复计数；不能只换来源标签假装三路接入。</x:t>
  </x:si>
  <x:si>
    <x:t xml:space="preserve">R26</x:t>
  </x:si>
  <x:si>
    <x:t xml:space="preserve">两个相邻目标不能误合并
三路同时观测两架相近且交叉飞行的目标。</x:t>
  </x:si>
  <x:si>
    <x:t xml:space="preserve">回放相遇前、中、后，核对各目标来源与轨迹。
留证：样本真值、原始与融合ID序列</x:t>
  </x:si>
  <x:si>
    <x:t xml:space="preserve">不互换身份，不把两架合成一架；异常要能按原始记录定位。</x:t>
  </x:si>
  <x:si>
    <x:t xml:space="preserve">R27</x:t>
  </x:si>
  <x:si>
    <x:t xml:space="preserve">只有雷达也保留有效轨迹
TDOA及5G-A不发送，雷达持续正常上报。</x:t>
  </x:si>
  <x:si>
    <x:t xml:space="preserve">看原始点、轨迹、来源与降级说明。
留证：雷达原始帧、轨迹、来源</x:t>
  </x:si>
  <x:si>
    <x:t xml:space="preserve">能按现有算法形成轨迹；缺少辅助来源如实说明，不编造身份及可靠度。</x:t>
  </x:si>
  <x:si>
    <x:t xml:space="preserve">第八轮：单雷达批次sim-0928111537-2d27产生目标010、34点实测轨迹及真实研判；未编造TDOA或5G-A来源。长稳单雷达批次继续实际上报。</x:t>
  </x:si>
  <x:si>
    <x:t xml:space="preserve">r8-control-finish.json; r8-chain-initial.json; r8-soak-scenario.json</x:t>
  </x:si>
  <x:si>
    <x:t xml:space="preserve">R28</x:t>
  </x:si>
  <x:si>
    <x:t xml:space="preserve">一路掉线后恢复
三路已稳定观测，只停止TDOA一路再恢复。</x:t>
  </x:si>
  <x:si>
    <x:t xml:space="preserve">检查来源健康、目标连续性、来源恢复过程。
留证：停发/恢复时间、目标ID序列</x:t>
  </x:si>
  <x:si>
    <x:t xml:space="preserve">不凭掉线判飞离，不新建重复目标；降级可见、恢复可追溯。</x:t>
  </x:si>
  <x:si>
    <x:t xml:space="preserve">重复乱序和未来时间数据
一条固定轨迹，另发送相同记录、旧时刻点和未来时刻点。</x:t>
  </x:si>
  <x:si>
    <x:t xml:space="preserve">每个输入单独保存处理结果，检查当前位置及告警。
留证：原始时间、接收时间、处理结果</x:t>
  </x:si>
  <x:si>
    <x:t xml:space="preserve">按契约去重和隔离异常时间；旧点不顶掉新位置，未来点不让有效性永久通过。</x:t>
  </x:si>
  <x:si>
    <x:t xml:space="preserve">R30</x:t>
  </x:si>
  <x:si>
    <x:t xml:space="preserve">恢复后历史补传不触发新动作
断连期间缓存旧违规样本，恢复后标为补传。</x:t>
  </x:si>
  <x:si>
    <x:t xml:space="preserve">回查历史、实时态势、告警和设备指令。
留证：补传标记、原始时间、实时动作查询</x:t>
  </x:si>
  <x:si>
    <x:t xml:space="preserve">补传按确认策略进历史，不当最新观测重触发通知或反制；若当前不支持需记录缺口。</x:t>
  </x:si>
  <x:si>
    <x:t xml:space="preserve">R31</x:t>
  </x:si>
  <x:si>
    <x:t xml:space="preserve">设备能力</x:t>
  </x:si>
  <x:si>
    <x:t xml:space="preserve">当前数据源不虚构ADS-B
以已登记协议版本和三路来源运行。</x:t>
  </x:si>
  <x:si>
    <x:t xml:space="preserve">核对来源选项、详情与模拟数据标签。
留证：协议清单、前台来源</x:t>
  </x:si>
  <x:si>
    <x:t xml:space="preserve">V1.1范围内不虚构ADS-B来源；若后来接入须有新增协议与确认记录。</x:t>
  </x:si>
  <x:si>
    <x:t xml:space="preserve">R32</x:t>
  </x:si>
  <x:si>
    <x:t xml:space="preserve">光电联动</x:t>
  </x:si>
  <x:si>
    <x:t xml:space="preserve">雷达目标交给光电跟踪
雷达目标有效，测试光电设备支持任务式跟踪。</x:t>
  </x:si>
  <x:si>
    <x:t xml:space="preserve">按F29下任务，核对目标、设备、回执、视频和证据。
留证：雷达轨迹、光电任务、画面关联</x:t>
  </x:si>
  <x:si>
    <x:t xml:space="preserve">任务受理、跟踪和视频可用分开显示；画面不能串到旁边目标。</x:t>
  </x:si>
  <x:si>
    <x:t xml:space="preserve">R33</x:t>
  </x:si>
  <x:si>
    <x:t xml:space="preserve">不支持的云台动作有说明
协议将角度定位或CameraStatus标为不支持/待确认。</x:t>
  </x:si>
  <x:si>
    <x:t xml:space="preserve">查看业务跟踪和后台对应调测能力。
留证：协议版本、能力提示、任务结果</x:t>
  </x:si>
  <x:si>
    <x:t xml:space="preserve">不把暂不支持能力验为可用；任务式跟踪不被无关点动能力误阻断。</x:t>
  </x:si>
  <x:si>
    <x:t xml:space="preserve">R34</x:t>
  </x:si>
  <x:si>
    <x:t xml:space="preserve">空间规则</x:t>
  </x:si>
  <x:si>
    <x:t xml:space="preserve">真高与海拔高分别比较
目标真高80米、海拔130米；准备真高限100和海拔限120两组空域。</x:t>
  </x:si>
  <x:si>
    <x:t xml:space="preserve">分别进入两组空间并查看判定依据。
留证：目标双高度、空域基准、判定明细</x:t>
  </x:si>
  <x:si>
    <x:t xml:space="preserve">同基准比较：真高组不因130误报，海拔组按130超120判断。</x:t>
  </x:si>
  <x:si>
    <x:t xml:space="preserve">R35</x:t>
  </x:si>
  <x:si>
    <x:t xml:space="preserve">只有一种高度不能代替另一种
空域要求AGL，目标只有AMSL，其他条件正常。</x:t>
  </x:si>
  <x:si>
    <x:t xml:space="preserve">查看研判和后续自动动作。
留证：输入字段、研判缺口、动作查询</x:t>
  </x:si>
  <x:si>
    <x:t xml:space="preserve">缺少同基准高度显示未知或缺依据，不用海拔代替真高，不自动通过。</x:t>
  </x:si>
  <x:si>
    <x:t xml:space="preserve">R36</x:t>
  </x:si>
  <x:si>
    <x:t xml:space="preserve">边界内外与边界点
采用已确认空间关系规则，三组坐标分别位于内、外、边界。</x:t>
  </x:si>
  <x:si>
    <x:t xml:space="preserve">通过授权入口输入并检查空间判定。
留证：WGS84坐标、边界规则、判定</x:t>
  </x:si>
  <x:si>
    <x:t xml:space="preserve">按后台空间关系和边界规则一致处理；地图像素不能代替坐标判定。</x:t>
  </x:si>
  <x:si>
    <x:t xml:space="preserve">R37</x:t>
  </x:si>
  <x:si>
    <x:t xml:space="preserve">生效时间起止边界
固定版本有效区间，分别在开始前、开始、结束前、结束输入。</x:t>
  </x:si>
  <x:si>
    <x:t xml:space="preserve">记录设备时间、服务时间与命中版本。
留证：区间、四个时间点、版本命中</x:t>
  </x:si>
  <x:si>
    <x:t xml:space="preserve">按确认的左闭右开等契约执行，不在结束时继续误命中；不混用北京时间与UTC。</x:t>
  </x:si>
  <x:si>
    <x:t xml:space="preserve">R38</x:t>
  </x:si>
  <x:si>
    <x:t xml:space="preserve">更新规则不改写历史依据
原版本已产生研判和冻结材料，再经授权入口发布新版本。</x:t>
  </x:si>
  <x:si>
    <x:t xml:space="preserve">新数据重新判断，旧研判和交接材料回看。
留证：前后版本、两次判定、冻结材料</x:t>
  </x:si>
  <x:si>
    <x:t xml:space="preserve">新数据引用新版本，旧结论保持当时版本；重叠/冲突不任意挑选。</x:t>
  </x:si>
  <x:si>
    <x:t xml:space="preserve">R39</x:t>
  </x:si>
  <x:si>
    <x:t xml:space="preserve">地图定位</x:t>
  </x:si>
  <x:si>
    <x:t xml:space="preserve">业务坐标与底图坐标一致
选取可核对的设备点、空域拐点、目标点和路线点。</x:t>
  </x:si>
  <x:si>
    <x:t xml:space="preserve">同一WGS84数据在模拟器与前台对照；记录所用底图坐标系。
留证：坐标样本、底图声明、截图</x:t>
  </x:si>
  <x:si>
    <x:t xml:space="preserve">需要显示转换时正确转换且不重复转换；业务数据保持约定坐标系。</x:t>
  </x:si>
  <x:si>
    <x:t xml:space="preserve">R40</x:t>
  </x:si>
  <x:si>
    <x:t xml:space="preserve">子场景拆分</x:t>
  </x:si>
  <x:si>
    <x:t xml:space="preserve">没有核验飞手
核实属实且当前违规依据足够，没有核验飞手。</x:t>
  </x:si>
  <x:si>
    <x:t xml:space="preserve">单独批次跑F14，查看短信电话及待反制。
留证：独立批次、通知查询、阶段</x:t>
  </x:si>
  <x:si>
    <x:t xml:space="preserve">不虚构飞手和通知；按现行规则进入待反制，反制另查安全条件。</x:t>
  </x:si>
  <x:si>
    <x:t xml:space="preserve">第八轮：新模拟目标003核实属实，未配置已核验飞手，进入待反制，短信和电话均无实际发送；反制资格独立检查。</x:t>
  </x:si>
  <x:si>
    <x:t xml:space="preserve">r8-verification-after.json; r8-confirmed-ui.txt</x:t>
  </x:si>
  <x:si>
    <x:t xml:space="preserve">R41</x:t>
  </x:si>
  <x:si>
    <x:t xml:space="preserve">短信通道不可用
飞手已核验，短信不可用，其余条件足够。</x:t>
  </x:si>
  <x:si>
    <x:t xml:space="preserve">单独批次跑F14并检查通知和状态。
留证：通道配置、阶段、未送达记录</x:t>
  </x:si>
  <x:si>
    <x:t xml:space="preserve">不冒充短信送达；按现行规则进入待反制，不能绕过反制资格。</x:t>
  </x:si>
  <x:si>
    <x:t xml:space="preserve">R42</x:t>
  </x:si>
  <x:si>
    <x:t xml:space="preserve">电话通道不可用
飞手已核验且短信可用，电话不可用。</x:t>
  </x:si>
  <x:si>
    <x:t xml:space="preserve">单独批次跑F14，记录短信送达后的观察时间。
留证：短信送达、观察时间、阶段</x:t>
  </x:si>
  <x:si>
    <x:t xml:space="preserve">仍先短信观察；时长按确认标准，不因电话不可用立即跳过。</x:t>
  </x:si>
  <x:si>
    <x:t xml:space="preserve">R43</x:t>
  </x:si>
  <x:si>
    <x:t xml:space="preserve">切换时机</x:t>
  </x:si>
  <x:si>
    <x:t xml:space="preserve">核实前自动改手动
核实规则还未实际执行，其余类别固定。</x:t>
  </x:si>
  <x:si>
    <x:t xml:space="preserve">关闭核实类启用规则并回读，输入新批次。
留证：配置版本、生效时刻、核实历史</x:t>
  </x:si>
  <x:si>
    <x:t xml:space="preserve">生效后的新批次不自动核实；操作与调度并发时按提交/生效事实判定。</x:t>
  </x:si>
  <x:si>
    <x:t xml:space="preserve">R44</x:t>
  </x:si>
  <x:si>
    <x:t xml:space="preserve">反制排队时自动改手动
自动已建授权但设备命令尚在排队。</x:t>
  </x:si>
  <x:si>
    <x:t xml:space="preserve">关闭反制类规则，记录保存与实际下发时刻。
留证：配置、队列、下发、授权四个时间</x:t>
  </x:si>
  <x:si>
    <x:t xml:space="preserve">检查队列是否重新读取配置；不能仅凭保存成功判停止。若仍下发，记录与切换要求的冲突供确认。</x:t>
  </x:si>
  <x:si>
    <x:t xml:space="preserve">R45</x:t>
  </x:si>
  <x:si>
    <x:t xml:space="preserve">通知尚未发出时自动改手动
引擎开启、交接已冻结、自动通知未提交。</x:t>
  </x:si>
  <x:si>
    <x:t xml:space="preserve">停用通知处罚规则，回读后等待，再人工接手。
留证：配置版本、提交时间、投递次数</x:t>
  </x:si>
  <x:si>
    <x:t xml:space="preserve">未发送的动作按确认的切换边界处理；不得把已提交但未回执当未发送而重复通知。</x:t>
  </x:si>
  <x:si>
    <x:t xml:space="preserve">R46</x:t>
  </x:si>
  <x:si>
    <x:t xml:space="preserve">链路性能</x:t>
  </x:si>
  <x:si>
    <x:t xml:space="preserve">上报到前台及告警的时延
冻结目标数量、输入频率、设备时钟与测试时长。</x:t>
  </x:si>
  <x:si>
    <x:t xml:space="preserve">重复采集至少20次上报、接收、入库、告警、页面出现时刻。
留证：负载说明、时间样本、分段结果</x:t>
  </x:si>
  <x:si>
    <x:t xml:space="preserve">报告各段p50/p95和最大值；与事先确认的门槛比较，时钟偏差单列。</x:t>
  </x:si>
  <x:si>
    <x:t xml:space="preserve">R47</x:t>
  </x:si>
  <x:si>
    <x:t xml:space="preserve">多目标和多账号同时监视
事先填写目标数、每秒上报数、在线账号数及浏览器版本。</x:t>
  </x:si>
  <x:si>
    <x:t xml:space="preserve">阶梯增加负载，检查地图、列表、告警、回执通道与停止操作。
留证：负载、时延、错误、资源记录</x:t>
  </x:si>
  <x:si>
    <x:t xml:space="preserve">不漏数据、不串目标，错误率和延迟可量化；没有门槛只记实测不判达标。</x:t>
  </x:si>
  <x:si>
    <x:t xml:space="preserve">R48</x:t>
  </x:si>
  <x:si>
    <x:t xml:space="preserve">设备受理与完成的时延分别量
测试设备能返回受理及最终回执，关闭真实通道。</x:t>
  </x:si>
  <x:si>
    <x:t xml:space="preserve">测页面提交到受理、受理到执行结果、结果到页面更新。
留证：命令ID、三段时间、最终结果</x:t>
  </x:si>
  <x:si>
    <x:t xml:space="preserve">三段分别记录；受理快不能掩盖完成慢或没有最终回执。</x:t>
  </x:si>
  <x:si>
    <x:t xml:space="preserve">后台设备运维测试清单</x:t>
  </x:si>
  <x:si>
    <x:t xml:space="preserve">覆盖设备管理、实时监测、接入调测、维护工作流、站内消息及前后台联动。连接管理只测试设备接入所需部分，不扩大为全部后台验收。</x:t>
  </x:si>
  <x:si>
    <x:t xml:space="preserve">64项检查，H至L列记录实际执行结果。第五轮新增页面验收；接口或自动测试局部通过不代表F31至F36完整流程通过。</x:t>
  </x:si>
  <x:si>
    <x:t xml:space="preserve">这次要测什么</x:t>
  </x:si>
  <x:si>
    <x:t xml:space="preserve">准备条件和怎么做</x:t>
  </x:si>
  <x:si>
    <x:t xml:space="preserve">要留下的证据</x:t>
  </x:si>
  <x:si>
    <x:t xml:space="preserve">实际结果与批次</x:t>
  </x:si>
  <x:si>
    <x:t xml:space="preserve">证据位置与关联编号</x:t>
  </x:si>
  <x:si>
    <x:t xml:space="preserve">OPS-01</x:t>
  </x:si>
  <x:si>
    <x:t xml:space="preserve">账号与范围</x:t>
  </x:si>
  <x:si>
    <x:t xml:space="preserve">三个运维页面按权限进入</x:t>
  </x:si>
  <x:si>
    <x:t xml:space="preserve">用有权、无菜单、无读取权限三类账号分别打开设备管理、实时监测、接入调测和直接地址。</x:t>
  </x:si>
  <x:si>
    <x:t xml:space="preserve">只进入获准页面；直接地址和接口也不能绕过。</x:t>
  </x:si>
  <x:si>
    <x:t xml:space="preserve">账号权限、页面及接口结果</x:t>
  </x:si>
  <x:si>
    <x:t xml:space="preserve">OPS-02</x:t>
  </x:si>
  <x:si>
    <x:t xml:space="preserve">只读账号不能操作</x:t>
  </x:si>
  <x:si>
    <x:t xml:space="preserve">只读账号尝试编辑、启停、删除、创建调测、开始处理和完成待办。</x:t>
  </x:si>
  <x:si>
    <x:t xml:space="preserve">可读资料但不能写入；不能只靠隐藏按钮保护。</x:t>
  </x:si>
  <x:si>
    <x:t xml:space="preserve">写操作拒绝结果、前后状态</x:t>
  </x:si>
  <x:si>
    <x:t xml:space="preserve">OPS-03</x:t>
  </x:si>
  <x:si>
    <x:t xml:space="preserve">设备操作与连接管理分权</x:t>
  </x:si>
  <x:si>
    <x:t xml:space="preserve">分别使用仅devices.op、另有interfaces.read、再有interfaces.op的账号。</x:t>
  </x:si>
  <x:si>
    <x:t xml:space="preserve">设备操作不自动获得接入配置管理；能看连接不等于能修改。</x:t>
  </x:si>
  <x:si>
    <x:t xml:space="preserve">三个账号与入口/操作对照</x:t>
  </x:si>
  <x:si>
    <x:t xml:space="preserve">OPS-04</x:t>
  </x:si>
  <x:si>
    <x:t xml:space="preserve">不能跨单位和区域</x:t>
  </x:si>
  <x:si>
    <x:t xml:space="preserve">甲范围账号查乙范围设备、状态、报告、维护任务及消息；开发协助直接访问接口。</x:t>
  </x:si>
  <x:si>
    <x:t xml:space="preserve">列表、详情、操作和未读数均不泄露范围外资料。</x:t>
  </x:si>
  <x:si>
    <x:t xml:space="preserve">范围映射、设备/任务ID、响应</x:t>
  </x:si>
  <x:si>
    <x:t xml:space="preserve">OPS-05</x:t>
  </x:si>
  <x:si>
    <x:t xml:space="preserve">操作中撤权或停用账号</x:t>
  </x:si>
  <x:si>
    <x:t xml:space="preserve">保持调测或维护页面打开，管理员撤权，再提交下一步。</x:t>
  </x:si>
  <x:si>
    <x:t xml:space="preserve">重新检查当前权限，不靠旧页面继续操作；不清除已有历史。</x:t>
  </x:si>
  <x:si>
    <x:t xml:space="preserve">撤权时间、拒绝结果、历史</x:t>
  </x:si>
  <x:si>
    <x:t xml:space="preserve">OPS-06</x:t>
  </x:si>
  <x:si>
    <x:t xml:space="preserve">敏感连接配置按权隐藏</x:t>
  </x:si>
  <x:si>
    <x:t xml:space="preserve">只有monitoring.read的账号查看设备信息，再用获准设备操作账号对照。</x:t>
  </x:si>
  <x:si>
    <x:t xml:space="preserve">无权者连接信息脱敏；错误日志和页面不显示密码或凭据值。</x:t>
  </x:si>
  <x:si>
    <x:t xml:space="preserve">字段脱敏对照、错误提示</x:t>
  </x:si>
  <x:si>
    <x:t xml:space="preserve">OPS-07</x:t>
  </x:si>
  <x:si>
    <x:t xml:space="preserve">设备台账与接入</x:t>
  </x:si>
  <x:si>
    <x:t xml:space="preserve">统一接入设备入口</x:t>
  </x:si>
  <x:si>
    <x:t xml:space="preserve">从接入设备分别选择雷达、光电、反制和天气传感器类型。</x:t>
  </x:si>
  <x:si>
    <x:t xml:space="preserve">按类型展示已支持协议；天气不再要求另找入口。</x:t>
  </x:si>
  <x:si>
    <x:t xml:space="preserve">类型与协议选项截图</x:t>
  </x:si>
  <x:si>
    <x:t xml:space="preserve">统一接入入口依次切换雷达、光电、四通道反制、天气传感器，表单按设备类型展示协议与字段，天气也在该入口。</x:t>
  </x:si>
  <x:si>
    <x:t xml:space="preserve">第五、六轮证据：device-type-forms.json</x:t>
  </x:si>
  <x:si>
    <x:t xml:space="preserve">OPS-08</x:t>
  </x:si>
  <x:si>
    <x:t xml:space="preserve">切类型或协议不带错参数</x:t>
  </x:si>
  <x:si>
    <x:t xml:space="preserve">填基本资料及协议参数后切换类型和协议。</x:t>
  </x:si>
  <x:si>
    <x:t xml:space="preserve">基本资料合理保留，专用参数清除；不把TCP地址带成MQTT身份。</x:t>
  </x:si>
  <x:si>
    <x:t xml:space="preserve">切换前后表单和提交字段</x:t>
  </x:si>
  <x:si>
    <x:t xml:space="preserve">接入草稿从TCP切换MQTT、天气再返回TCP，编号/名称/厂家保留；TCP地址未带入MQTT，返回TCP地址为空；未保存该草稿。</x:t>
  </x:si>
  <x:si>
    <x:t xml:space="preserve">第五、六轮证据：onboard-mqtt-switched.txt；onboard-switch-values.json</x:t>
  </x:si>
  <x:si>
    <x:t xml:space="preserve">OPS-09</x:t>
  </x:si>
  <x:si>
    <x:t xml:space="preserve">保存接入配置不等于在线</x:t>
  </x:si>
  <x:si>
    <x:t xml:space="preserve">使用测试设备及有效参数登记，但不发送有效设备报文。</x:t>
  </x:si>
  <x:si>
    <x:t xml:space="preserve">台账保存可成功，在线状态仍依据真实连接和报文，不能直接显示健康在线。</x:t>
  </x:si>
  <x:si>
    <x:t xml:space="preserve">保存记录、状态、首报文时刻</x:t>
  </x:si>
  <x:si>
    <x:t xml:space="preserve">页面新建独立RADAR_TCP_V3_0_0设备QA0927R6-TCP-CLOSED，127.0.0.1:65431无监听；保存成功但OFFLINE/UNKNOWN且没有心跳，没有把建档成功当在线。</x:t>
  </x:si>
  <x:si>
    <x:t xml:space="preserve">第五、六轮证据：r6-tcp-saved.txt；r6-tcp-created.txt</x:t>
  </x:si>
  <x:si>
    <x:t xml:space="preserve">OPS-10</x:t>
  </x:si>
  <x:si>
    <x:t xml:space="preserve">编号和外部身份重复</x:t>
  </x:si>
  <x:si>
    <x:t xml:space="preserve">用已占用设备编号或相同接入身份再次登记测试设备。</x:t>
  </x:si>
  <x:si>
    <x:t xml:space="preserve">明确冲突，不产生两份同身份档案；不覆盖原设备。</x:t>
  </x:si>
  <x:si>
    <x:t xml:space="preserve">两次请求和设备数量</x:t>
  </x:si>
  <x:si>
    <x:t xml:space="preserve">使用已有QA天气设备编号提交新档案，接口409 DEVICE_NO_CONFLICT。取消后按编号查询仅1条原档案，原名称、停用与待接入状态未覆盖。</x:t>
  </x:si>
  <x:si>
    <x:t xml:space="preserve">第五、六轮证据：onboard-duplicate-response.json；onboard-duplicate-readback.txt</x:t>
  </x:si>
  <x:si>
    <x:t xml:space="preserve">OPS-11</x:t>
  </x:si>
  <x:si>
    <x:t xml:space="preserve">一个匹配接入通道</x:t>
  </x:si>
  <x:si>
    <x:t xml:space="preserve">同单位区域只有一条启用live通道，选择该范围。</x:t>
  </x:si>
  <x:si>
    <x:t xml:space="preserve">自动带入匹配通道；不能带入其他范围或停用通道。</x:t>
  </x:si>
  <x:si>
    <x:t xml:space="preserve">通道配置与表单</x:t>
  </x:si>
  <x:si>
    <x:t xml:space="preserve">OPS-12</x:t>
  </x:si>
  <x:si>
    <x:t xml:space="preserve">多个或没有匹配通道</x:t>
  </x:si>
  <x:si>
    <x:t xml:space="preserve">两组测试范围分别配置多个可用通道、没有可用通道。</x:t>
  </x:si>
  <x:si>
    <x:t xml:space="preserve">多个要求选择；没有则提示并阻止提交；不偷偷选replay通道。</x:t>
  </x:si>
  <x:si>
    <x:t xml:space="preserve">两组范围、选项、提交结果</x:t>
  </x:si>
  <x:si>
    <x:t xml:space="preserve">OPS-13</x:t>
  </x:si>
  <x:si>
    <x:t xml:space="preserve">修改范围清除旧通道</x:t>
  </x:si>
  <x:si>
    <x:t xml:space="preserve">新建设备先选甲范围通道，再换乙单位或区域。</x:t>
  </x:si>
  <x:si>
    <x:t xml:space="preserve">旧通道不继续提交；按乙范围重新匹配。</x:t>
  </x:si>
  <x:si>
    <x:t xml:space="preserve">前后范围与提交字段</x:t>
  </x:si>
  <x:si>
    <x:t xml:space="preserve">编辑不能换接入身份</x:t>
  </x:si>
  <x:si>
    <x:t xml:space="preserve">编辑已登记设备含旧停用或replay通道，尝试改内部/外部身份及通道。</x:t>
  </x:si>
  <x:si>
    <x:t xml:space="preserve">按当前契约锁定接入身份与原通道；允许编辑项携带当前版本。</x:t>
  </x:si>
  <x:si>
    <x:t xml:space="preserve">编辑字段、版本、保存结果</x:t>
  </x:si>
  <x:si>
    <x:t xml:space="preserve">第六轮已确认编辑界面锁定设备身份；第七轮修复保存500。本轮模拟设备通过同一正式PUT接口保存厂家，版本0→1，全部坐标保持，随后恢复原厂家；隔离PostgreSQL验证MQTT和光电空坐标保留、显式坐标更新、旧版本拒绝。</x:t>
  </x:si>
  <x:si>
    <x:t xml:space="preserve">第七轮证据：qa-device-edit-verified.json；qa-device-edit-green.log；qa-final-package.log</x:t>
  </x:si>
  <x:si>
    <x:t xml:space="preserve">OPS-15</x:t>
  </x:si>
  <x:si>
    <x:t xml:space="preserve">天气传感器只登记档案</x:t>
  </x:si>
  <x:si>
    <x:t xml:space="preserve">在统一入口填写天气传感器，尝试启用和填写不存在的协议参数。</x:t>
  </x:si>
  <x:si>
    <x:t xml:space="preserve">当前保存停用、待接入档案；不要求地址/端口，不声称已采到天气。</x:t>
  </x:si>
  <x:si>
    <x:t xml:space="preserve">档案状态、协议说明</x:t>
  </x:si>
  <x:si>
    <x:t xml:space="preserve">通过真实页面保存独立档案QA0927-R5-WEATHER-01：天气传感器保持停用、待接入、健康未知，无心跳或气象观测；没有要求地址/端口，启用按钮禁用。</x:t>
  </x:si>
  <x:si>
    <x:t xml:space="preserve">第五、六轮证据：weather-onboard.txt；weather-onboard.png</x:t>
  </x:si>
  <x:si>
    <x:t xml:space="preserve">OPS-16</x:t>
  </x:si>
  <x:si>
    <x:t xml:space="preserve">启用停用及并发编辑</x:t>
  </x:si>
  <x:si>
    <x:t xml:space="preserve">对测试设备启停；两人用同版本编辑，一人先保存。</x:t>
  </x:si>
  <x:si>
    <x:t xml:space="preserve">启停结果回读；旧版本拒绝覆盖，提示刷新；停用影响订阅或操作按协议生效。</x:t>
  </x:si>
  <x:si>
    <x:t xml:space="preserve">版本、启停事件、接收记录</x:t>
  </x:si>
  <x:si>
    <x:t xml:space="preserve">OPS-17</x:t>
  </x:si>
  <x:si>
    <x:t xml:space="preserve">档案资料型号匹配</x:t>
  </x:si>
  <x:si>
    <x:t xml:space="preserve">查已匹配和未匹配型号，手动选资料后切换设备。</x:t>
  </x:si>
  <x:si>
    <x:t xml:space="preserve">厂家标称资料与实际状态分开；不近似误配，切换不残留上一台资料。</x:t>
  </x:si>
  <x:si>
    <x:t xml:space="preserve">型号、资料、切换截图</x:t>
  </x:si>
  <x:si>
    <x:t xml:space="preserve">OPS-18</x:t>
  </x:si>
  <x:si>
    <x:t xml:space="preserve">有未完成工作不能删除</x:t>
  </x:si>
  <x:si>
    <x:t xml:space="preserve">分别准备启用设备、停用但有未完成指令/调测/跟踪的测试设备。</x:t>
  </x:si>
  <x:si>
    <x:t xml:space="preserve">均按具体条件拒绝删除；不能让正在执行的设备从台账消失。</x:t>
  </x:si>
  <x:si>
    <x:t xml:space="preserve">拒绝原因和活动任务ID</x:t>
  </x:si>
  <x:si>
    <x:t xml:space="preserve">OPS-19</x:t>
  </x:si>
  <x:si>
    <x:t xml:space="preserve">停用空闲设备逻辑删除</x:t>
  </x:si>
  <x:si>
    <x:t xml:space="preserve">专用可弃测试设备停用且无活动工作，填原因删除并重查。</x:t>
  </x:si>
  <x:si>
    <x:t xml:space="preserve">从日常台账、树、地图和统计移除；历史命令、事件、证据保留，身份不能复用。</x:t>
  </x:si>
  <x:si>
    <x:t xml:space="preserve">删除原因、历史引用、前后数量</x:t>
  </x:si>
  <x:si>
    <x:t xml:space="preserve">OPS-20</x:t>
  </x:si>
  <x:si>
    <x:t xml:space="preserve">筛选分页和删空末页</x:t>
  </x:si>
  <x:si>
    <x:t xml:space="preserve">准备超过三页设备，组合类型/范围/状态/关键词，删除末页最后一条测试档案。</x:t>
  </x:si>
  <x:si>
    <x:t xml:space="preserve">总数与筛选一致，退回有效页，选中详情清理；错误不冒充空列表。</x:t>
  </x:si>
  <x:si>
    <x:t xml:space="preserve">查询条件、页码、总数</x:t>
  </x:si>
  <x:si>
    <x:t xml:space="preserve">OPS-21</x:t>
  </x:si>
  <x:si>
    <x:t xml:space="preserve">实时监测</x:t>
  </x:si>
  <x:si>
    <x:t xml:space="preserve">在线离线健康告警分开</x:t>
  </x:si>
  <x:si>
    <x:t xml:space="preserve">用在线健康、在线异常、离线、未知设备对照总览、设备树和详情。</x:t>
  </x:si>
  <x:si>
    <x:t xml:space="preserve">状态、总数同源；有心跳不等于GOOD，无数据不等于健康。</x:t>
  </x:si>
  <x:si>
    <x:t xml:space="preserve">同批设备状态与统计</x:t>
  </x:si>
  <x:si>
    <x:t xml:space="preserve">OPS-22</x:t>
  </x:si>
  <x:si>
    <x:t xml:space="preserve">轮询与暂停刷新</x:t>
  </x:si>
  <x:si>
    <x:t xml:space="preserve">观察总览约10秒、当前设备约2秒刷新；暂停、手动刷新、切设备、再恢复。</x:t>
  </x:si>
  <x:si>
    <x:t xml:space="preserve">暂停停止自动轮询；手动刷新和切换仍可查；不多开重复轮询。</x:t>
  </x:si>
  <x:si>
    <x:t xml:space="preserve">请求时间与刷新状态</x:t>
  </x:si>
  <x:si>
    <x:t xml:space="preserve">监控总览采样间隔约10秒，选中设备信息稳定约2秒（切换初始另有立即请求）；暂停20秒无监控轮询，手动刷新及换设备仍可用，恢复后重新轮询。</x:t>
  </x:si>
  <x:si>
    <x:t xml:space="preserve">第五、六轮证据：monitor-poll-running.json；monitor-poll-intervals.json；monitor-poll-paused.json；monitor-paused-manual.txt；monitor-paused-switch.txt；monitor-info-recovered.txt</x:t>
  </x:si>
  <x:si>
    <x:t xml:space="preserve">OPS-23</x:t>
  </x:si>
  <x:si>
    <x:t xml:space="preserve">快速切换设备不串读数</x:t>
  </x:si>
  <x:si>
    <x:t xml:space="preserve">甲设备读取延迟时切换乙设备，再让甲响应到达。</x:t>
  </x:si>
  <x:si>
    <x:t xml:space="preserve">乙详情不被甲旧响应覆盖；筛选为空不留旧读数。</x:t>
  </x:si>
  <x:si>
    <x:t xml:space="preserve">两设备ID、响应顺序、页面</x:t>
  </x:si>
  <x:si>
    <x:t xml:space="preserve">挂起光电97debf78的information响应，切到天气QA0927-R5-WEATHER-01后放行成功，网络确认旧请求完成；当前运行信息仍天气且不带光电读数。筛选无匹配设备后旧值清空。首次失效拦截不计通过，最终有效注入单列。</x:t>
  </x:si>
  <x:si>
    <x:t xml:space="preserve">第五、六轮证据：r6-monitor-late-fast.json；r6-monitor-late-fast-completed.json；r6-monitor-empty-filter.txt</x:t>
  </x:si>
  <x:si>
    <x:t xml:space="preserve">OPS-24</x:t>
  </x:si>
  <x:si>
    <x:t xml:space="preserve">读取失败不能留成实时成功</x:t>
  </x:si>
  <x:si>
    <x:t xml:space="preserve">制造当前设备信息接口失败后恢复。</x:t>
  </x:si>
  <x:si>
    <x:t xml:space="preserve">旧读数清理或明确标失效，错误独立提示并可重试，不编造正常。</x:t>
  </x:si>
  <x:si>
    <x:t xml:space="preserve">失败/恢复响应、页面状态</x:t>
  </x:si>
  <x:si>
    <x:t xml:space="preserve">已加载天气设备信息后阻断information请求再手动刷新：旧信息清空并明确请求失败HTTP0；解除阻断后恢复。未保留旧值冒充正常。</x:t>
  </x:si>
  <x:si>
    <x:t xml:space="preserve">第五、六轮证据：monitor-info-failed.txt；monitor-info-recovered.txt</x:t>
  </x:si>
  <x:si>
    <x:t xml:space="preserve">OPS-25</x:t>
  </x:si>
  <x:si>
    <x:t xml:space="preserve">不同协议按各自时限离线</x:t>
  </x:si>
  <x:si>
    <x:t xml:space="preserve">MQTT工参与光电心跳分别暂停；开测先记录实际配置。</x:t>
  </x:si>
  <x:si>
    <x:t xml:space="preserve">分别按本协议时限判断，不套用同一值；默认MQTT工参30秒、EO心跳3秒，非保证实时无延迟。</x:t>
  </x:si>
  <x:si>
    <x:t xml:space="preserve">协议、配置、末心跳与离线时间</x:t>
  </x:si>
  <x:si>
    <x:t xml:space="preserve">第五轮MQTT停止后超过30秒离线；本轮光电每秒心跳，第30–50秒停报，33.1秒采样OFFLINE（心跳龄3874ms），51.7秒恢复ONLINE（龄766ms），健康始终UNKNOWN。42次实际回读。</x:t>
  </x:si>
  <x:si>
    <x:t xml:space="preserve">第五、六轮证据：device-lifecycle-r5.jsonl；r6-eo-lifecycle.jsonl；r6-eo-final.json；r6-eo-monitor-recovery.txt</x:t>
  </x:si>
  <x:si>
    <x:t xml:space="preserve">OPS-26</x:t>
  </x:si>
  <x:si>
    <x:t xml:space="preserve">异常事件不重复生成</x:t>
  </x:si>
  <x:si>
    <x:t xml:space="preserve">让同设备同类心跳超时持续多个检查周期。</x:t>
  </x:si>
  <x:si>
    <x:t xml:space="preserve">同类未恢复异常不重复创建；不同异常不可误合并。</x:t>
  </x:si>
  <x:si>
    <x:t xml:space="preserve">设备与事件ID、周期记录</x:t>
  </x:si>
  <x:si>
    <x:t xml:space="preserve">OPS-27</x:t>
  </x:si>
  <x:si>
    <x:t xml:space="preserve">恢复心跳只证明连接恢复</x:t>
  </x:si>
  <x:si>
    <x:t xml:space="preserve">MQTT超时后恢复新鲜心跳，但健康仍未知。</x:t>
  </x:si>
  <x:si>
    <x:t xml:space="preserve">连接事件按条件可核验恢复；设备整体运维完成仍不能仅靠心跳通过。</x:t>
  </x:si>
  <x:si>
    <x:t xml:space="preserve">新心跳、事件核验、健康字段</x:t>
  </x:si>
  <x:si>
    <x:t xml:space="preserve">OPS-28</x:t>
  </x:si>
  <x:si>
    <x:t xml:space="preserve">当前目标与历史目标分开</x:t>
  </x:si>
  <x:si>
    <x:t xml:space="preserve">发送感知目标后停发，设备心跳继续。</x:t>
  </x:si>
  <x:si>
    <x:t xml:space="preserve">目标显示最后观测/过期事实；不能把心跳当成目标仍实时上报。</x:t>
  </x:si>
  <x:si>
    <x:t xml:space="preserve">目标与心跳两组时间</x:t>
  </x:si>
  <x:si>
    <x:t xml:space="preserve">OPS-29</x:t>
  </x:si>
  <x:si>
    <x:t xml:space="preserve">长告警列表明确展示范围</x:t>
  </x:si>
  <x:si>
    <x:t xml:space="preserve">准备超过20条可见待处理异常，按级别筛选并定位设备。</x:t>
  </x:si>
  <x:si>
    <x:t xml:space="preserve">总数和当前显示范围明确；最近20条不冒充全部，定位设备正确。</x:t>
  </x:si>
  <x:si>
    <x:t xml:space="preserve">事件总数、展示提示、定位ID</x:t>
  </x:si>
  <x:si>
    <x:t xml:space="preserve">OPS-30</x:t>
  </x:si>
  <x:si>
    <x:t xml:space="preserve">协议不支持重启或急停</x:t>
  </x:si>
  <x:si>
    <x:t xml:space="preserve">对未声明重启/急停的测试协议尝试现有对应入口。</x:t>
  </x:si>
  <x:si>
    <x:t xml:space="preserve">不可用原因清楚；不伪造重启或急停成功。四通道全关与射频停机核查分开。</x:t>
  </x:si>
  <x:si>
    <x:t xml:space="preserve">能力说明、拒绝响应、设备回执</x:t>
  </x:si>
  <x:si>
    <x:t xml:space="preserve">OPS-31</x:t>
  </x:si>
  <x:si>
    <x:t xml:space="preserve">接入调测</x:t>
  </x:si>
  <x:si>
    <x:t xml:space="preserve">支持的TCP设备完整调测</x:t>
  </x:si>
  <x:si>
    <x:t xml:space="preserve">测试TCP设备依次创建任务、连接、保存参数、开始、查看报告。</x:t>
  </x:si>
  <x:si>
    <x:t xml:space="preserve">按状态逐步推进，202只表示受理；结果由协议检测产生。</x:t>
  </x:si>
  <x:si>
    <x:t xml:space="preserve">任务、状态事件、报告</x:t>
  </x:si>
  <x:si>
    <x:t xml:space="preserve">OPS-32</x:t>
  </x:si>
  <x:si>
    <x:t xml:space="preserve">主动上报协议不假装调测</x:t>
  </x:si>
  <x:si>
    <x:t xml:space="preserve">选task_supported=false的MQTT设备查看接入诊断。</x:t>
  </x:si>
  <x:si>
    <x:t xml:space="preserve">不创建不支持的调测任务，改查工参/样本/接收状态，不给虚假通过。</x:t>
  </x:si>
  <x:si>
    <x:t xml:space="preserve">能力字段、诊断样本</x:t>
  </x:si>
  <x:si>
    <x:t xml:space="preserve">在后台查看MQTT雷达、5G-A和光电主动上报设备，明确提示不支持创建调测任务、应核对工参与报文字段，任务及报告0条。结合第四轮MQTT创建409 PROTOCOL_UNSUPPORTED，未伪造调测通过。</x:t>
  </x:si>
  <x:si>
    <x:t xml:space="preserve">第五、六轮证据：commission-qa-radar.txt；commission-eo.txt；commission-eo.png</x:t>
  </x:si>
  <x:si>
    <x:t xml:space="preserve">OPS-33</x:t>
  </x:si>
  <x:si>
    <x:t xml:space="preserve">跳步骤不能执行</x:t>
  </x:si>
  <x:si>
    <x:t xml:space="preserve">创建任务后绕过连接尝试保存或开始；开发协助接口验证。</x:t>
  </x:si>
  <x:si>
    <x:t xml:space="preserve">服务端拒绝非法跳步，状态不变。</x:t>
  </x:si>
  <x:si>
    <x:t xml:space="preserve">非法动作响应、任务版本</x:t>
  </x:si>
  <x:si>
    <x:t xml:space="preserve">OPS-34</x:t>
  </x:si>
  <x:si>
    <x:t xml:space="preserve">取消未结束任务</x:t>
  </x:si>
  <x:si>
    <x:t xml:space="preserve">在连接中或调测中取消专用测试任务，再等待迟到回执。</x:t>
  </x:si>
  <x:si>
    <x:t xml:space="preserve">取消按当前契约生效，迟到结果不将已取消任务改成成功。</x:t>
  </x:si>
  <x:si>
    <x:t xml:space="preserve">取消时间、回执、终态</x:t>
  </x:si>
  <x:si>
    <x:t xml:space="preserve">OPS-35</x:t>
  </x:si>
  <x:si>
    <x:t xml:space="preserve">重新调测保留旧报告</x:t>
  </x:si>
  <x:si>
    <x:t xml:space="preserve">失败任务创建同设备新任务，关联前次任务；再试关联另一设备。</x:t>
  </x:si>
  <x:si>
    <x:t xml:space="preserve">同设备历史链保留，跨设备前次任务拒绝；旧报告不覆盖。</x:t>
  </x:si>
  <x:si>
    <x:t xml:space="preserve">新旧任务ID、前次关联</x:t>
  </x:si>
  <x:si>
    <x:t xml:space="preserve">OPS-36</x:t>
  </x:si>
  <x:si>
    <x:t xml:space="preserve">配置快照不随台账漂移</x:t>
  </x:si>
  <x:si>
    <x:t xml:space="preserve">任务建立并保存参数后，经获准方式修改设备后续配置。</x:t>
  </x:si>
  <x:si>
    <x:t xml:space="preserve">旧任务的来源、协议、参数和安全范围仍是当时快照。</x:t>
  </x:si>
  <x:si>
    <x:t xml:space="preserve">任务快照、台账新版本</x:t>
  </x:si>
  <x:si>
    <x:t xml:space="preserve">OPS-37</x:t>
  </x:si>
  <x:si>
    <x:t xml:space="preserve">连接失败不回退模拟成功</x:t>
  </x:si>
  <x:si>
    <x:t xml:space="preserve">live测试设备配置不可达地址或协议错误，再做调测。</x:t>
  </x:si>
  <x:si>
    <x:t xml:space="preserve">失败或不可判定如实显示，不切mock补成功。</x:t>
  </x:si>
  <x:si>
    <x:t xml:space="preserve">来源、错误、报告标记</x:t>
  </x:si>
  <x:si>
    <x:t xml:space="preserve">127.0.0.1:65431无监听的独立TCP设备连接失败，CT-1790514195401-5D7CBD报告UNTESTABLE / Connection refused，source=live、simulated=false，没有模拟成功兜底；测试后设备已停用。</x:t>
  </x:si>
  <x:si>
    <x:t xml:space="preserve">第五、六轮证据：r6-tcp-untestable.txt；r6-tcp-report.txt；r6-tcp-report.png；r6-tcp-disabled.txt</x:t>
  </x:si>
  <x:si>
    <x:t xml:space="preserve">OPS-38</x:t>
  </x:si>
  <x:si>
    <x:t xml:space="preserve">雷达待机没有点迹</x:t>
  </x:si>
  <x:si>
    <x:t xml:space="preserve">雷达通信正常但待机，不产生业务点迹或航迹。</x:t>
  </x:si>
  <x:si>
    <x:t xml:space="preserve">区分连接通过与业务数据不可判定；不将没有业务帧当完整通过。</x:t>
  </x:si>
  <x:si>
    <x:t xml:space="preserve">工作模式、原始样本、分项报告</x:t>
  </x:si>
  <x:si>
    <x:t xml:space="preserve">OPS-39</x:t>
  </x:si>
  <x:si>
    <x:t xml:space="preserve">四通道只读调测边界</x:t>
  </x:si>
  <x:si>
    <x:t xml:space="preserve">对测试四通道设备执行接入调测并检查收发报文。</x:t>
  </x:si>
  <x:si>
    <x:t xml:space="preserve">调测只查询状态，不因检查自动开启通道；报告通过不代表射频已验证。</x:t>
  </x:si>
  <x:si>
    <x:t xml:space="preserve">原始报文、通道状态、报告</x:t>
  </x:si>
  <x:si>
    <x:t xml:space="preserve">OPS-40</x:t>
  </x:si>
  <x:si>
    <x:t xml:space="preserve">进行中不能串设备和报告</x:t>
  </x:si>
  <x:si>
    <x:t xml:space="preserve">任务进行中尝试切另一设备，结束后查两台设备的历史。</x:t>
  </x:si>
  <x:si>
    <x:t xml:space="preserve">按当前规则阻止切换；报告、日志和设备ID始终对应，长日志能查看。</x:t>
  </x:si>
  <x:si>
    <x:t xml:space="preserve">任务设备对应、页面提示</x:t>
  </x:si>
  <x:si>
    <x:t xml:space="preserve">OPS-41</x:t>
  </x:si>
  <x:si>
    <x:t xml:space="preserve">维护工作流</x:t>
  </x:si>
  <x:si>
    <x:t xml:space="preserve">前台报修生成后台同一待办</x:t>
  </x:si>
  <x:si>
    <x:t xml:space="preserve">在前台计划未见目标且设备异常场景发通知，快速重复操作。</x:t>
  </x:si>
  <x:si>
    <x:t xml:space="preserve">后台关联同设备和原事项；防重，不因报修直接改设备正常。</x:t>
  </x:si>
  <x:si>
    <x:t xml:space="preserve">前台来源ID、维护任务ID、通知记录</x:t>
  </x:si>
  <x:si>
    <x:t xml:space="preserve">OPS-42</x:t>
  </x:si>
  <x:si>
    <x:t xml:space="preserve">开始处理记录真实人员</x:t>
  </x:si>
  <x:si>
    <x:t xml:space="preserve">两账号同时开始同一待处理任务。</x:t>
  </x:si>
  <x:si>
    <x:t xml:space="preserve">只一次有效状态推进，处理人正确；另一账号看到冲突或最新状态。</x:t>
  </x:si>
  <x:si>
    <x:t xml:space="preserve">版本、处理人、事件数</x:t>
  </x:si>
  <x:si>
    <x:t xml:space="preserve">第八轮：两名已有设备操作权限测试账号同时START同一专用模拟设备待办；一方200另一方409，仅一次START事件且处理人正确，状态PROCESSING。未声明设备已修复。</x:t>
  </x:si>
  <x:si>
    <x:t xml:space="preserve">r8-maintenance-concurrency.json</x:t>
  </x:si>
  <x:si>
    <x:t xml:space="preserve">OPS-43</x:t>
  </x:si>
  <x:si>
    <x:t xml:space="preserve">保存进展不等于完成</x:t>
  </x:si>
  <x:si>
    <x:t xml:space="preserve">处理中填写空白、1字、正常说明、超过1000字。</x:t>
  </x:si>
  <x:si>
    <x:t xml:space="preserve">按2–1000字校验；有效说明追加历史，不将任务办结。</x:t>
  </x:si>
  <x:si>
    <x:t xml:space="preserve">输入长度、事件及任务状态</x:t>
  </x:si>
  <x:si>
    <x:t xml:space="preserve">页面空白及1字时保存禁用；1001字提交显示“说明最多1000字”且未追加历史。有效QA0927R5说明保存后仅增加1条处理进展，任务仍处理中，原UNKNOWN核验和旧历史保留。</x:t>
  </x:si>
  <x:si>
    <x:t xml:space="preserve">第五、六轮证据：progress-validation.json；maintenance-final-ui.txt；maintenance-progress-saved.txt；maintenance-final-ui.png</x:t>
  </x:si>
  <x:si>
    <x:t xml:space="preserve">OPS-44</x:t>
  </x:si>
  <x:si>
    <x:t xml:space="preserve">关联调测不能偷偷启动</x:t>
  </x:si>
  <x:si>
    <x:t xml:space="preserve">关联同设备同来源的可见调测；再试跨设备/来源或无commissioning.read账号。</x:t>
  </x:si>
  <x:si>
    <x:t xml:space="preserve">合法关联只建立关系；错误关联或缺权拒绝，不启动新调测。</x:t>
  </x:si>
  <x:si>
    <x:t xml:space="preserve">关联ID、权限、设备命令计数</x:t>
  </x:si>
  <x:si>
    <x:t xml:space="preserve">OPS-45</x:t>
  </x:si>
  <x:si>
    <x:t xml:space="preserve">活动指令阻止提交核验</x:t>
  </x:si>
  <x:si>
    <x:t xml:space="preserve">设备仍有执行中指令、调测或跟踪，尝试提交恢复核验。</x:t>
  </x:si>
  <x:si>
    <x:t xml:space="preserve">指出未结束工作并阻止提交；不替用户自动结束任务。</x:t>
  </x:si>
  <x:si>
    <x:t xml:space="preserve">活动任务ID、阻断原因</x:t>
  </x:si>
  <x:si>
    <x:t xml:space="preserve">OPS-46</x:t>
  </x:si>
  <x:si>
    <x:t xml:space="preserve">有未恢复异常不能完成</x:t>
  </x:si>
  <x:si>
    <x:t xml:space="preserve">设备在线GOOD，但保留一个未恢复异常事件。</x:t>
  </x:si>
  <x:si>
    <x:t xml:space="preserve">须先完成设备异常核验；维护流程不能替代关闭异常。</x:t>
  </x:si>
  <x:si>
    <x:t xml:space="preserve">异常ID、核验结果、完成拒绝</x:t>
  </x:si>
  <x:si>
    <x:t xml:space="preserve">OPS-47</x:t>
  </x:si>
  <x:si>
    <x:t xml:space="preserve">旧数据或未来数据不能恢复</x:t>
  </x:si>
  <x:si>
    <x:t xml:space="preserve">分别使用报修前状态、超过300秒状态、未来心跳。</x:t>
  </x:si>
  <x:si>
    <x:t xml:space="preserve">缺报修后新鲜可信依据，结果UNKNOWN；不允许完成。</x:t>
  </x:si>
  <x:si>
    <x:t xml:space="preserve">报修时间、状态/心跳时刻、原因</x:t>
  </x:si>
  <x:si>
    <x:t xml:space="preserve">OPS-48</x:t>
  </x:si>
  <x:si>
    <x:t xml:space="preserve">在线但健康未知不能恢复</x:t>
  </x:si>
  <x:si>
    <x:t xml:space="preserve">只恢复心跳，健康或有无告警字段缺失。</x:t>
  </x:si>
  <x:si>
    <x:t xml:space="preserve">核验UNKNOWN，不用在线代替整体健康。</x:t>
  </x:si>
  <x:si>
    <x:t xml:space="preserve">状态字段、核验结果</x:t>
  </x:si>
  <x:si>
    <x:t xml:space="preserve">向同一replay设备发送一条协议有效工参。报修后新鲜心跳、ONLINE、has_alarm=false，但health=UNKNOWN。维护核验返回UNKNOWN且明确说明整体健康未知；完成请求409。接口用例通过，未伪造健康GOOD。</x:t>
  </x:si>
  <x:si>
    <x:t xml:space="preserve">第四轮 fresh-unknown-health.json、api-checks.json、maintenance-final.json</x:t>
  </x:si>
  <x:si>
    <x:t xml:space="preserve">OPS-49</x:t>
  </x:si>
  <x:si>
    <x:t xml:space="preserve">停用或仍异常不能恢复</x:t>
  </x:si>
  <x:si>
    <x:t xml:space="preserve">设备停用、离线、非GOOD或明确有告警，分别留子批次。</x:t>
  </x:si>
  <x:si>
    <x:t xml:space="preserve">相应核验失败并解释；不改成已完成。</x:t>
  </x:si>
  <x:si>
    <x:t xml:space="preserve">各批次状态及失败原因</x:t>
  </x:si>
  <x:si>
    <x:t xml:space="preserve">OPS-50</x:t>
  </x:si>
  <x:si>
    <x:t xml:space="preserve">来源改变不能冒充恢复</x:t>
  </x:si>
  <x:si>
    <x:t xml:space="preserve">报修后尝试把原设备数据换为不同source_mode或模拟标记。</x:t>
  </x:si>
  <x:si>
    <x:t xml:space="preserve">核验UNKNOWN，来源不一致不能用模拟结果证明真设备修好。</x:t>
  </x:si>
  <x:si>
    <x:t xml:space="preserve">报修来源快照、当前来源</x:t>
  </x:si>
  <x:si>
    <x:t xml:space="preserve">OPS-51</x:t>
  </x:si>
  <x:si>
    <x:t xml:space="preserve">核验通过后仍需确认完成</x:t>
  </x:si>
  <x:si>
    <x:t xml:space="preserve">新鲜在线GOOD无告警，无未恢复事件和活动工作，进行核验。</x:t>
  </x:si>
  <x:si>
    <x:t xml:space="preserve">PASS后仍待恢复核验；填写完成说明、再次检查通过才完成。</x:t>
  </x:si>
  <x:si>
    <x:t xml:space="preserve">PASS时间、完成事件、设备事实</x:t>
  </x:si>
  <x:si>
    <x:t xml:space="preserve">OPS-52</x:t>
  </x:si>
  <x:si>
    <x:t xml:space="preserve">核验通过超过5分钟再完成</x:t>
  </x:si>
  <x:si>
    <x:t xml:space="preserve">取得PASS后保持新鲜设备上报，但等原核验超过300秒再点完成。</x:t>
  </x:si>
  <x:si>
    <x:t xml:space="preserve">原PASS失效，要求重新核验；不能只看设备在线自动办结。</x:t>
  </x:si>
  <x:si>
    <x:t xml:space="preserve">原核验与提交时间、拒绝结果</x:t>
  </x:si>
  <x:si>
    <x:t xml:space="preserve">OPS-53</x:t>
  </x:si>
  <x:si>
    <x:t xml:space="preserve">核验后再坏不能完成</x:t>
  </x:si>
  <x:si>
    <x:t xml:space="preserve">PASS后、完成前重新产生异常或停止有效上报。</x:t>
  </x:si>
  <x:si>
    <x:t xml:space="preserve">完成时重新检查并拒绝；旧PASS不能盖住当前问题。</x:t>
  </x:si>
  <x:si>
    <x:t xml:space="preserve">两次状态、完成拒绝</x:t>
  </x:si>
  <x:si>
    <x:t xml:space="preserve">OPS-54</x:t>
  </x:si>
  <x:si>
    <x:t xml:space="preserve">失败后恢复处理再核验</x:t>
  </x:si>
  <x:si>
    <x:t xml:space="preserve">待核验失败后点恢复处理，追加进展，再提交核验。</x:t>
  </x:si>
  <x:si>
    <x:t xml:space="preserve">回到处理中，当前核验摘要清除，旧失败事件保留；新一轮独立检查。</x:t>
  </x:si>
  <x:si>
    <x:t xml:space="preserve">各阶段版本与历史事件</x:t>
  </x:si>
  <x:si>
    <x:t xml:space="preserve">既有QA维护任务保留此前UNKNOWN和进展，本轮再次提交→核验UNKNOWN→继续处理，返回IN_PROGRESS且清除当前核验摘要，21:24/21:25/21:26新事件与旧历史独立保留。</x:t>
  </x:si>
  <x:si>
    <x:t xml:space="preserve">第五、六轮证据：r6-maintenance-retry-readback.txt；r6-maintenance-unknown.txt；r6-maintenance-resumed.txt</x:t>
  </x:si>
  <x:si>
    <x:t xml:space="preserve">OPS-55</x:t>
  </x:si>
  <x:si>
    <x:t xml:space="preserve">重试和旧接口不能绕过流程</x:t>
  </x:si>
  <x:si>
    <x:t xml:space="preserve">同请求同键重复，再用同键不同内容及旧handling入口提交。</x:t>
  </x:si>
  <x:si>
    <x:t xml:space="preserve">同请求不重复事件且按当前权限返回最新状态；不同内容/旧接口拒绝。</x:t>
  </x:si>
  <x:si>
    <x:t xml:space="preserve">请求键、事件数、拒绝码</x:t>
  </x:si>
  <x:si>
    <x:t xml:space="preserve">START同键重放返回当前PROCESSING版本3及原2条事件；同键改进展说明409 KEY_REUSED；旧handling返回409 WORKFLOW_REQUIRED。当前授权账号下的接口用例通过。</x:t>
  </x:si>
  <x:si>
    <x:t xml:space="preserve">第四轮 api-checks.json、maintenance-concurrency.json、maintenance-final.json、assertions.json</x:t>
  </x:si>
  <x:si>
    <x:t xml:space="preserve">OPS-56</x:t>
  </x:si>
  <x:si>
    <x:t xml:space="preserve">完成与历史反馈分别展示</x:t>
  </x:si>
  <x:si>
    <x:t xml:space="preserve">查看COMPLETED、LEGACY_HANDLED及各处理中阶段，组合状态筛选。</x:t>
  </x:si>
  <x:si>
    <x:t xml:space="preserve">历史已反馈不补造恢复PASS；完成及历史只读；未完成覆盖处理中/待核验且总数一致。</x:t>
  </x:si>
  <x:si>
    <x:t xml:space="preserve">状态、筛选总数、历史核验</x:t>
  </x:si>
  <x:si>
    <x:t xml:space="preserve">OPS-57</x:t>
  </x:si>
  <x:si>
    <x:t xml:space="preserve">站内消息与通知</x:t>
  </x:si>
  <x:si>
    <x:t xml:space="preserve">读取消息不等于标已读</x:t>
  </x:si>
  <x:si>
    <x:t xml:space="preserve">打开消息列表、刷新分页，另一页面查看未读数和任务。</x:t>
  </x:si>
  <x:si>
    <x:t xml:space="preserve">GET不改变已读、任务状态、版本及通知回执。</x:t>
  </x:si>
  <x:si>
    <x:t xml:space="preserve">读取前后时间与未读数</x:t>
  </x:si>
  <x:si>
    <x:t xml:space="preserve">第八轮：正式API反复GET未改变任何已读时间、未读数或任务版本；第二操作员标记本轮专用任务已读后重复提交仍保留同一首次时间，管理员消息不变，任务仍PROCESSING版本13。</x:t>
  </x:si>
  <x:si>
    <x:t xml:space="preserve">r8-message-read-isolation.json；r8-maintenance-readonly.json</x:t>
  </x:si>
  <x:si>
    <x:t xml:space="preserve">OPS-58</x:t>
  </x:si>
  <x:si>
    <x:t xml:space="preserve">各账号已读互不影响</x:t>
  </x:si>
  <x:si>
    <x:t xml:space="preserve">甲标记已读，再重复标记，乙账号查看同任务。</x:t>
  </x:si>
  <x:si>
    <x:t xml:space="preserve">甲保留第一次已读时间；乙仍按自身已读状态；任务未因此完成。</x:t>
  </x:si>
  <x:si>
    <x:t xml:space="preserve">两账号已读时间、任务状态</x:t>
  </x:si>
  <x:si>
    <x:t xml:space="preserve">OPS-59</x:t>
  </x:si>
  <x:si>
    <x:t xml:space="preserve">消息定位到同一设备待办</x:t>
  </x:si>
  <x:si>
    <x:t xml:space="preserve">点击可见维护消息进入接入调测，再返回列表。</x:t>
  </x:si>
  <x:si>
    <x:t xml:space="preserve">定位同任务同设备；设备已删或权限改变时说明原因，不换成别的设备。</x:t>
  </x:si>
  <x:si>
    <x:t xml:space="preserve">消息、路由、任务及设备ID</x:t>
  </x:si>
  <x:si>
    <x:t xml:space="preserve">OPS-60</x:t>
  </x:si>
  <x:si>
    <x:t xml:space="preserve">通知状态及历史送达不混淆</x:t>
  </x:si>
  <x:si>
    <x:t xml:space="preserve">准备未发送、结果未知、提交、送达、失败及迟到回执记录。</x:t>
  </x:si>
  <x:si>
    <x:t xml:space="preserve">状态分别显示；后一次失败不抹掉先前送达，模拟不冒充真实送达。</x:t>
  </x:si>
  <x:si>
    <x:t xml:space="preserve">通知快照、每次投递和回执</x:t>
  </x:si>
  <x:si>
    <x:t xml:space="preserve">OPS-61</x:t>
  </x:si>
  <x:si>
    <x:t xml:space="preserve">前后台一致与恢复</x:t>
  </x:si>
  <x:si>
    <x:t xml:space="preserve">后台修好后前台同步</x:t>
  </x:si>
  <x:si>
    <x:t xml:space="preserve">按F33完成后台恢复，回到原飞行计划、设备点和异常记录。</x:t>
  </x:si>
  <x:si>
    <x:t xml:space="preserve">按同设备当前事实更新；历史报修和通知保留，修好不等于无人机已经起飞。</x:t>
  </x:si>
  <x:si>
    <x:t xml:space="preserve">同设备前后台状态与时间</x:t>
  </x:si>
  <x:si>
    <x:t xml:space="preserve">OPS-62</x:t>
  </x:si>
  <x:si>
    <x:t xml:space="preserve">保存时断网先查结果</x:t>
  </x:si>
  <x:si>
    <x:t xml:space="preserve">在开始、提交核验、完成等提交后模拟响应丢失，再恢复。</x:t>
  </x:si>
  <x:si>
    <x:t xml:space="preserve">先回查原请求和当前版本，不重复推进或凭页面超时当失败。</x:t>
  </x:si>
  <x:si>
    <x:t xml:space="preserve">请求键、状态、事件条数</x:t>
  </x:si>
  <x:si>
    <x:t xml:space="preserve">OPS-63</x:t>
  </x:si>
  <x:si>
    <x:t xml:space="preserve">离开页面及服务恢复</x:t>
  </x:si>
  <x:si>
    <x:t xml:space="preserve">调测/维护进行中关闭页面，测试环境服务恢复后重新登录。</x:t>
  </x:si>
  <x:si>
    <x:t xml:space="preserve">查询持久状态和原任务，不重复创建；未取得设备结果仍显示未知/处理中。</x:t>
  </x:si>
  <x:si>
    <x:t xml:space="preserve">任务ID、恢复前后事件、状态</x:t>
  </x:si>
  <x:si>
    <x:t xml:space="preserve">全过程审计可追溯</x:t>
  </x:si>
  <x:si>
    <x:t xml:space="preserve">从接入、启停、调测到维护完成，再按设备和任务查看审计。</x:t>
  </x:si>
  <x:si>
    <x:t xml:space="preserve">账号、时间、对象、动作、结果可对应；拒绝与失败留痕，不记录凭据原文。</x:t>
  </x:si>
  <x:si>
    <x:t xml:space="preserve">审计ID、设备/任务/命令对应</x:t>
  </x:si>
  <x:si>
    <x:t xml:space="preserve">累计实际执行与证据 第一至第四轮</x:t>
  </x:si>
  <x:si>
    <x:t xml:space="preserve">2026-09-27，北京时间。只记录，不修复。以下子检查通过不代表其所属整条用例或业务流程通过。</x:t>
  </x:si>
  <x:si>
    <x:t xml:space="preserve">记录编号</x:t>
  </x:si>
  <x:si>
    <x:t xml:space="preserve">关联范围</x:t>
  </x:si>
  <x:si>
    <x:t xml:space="preserve">执行内容</x:t>
  </x:si>
  <x:si>
    <x:t xml:space="preserve">实际结果</x:t>
  </x:si>
  <x:si>
    <x:t xml:space="preserve">结论</x:t>
  </x:si>
  <x:si>
    <x:t xml:space="preserve">证据文件（见下方目录）</x:t>
  </x:si>
  <x:si>
    <x:t xml:space="preserve">下一步/限制</x:t>
  </x:si>
  <x:si>
    <x:t xml:space="preserve">RUN-01</x:t>
  </x:si>
  <x:si>
    <x:t xml:space="preserve">环境</x:t>
  </x:si>
  <x:si>
    <x:t xml:space="preserve">打开5173前台、5175后台、8766模拟器</x:t>
  </x:si>
  <x:si>
    <x:t xml:space="preserve">三个页面均正常加载；均未登录。</x:t>
  </x:si>
  <x:si>
    <x:t xml:space="preserve">front-help.png；admin-login.png；sim-inbox.txt</x:t>
  </x:si>
  <x:si>
    <x:t xml:space="preserve">仅证明页面可打开，不代表后端全流程可用。</x:t>
  </x:si>
  <x:si>
    <x:t xml:space="preserve">RUN-02</x:t>
  </x:si>
  <x:si>
    <x:t xml:space="preserve">AUTH-02空字段</x:t>
  </x:si>
  <x:si>
    <x:t xml:space="preserve">清空前台字段后，用键盘提交；填写虚构账号后保持密码为空再提交</x:t>
  </x:si>
  <x:si>
    <x:t xml:space="preserve">分别提示“请输入登录账号。”与“请输入密码。”。</x:t>
  </x:si>
  <x:si>
    <x:t xml:space="preserve">front-empty-account.txt；front-empty-password.txt</x:t>
  </x:si>
  <x:si>
    <x:t xml:space="preserve">未覆盖停用账号、有效账号恢复。</x:t>
  </x:si>
  <x:si>
    <x:t xml:space="preserve">RUN-03</x:t>
  </x:si>
  <x:si>
    <x:t xml:space="preserve">AUTH-02无效账号</x:t>
  </x:si>
  <x:si>
    <x:t xml:space="preserve">输入QA-NONEXIST-20260927及非凭据测试字符串，提交</x:t>
  </x:si>
  <x:si>
    <x:t xml:space="preserve">显示“账号或密码错误”，仍停留登录页。</x:t>
  </x:si>
  <x:si>
    <x:t xml:space="preserve">front-invalid-account.txt；front-invalid-account.png</x:t>
  </x:si>
  <x:si>
    <x:t xml:space="preserve">未使用或猜测任何真实账号密码。</x:t>
  </x:si>
  <x:si>
    <x:t xml:space="preserve">RUN-04</x:t>
  </x:si>
  <x:si>
    <x:t xml:space="preserve">前台忘记密码</x:t>
  </x:si>
  <x:si>
    <x:t xml:space="preserve">聚焦忘记密码后按Enter</x:t>
  </x:si>
  <x:si>
    <x:t xml:space="preserve">弹出联系系统管理员说明及只记账号不存密码提示。</x:t>
  </x:si>
  <x:si>
    <x:t xml:space="preserve">front-help.txt；front-help.png</x:t>
  </x:si>
  <x:si>
    <x:t xml:space="preserve">早先鼠标操作无响应尚未稳定复现，未列为产品缺陷。</x:t>
  </x:si>
  <x:si>
    <x:t xml:space="preserve">RUN-05</x:t>
  </x:si>
  <x:si>
    <x:t xml:space="preserve">后台登录</x:t>
  </x:si>
  <x:si>
    <x:t xml:space="preserve">账号和密码清空后提交</x:t>
  </x:si>
  <x:si>
    <x:t xml:space="preserve">出现“请输入账号”“请输入密码”，未进入管理页面。</x:t>
  </x:si>
  <x:si>
    <x:t xml:space="preserve">admin-empty-fields.txt；admin-empty-fields.png</x:t>
  </x:si>
  <x:si>
    <x:t xml:space="preserve">不同角色的成功登录尚未验证。</x:t>
  </x:si>
  <x:si>
    <x:t xml:space="preserve">RUN-06</x:t>
  </x:si>
  <x:si>
    <x:t xml:space="preserve">AUTH/OPS访问保护</x:t>
  </x:si>
  <x:si>
    <x:t xml:space="preserve">未登录访问前台合法性页及后台设备管理、实时监测、接入调测</x:t>
  </x:si>
  <x:si>
    <x:t xml:space="preserve">全部回登录页；后台redirect分别保留对应运维地址。</x:t>
  </x:si>
  <x:si>
    <x:t xml:space="preserve">route-guards.json；admin-monitor-guard.txt；admin-commission-guard.txt</x:t>
  </x:si>
  <x:si>
    <x:t xml:space="preserve">仅未登录变体，不代表已登录角色/范围隔离通过。</x:t>
  </x:si>
  <x:si>
    <x:t xml:space="preserve">RUN-07</x:t>
  </x:si>
  <x:si>
    <x:t xml:space="preserve">OPS接口访问保护</x:t>
  </x:si>
  <x:si>
    <x:t xml:space="preserve">无Authorization读取9个已核对路由的只读接口</x:t>
  </x:si>
  <x:si>
    <x:t xml:space="preserve">9个接口全部401：身份、设备、监测概览/树、维护待办/消息、调测、连接配置、感知目标。</x:t>
  </x:si>
  <x:si>
    <x:t xml:space="preserve">unauth-api.json</x:t>
  </x:si>
  <x:si>
    <x:t xml:space="preserve">未检查登录后对象级越权；无写操作。</x:t>
  </x:si>
  <x:si>
    <x:t xml:space="preserve">RUN-08</x:t>
  </x:si>
  <x:si>
    <x:t xml:space="preserve">模拟器收件箱</x:t>
  </x:si>
  <x:si>
    <x:t xml:space="preserve">未登录打开收件箱并切换飞手短信</x:t>
  </x:si>
  <x:si>
    <x:t xml:space="preserve">显示“请先登录本机测试系统，读取通知与业务资料。”；没有冒充收信成功。</x:t>
  </x:si>
  <x:si>
    <x:t xml:space="preserve">sim-inbox.txt；sim-inbox.png</x:t>
  </x:si>
  <x:si>
    <x:t xml:space="preserve">未核对实际通知送达、播放和回执。</x:t>
  </x:si>
  <x:si>
    <x:t xml:space="preserve">RUN-09</x:t>
  </x:si>
  <x:si>
    <x:t xml:space="preserve">后台页面标题</x:t>
  </x:si>
  <x:si>
    <x:t xml:space="preserve">初次打开、刷新及三种运维深链回登录</x:t>
  </x:si>
  <x:si>
    <x:t xml:space="preserve">标题“登录 - undefined”重复出现。</x:t>
  </x:si>
  <x:si>
    <x:t xml:space="preserve">admin-title.txt；admin-login.png</x:t>
  </x:si>
  <x:si>
    <x:t xml:space="preserve">BUG-001；尚未修改。</x:t>
  </x:si>
  <x:si>
    <x:t xml:space="preserve">RUN-10</x:t>
  </x:si>
  <x:si>
    <x:t xml:space="preserve">打开地图并读取控制台</x:t>
  </x:si>
  <x:si>
    <x:t xml:space="preserve">3个theme-tex纹理缺失告警；地图最终加载，视觉影响待核实。</x:t>
  </x:si>
  <x:si>
    <x:t xml:space="preserve">待核实</x:t>
  </x:si>
  <x:si>
    <x:t xml:space="preserve">sim-console.json</x:t>
  </x:si>
  <x:si>
    <x:t xml:space="preserve">OBS-001；不计为已证实业务故障。</x:t>
  </x:si>
  <x:si>
    <x:t xml:space="preserve">RUN-11</x:t>
  </x:si>
  <x:si>
    <x:t xml:space="preserve">后台现有自动化</x:t>
  </x:si>
  <x:si>
    <x:t xml:space="preserve">运行10个指定Vitest测试文件</x:t>
  </x:si>
  <x:si>
    <x:t xml:space="preserve">共51项通过、0失败、0跳过。涵盖设备权限/删除/资料、维护调测/消息/工作流、监测、自动规则、认证路由。</x:t>
  </x:si>
  <x:si>
    <x:t xml:space="preserve">admin-unit-results.json</x:t>
  </x:si>
  <x:si>
    <x:t xml:space="preserve">本地组件/模型检查，不能代替真实后端、设备或完整业务流程。</x:t>
  </x:si>
  <x:si>
    <x:t xml:space="preserve">RUN-12</x:t>
  </x:si>
  <x:si>
    <x:t xml:space="preserve">第一轮流程准备</x:t>
  </x:si>
  <x:si>
    <x:t xml:space="preserve">第一轮尝试F01规则准备和F31设备准备</x:t>
  </x:si>
  <x:si>
    <x:t xml:space="preserve">当时缺有效账号。第二轮用户已提供且前后台登录成功，BLOCK-001解除。</x:t>
  </x:si>
  <x:si>
    <x:t xml:space="preserve">BLOCK-001；第一轮admin-login.png</x:t>
  </x:si>
  <x:si>
    <x:t xml:space="preserve">此行为账号准备复核通过，不表示F01/F31通过；当前阻塞见BLOCK-002。</x:t>
  </x:si>
  <x:si>
    <x:t xml:space="preserve">证据目录：C:/Users/Admin（无密码）/.codex/visualizations/2026/09/27/01a0e0b7-3c23-7c00-aeba-e67e75596ac8/qa-20260927</x:t>
  </x:si>
  <x:si>
    <x:t xml:space="preserve">未改代码、配置、权限或业务记录；未启动模拟、未发通知、未操作设备。第二轮只登录与读取，认证会话/访问审计属于正常副作用。</x:t>
  </x:si>
  <x:si>
    <x:t xml:space="preserve">第二轮：账号已验证，数据库服务中断</x:t>
  </x:si>
  <x:si>
    <x:t xml:space="preserve">RUN-13</x:t>
  </x:si>
  <x:si>
    <x:t xml:space="preserve">AUTH-01登录部分</x:t>
  </x:si>
  <x:si>
    <x:t xml:space="preserve">使用用户提供的账号登录前台</x:t>
  </x:si>
  <x:si>
    <x:t xml:space="preserve">进入#/legality，显示超级管理员及8个业务导航，合法性列表0条。</x:t>
  </x:si>
  <x:si>
    <x:t xml:space="preserve">login-observation.json</x:t>
  </x:si>
  <x:si>
    <x:t xml:space="preserve">只验证成功登录；刷新受环境中断影响，AUTH-01整项仍暂时测不了。</x:t>
  </x:si>
  <x:si>
    <x:t xml:space="preserve">RUN-14</x:t>
  </x:si>
  <x:si>
    <x:t xml:space="preserve">后台登录和运维入口</x:t>
  </x:si>
  <x:si>
    <x:t xml:space="preserve">同账号登录后台，进入设备接入调测</x:t>
  </x:si>
  <x:si>
    <x:t xml:space="preserve">显示超级管理员、17台设备及真实接入诊断，后台会话可读。标题仍带undefined。</x:t>
  </x:si>
  <x:si>
    <x:t xml:space="preserve">login-observation.json；admin-service-error.txt</x:t>
  </x:si>
  <x:si>
    <x:t xml:space="preserve">无权/只读/跨范围账号尚未准备，不能认定权限全覆盖。</x:t>
  </x:si>
  <x:si>
    <x:t xml:space="preserve">RUN-15</x:t>
  </x:si>
  <x:si>
    <x:t xml:space="preserve">主动上报协议诊断</x:t>
  </x:si>
  <x:si>
    <x:t xml:space="preserve">查看已存在的模拟5G-A设备sim-0926151251-e9c9-1</x:t>
  </x:si>
  <x:si>
    <x:t xml:space="preserve">显示模拟数据、MQTT主动上报、不支持创建TCP式调测任务。尚未收到有效工参，必填项0/9，连接与设备状态分开展示。</x:t>
  </x:si>
  <x:si>
    <x:t xml:space="preserve">只读检查单台历史设备；未创建新调测，未验证实时恢复。</x:t>
  </x:si>
  <x:si>
    <x:t xml:space="preserve">RUN-16</x:t>
  </x:si>
  <x:si>
    <x:t xml:space="preserve">NET异常提示</x:t>
  </x:si>
  <x:si>
    <x:t xml:space="preserve">数据库不可用时刷新前台并读取后台、登录模拟器</x:t>
  </x:si>
  <x:si>
    <x:t xml:space="preserve">前台提示响应超时并保留会话；后台提示后端无法连接；模拟器明确连接失败。</x:t>
  </x:si>
  <x:si>
    <x:t xml:space="preserve">front-backend-timeout.png；admin-service-error.png；sim-login-error.png</x:t>
  </x:si>
  <x:si>
    <x:t xml:space="preserve">通过仅指没有伪报正常；服务中断本身为BLOCK-002。</x:t>
  </x:si>
  <x:si>
    <x:t xml:space="preserve">RUN-17</x:t>
  </x:si>
  <x:si>
    <x:t xml:space="preserve">环境故障定位</x:t>
  </x:si>
  <x:si>
    <x:t xml:space="preserve">限时接口探测、检查进程/端口及数据库异常日志</x:t>
  </x:si>
  <x:si>
    <x:t xml:space="preserve">8081与8766仍监听，25432无监听。后台日志为数据库Connection refused与Hikari连接池约30秒超时。独立登录请求6秒、7秒限时均超时。</x:t>
  </x:si>
  <x:si>
    <x:t xml:space="preserve">database-connection-errors.txt；service-status.json；login-probe.json</x:t>
  </x:si>
  <x:si>
    <x:t xml:space="preserve">未重启。需要恢复现有数据库运行后才能继续业务流程；不清库、不重建。</x:t>
  </x:si>
  <x:si>
    <x:t xml:space="preserve">第二轮证据目录：C:/Users/Admin（无密码）/.codex/visualizations/2026/09/27/01a0e0b7-3c23-7c00-aeba-e67e75596ac8/qa-20260927-round2</x:t>
  </x:si>
  <x:si>
    <x:t xml:space="preserve">第三轮：环境恢复与设备离线恢复接口测试</x:t>
  </x:si>
  <x:si>
    <x:t xml:space="preserve">证据文件（第三轮）</x:t>
  </x:si>
  <x:si>
    <x:t xml:space="preserve">RUN-18</x:t>
  </x:si>
  <x:si>
    <x:t xml:space="preserve">恢复原数据库和MQTT容器</x:t>
  </x:si>
  <x:si>
    <x:t xml:space="preserve">Docker29.6.2；数据库ready；后端UP；认证及设备接口200。</x:t>
  </x:si>
  <x:si>
    <x:t xml:space="preserve">environment-recovered.json</x:t>
  </x:si>
  <x:si>
    <x:t xml:space="preserve">Docker设置EnableDockerAI改为false，运行时目录已备份。未清库。</x:t>
  </x:si>
  <x:si>
    <x:t xml:space="preserve">RUN-19</x:t>
  </x:si>
  <x:si>
    <x:t xml:space="preserve">修复后台页签默认平台名称</x:t>
  </x:si>
  <x:si>
    <x:t xml:space="preserve">添加默认值，管理端lint、25个测试文件107项测试、build通过。</x:t>
  </x:si>
  <x:si>
    <x:t xml:space="preserve">待页面复测</x:t>
  </x:si>
  <x:si>
    <x:t xml:space="preserve">admin-verification.json</x:t>
  </x:si>
  <x:si>
    <x:t xml:space="preserve">浏览器权限阻止实际页面复测。</x:t>
  </x:si>
  <x:si>
    <x:t xml:space="preserve">RUN-20</x:t>
  </x:si>
  <x:si>
    <x:t xml:space="preserve">重试前后台页面访问</x:t>
  </x:si>
  <x:si>
    <x:t xml:space="preserve">前台保存的禁止设置仍生效，后台也拒绝访问。</x:t>
  </x:si>
  <x:si>
    <x:t xml:space="preserve">问题记录BLOCK-003</x:t>
  </x:si>
  <x:si>
    <x:t xml:space="preserve">需实际更改Codex站点权限。</x:t>
  </x:si>
  <x:si>
    <x:t xml:space="preserve">RUN-21</x:t>
  </x:si>
  <x:si>
    <x:t xml:space="preserve">自动/手动流程准备</x:t>
  </x:si>
  <x:si>
    <x:t xml:space="preserve">读取三组自动规则执行状态</x:t>
  </x:si>
  <x:si>
    <x:t xml:space="preserve">verify/counter/dispose均DISABLED，配置不会触发自动动作。</x:t>
  </x:si>
  <x:si>
    <x:t xml:space="preserve">未完成</x:t>
  </x:si>
  <x:si>
    <x:t xml:space="preserve">baseline.json</x:t>
  </x:si>
  <x:si>
    <x:t xml:space="preserve">须在隔离测试配置中启用对应引擎并完成场景前置，不能只测试保存。</x:t>
  </x:si>
  <x:si>
    <x:t xml:space="preserve">RUN-22</x:t>
  </x:si>
  <x:si>
    <x:t xml:space="preserve">F32首报</x:t>
  </x:si>
  <x:si>
    <x:t xml:space="preserve">新增一个replay雷达并发送有效工参</x:t>
  </x:si>
  <x:si>
    <x:t xml:space="preserve">设备ONLINE，健康UNKNOWN，未声称整体健康。</x:t>
  </x:si>
  <x:si>
    <x:t xml:space="preserve">device-lifecycle.json</x:t>
  </x:si>
  <x:si>
    <x:t xml:space="preserve">本批次不含目标和计划，不计完整F32通过。</x:t>
  </x:si>
  <x:si>
    <x:t xml:space="preserve">RUN-23</x:t>
  </x:si>
  <x:si>
    <x:t xml:space="preserve">F32停报及去重</x:t>
  </x:si>
  <x:si>
    <x:t xml:space="preserve">第35秒停止上报，跨多个周期读取</x:t>
  </x:si>
  <x:si>
    <x:t xml:space="preserve">30秒无工参后OFFLINE；第69秒及101秒只有同一条离线事件。</x:t>
  </x:si>
  <x:si>
    <x:t xml:space="preserve">前台告警显示仍未验收。</x:t>
  </x:si>
  <x:si>
    <x:t xml:space="preserve">RUN-24</x:t>
  </x:si>
  <x:si>
    <x:t xml:space="preserve">F32异常保护</x:t>
  </x:si>
  <x:si>
    <x:t xml:space="preserve">离线核验恢复并验证不支持的重启</x:t>
  </x:si>
  <x:si>
    <x:t xml:space="preserve">恢复核验FAIL；重启409 REBOOT_NOT_SUPPORTED，未伪造指令成功。</x:t>
  </x:si>
  <x:si>
    <x:t xml:space="preserve">device-actions.json</x:t>
  </x:si>
  <x:si>
    <x:t xml:space="preserve">仅测试LINGYUN MQTT离线事件。</x:t>
  </x:si>
  <x:si>
    <x:t xml:space="preserve">RUN-25</x:t>
  </x:si>
  <x:si>
    <x:t xml:space="preserve">F32恢复及幂等</x:t>
  </x:si>
  <x:si>
    <x:t xml:space="preserve">恢复有效心跳，再核验，同键重复</x:t>
  </x:si>
  <x:si>
    <x:t xml:space="preserve">ONLINE后核验PASS，事件RECOVERED，重复结果一致。健康仍UNKNOWN。</x:t>
  </x:si>
  <x:si>
    <x:t xml:space="preserve">device-actions.json、incident-recovered.json</x:t>
  </x:si>
  <x:si>
    <x:t xml:space="preserve">离线恢复不等于维护待办完成。</x:t>
  </x:si>
  <x:si>
    <x:t xml:space="preserve">RUN-26</x:t>
  </x:si>
  <x:si>
    <x:t xml:space="preserve">OPS-57部分</x:t>
  </x:si>
  <x:si>
    <x:t xml:space="preserve">重复读取运维消息</x:t>
  </x:si>
  <x:si>
    <x:t xml:space="preserve">连续读取内容及未读数相同，未自动标已读。</x:t>
  </x:si>
  <x:si>
    <x:t xml:space="preserve">部分验证</x:t>
  </x:si>
  <x:si>
    <x:t xml:space="preserve">read-only-checks.json</x:t>
  </x:si>
  <x:si>
    <x:t xml:space="preserve">当前账号未读数为0，未覆盖有未读及不同账号。</x:t>
  </x:si>
  <x:si>
    <x:t xml:space="preserve">RUN-27</x:t>
  </x:si>
  <x:si>
    <x:t xml:space="preserve">测试收尾</x:t>
  </x:si>
  <x:si>
    <x:t xml:space="preserve">停止模拟发送，保留本批次事实</x:t>
  </x:si>
  <x:si>
    <x:t xml:space="preserve">本批次停止后不自动续发，设备随后再次离线属于预期；历史不删除。</x:t>
  </x:si>
  <x:si>
    <x:t xml:space="preserve">已停止</x:t>
  </x:si>
  <x:si>
    <x:t xml:space="preserve">simulator-stop.json、device-lifecycle.json</x:t>
  </x:si>
  <x:si>
    <x:t xml:space="preserve">设备529a027a-41bd-48bd-b13b-e5b3562d6e9a，批次sim-0927184141-d977。</x:t>
  </x:si>
  <x:si>
    <x:t xml:space="preserve">第三轮证据目录：C:/Users/Admin（无密码）/.codex/visualizations/2026/09/27/01a0e0b7-3c23-7c00-aeba-e67e75596ac8/qa-20260927-round3</x:t>
  </x:si>
  <x:si>
    <x:t xml:space="preserve">第四轮：设备接入与维护流程接口边界</x:t>
  </x:si>
  <x:si>
    <x:t xml:space="preserve">证据文件（第四轮）</x:t>
  </x:si>
  <x:si>
    <x:t xml:space="preserve">RUN-28</x:t>
  </x:si>
  <x:si>
    <x:t xml:space="preserve">MQTT设备尝试创建调测</x:t>
  </x:si>
  <x:si>
    <x:t xml:space="preserve">409 PROTOCOL_UNSUPPORTED；调测任务前后均为0。</x:t>
  </x:si>
  <x:si>
    <x:t xml:space="preserve">api-checks.json</x:t>
  </x:si>
  <x:si>
    <x:t xml:space="preserve">仅LINGYUN接口边界，未覆盖光电和界面。</x:t>
  </x:si>
  <x:si>
    <x:t xml:space="preserve">RUN-29</x:t>
  </x:si>
  <x:si>
    <x:t xml:space="preserve">重复接入及同键修改内容</x:t>
  </x:si>
  <x:si>
    <x:t xml:space="preserve">相同请求提示已提交；不同内容拒绝；回读单台设备，名称未变。</x:t>
  </x:si>
  <x:si>
    <x:t xml:space="preserve">不将409提示当成新建成功。</x:t>
  </x:si>
  <x:si>
    <x:t xml:space="preserve">RUN-30</x:t>
  </x:si>
  <x:si>
    <x:t xml:space="preserve">停用、旧版本启用、刷新版本启用</x:t>
  </x:si>
  <x:si>
    <x:t xml:space="preserve">旧版本409；正常请求成功，测试设备已恢复原启用状态。</x:t>
  </x:si>
  <x:si>
    <x:t xml:space="preserve">设备版本现为2，配置未改为其他来源。</x:t>
  </x:si>
  <x:si>
    <x:t xml:space="preserve">RUN-31</x:t>
  </x:si>
  <x:si>
    <x:t xml:space="preserve">F33报修子链</x:t>
  </x:si>
  <x:si>
    <x:t xml:space="preserve">为本轮异常设备报修并重复提交</x:t>
  </x:si>
  <x:si>
    <x:t xml:space="preserve">创建唯一任务，同键复用。接收单位未配置，通知NOT_SENT。</x:t>
  </x:si>
  <x:si>
    <x:t xml:space="preserve">new-maintenance-task.json</x:t>
  </x:si>
  <x:si>
    <x:t xml:space="preserve">使用既有历史replay计划，不能替代今日实时完整流程。</x:t>
  </x:si>
  <x:si>
    <x:t xml:space="preserve">RUN-32</x:t>
  </x:si>
  <x:si>
    <x:t xml:space="preserve">OPS-42 / F35部分</x:t>
  </x:si>
  <x:si>
    <x:t xml:space="preserve">同账号两个并发START</x:t>
  </x:si>
  <x:si>
    <x:t xml:space="preserve">一次200一次409，仅一个START事件，状态PROCESSING。</x:t>
  </x:si>
  <x:si>
    <x:t xml:space="preserve">maintenance-concurrency.json</x:t>
  </x:si>
  <x:si>
    <x:t xml:space="preserve">第二人员权限隔离未测。</x:t>
  </x:si>
  <x:si>
    <x:t xml:space="preserve">RUN-33</x:t>
  </x:si>
  <x:si>
    <x:t xml:space="preserve">说明长度与保存不办结</x:t>
  </x:si>
  <x:si>
    <x:t xml:space="preserve">空白、1字、1001字拒绝；有效说明追加，状态仍处理中。</x:t>
  </x:si>
  <x:si>
    <x:t xml:space="preserve">api-checks.json、invalid-input-unchanged.json</x:t>
  </x:si>
  <x:si>
    <x:t xml:space="preserve">页面输入行为未测。</x:t>
  </x:si>
  <x:si>
    <x:t xml:space="preserve">RUN-34</x:t>
  </x:si>
  <x:si>
    <x:t xml:space="preserve">旧请求重放及旧入口防绕过</x:t>
  </x:si>
  <x:si>
    <x:t xml:space="preserve">同键重放返回最新版本，不增事件；同键不同内容和旧handling拒绝。</x:t>
  </x:si>
  <x:si>
    <x:t xml:space="preserve">当前账号权限下的接口用例。</x:t>
  </x:si>
  <x:si>
    <x:t xml:space="preserve">RUN-35</x:t>
  </x:si>
  <x:si>
    <x:t xml:space="preserve">F34异常分支</x:t>
  </x:si>
  <x:si>
    <x:t xml:space="preserve">提交核验、UNKNOWN、拒绝完成、恢复处理</x:t>
  </x:si>
  <x:si>
    <x:t xml:space="preserve">缺报修后新鲜事实为UNKNOWN；完成409；RESUME保留旧历史并清摘要。</x:t>
  </x:si>
  <x:si>
    <x:t xml:space="preserve">maintenance-final.json</x:t>
  </x:si>
  <x:si>
    <x:t xml:space="preserve">任务未完成；缺取得PASS的真实模拟协议事实。</x:t>
  </x:si>
  <x:si>
    <x:t xml:space="preserve">RUN-36</x:t>
  </x:si>
  <x:si>
    <x:t xml:space="preserve">OPS-57/58</x:t>
  </x:si>
  <x:si>
    <x:t xml:space="preserve">读取消息及重复标已读</x:t>
  </x:si>
  <x:si>
    <x:t xml:space="preserve">GET保持消息不变；重复标记保留首次时间，任务状态未因此推进。</x:t>
  </x:si>
  <x:si>
    <x:t xml:space="preserve">第二账号、页面未读数及分页待测。</x:t>
  </x:si>
  <x:si>
    <x:t xml:space="preserve">RUN-37</x:t>
  </x:si>
  <x:si>
    <x:t xml:space="preserve">收尾与原数据保护</x:t>
  </x:si>
  <x:si>
    <x:t xml:space="preserve">核对原任务与本轮任务</x:t>
  </x:si>
  <x:si>
    <x:t xml:space="preserve">原任务PENDING版本1、0事件；补测健康未知后，本轮PROCESSING版本9、8事件。</x:t>
  </x:si>
  <x:si>
    <x:t xml:space="preserve">round-summary.json、assertions.json</x:t>
  </x:si>
  <x:si>
    <x:t xml:space="preserve">本轮待办保留用于后续界面复测，不伪造恢复或删除历史。</x:t>
  </x:si>
  <x:si>
    <x:t xml:space="preserve">RUN-38</x:t>
  </x:si>
  <x:si>
    <x:t xml:space="preserve">新鲜在线但健康未知</x:t>
  </x:si>
  <x:si>
    <x:t xml:space="preserve">给同一replay设备发有效工参，ONLINE但health=UNKNOWN。核验UNKNOWN、完成409、恢复处理保留历史。</x:t>
  </x:si>
  <x:si>
    <x:t xml:space="preserve">fresh-unknown-health.json、api-checks.json</x:t>
  </x:si>
  <x:si>
    <x:t xml:space="preserve">只发一条协议报文，无持续发送任务；随后再次超时离线属于预期。</x:t>
  </x:si>
  <x:si>
    <x:t xml:space="preserve">第四轮证据目录：C:/Users/Admin（无密码）/.codex/visualizations/2026/09/27/01a0e0b7-3c23-7c00-aeba-e67e75596ac8/qa-20260927-round4</x:t>
  </x:si>
  <x:si>
    <x:t xml:space="preserve">第五轮：2026-09-27，北京时间。环境恢复、真实页面与隔离自动测试；以下通过均注明范围。</x:t>
  </x:si>
  <x:si>
    <x:t xml:space="preserve">RUN-39</x:t>
  </x:si>
  <x:si>
    <x:t xml:space="preserve">环境恢复</x:t>
  </x:si>
  <x:si>
    <x:t xml:space="preserve">恢复原Docker、PostgreSQL、MQTT、后台、模拟器及Java服务</x:t>
  </x:si>
  <x:si>
    <x:t xml:space="preserve">原2用户18设备仍在；启动后四入口200。原业务库未重建；Java使用ASCII临时目录。</x:t>
  </x:si>
  <x:si>
    <x:t xml:space="preserve">第五、六轮证据：reachability.json</x:t>
  </x:si>
  <x:si>
    <x:t xml:space="preserve">只证明环境可达；Docker日志有reset记录但用户否认操作，未归因。</x:t>
  </x:si>
  <x:si>
    <x:t xml:space="preserve">RUN-40</x:t>
  </x:si>
  <x:si>
    <x:t xml:space="preserve">页面登录</x:t>
  </x:si>
  <x:si>
    <x:t xml:space="preserve">恢复前后台原会话，用户重新登录模拟器</x:t>
  </x:si>
  <x:si>
    <x:t xml:space="preserve">超级管理员身份正确，刷新及页面跳转可用；站点访问限制解除。</x:t>
  </x:si>
  <x:si>
    <x:t xml:space="preserve">第五、六轮证据：front-session-recovered.txt；inbox-checks.json</x:t>
  </x:si>
  <x:si>
    <x:t xml:space="preserve">其他权限身份仍待准备。</x:t>
  </x:si>
  <x:si>
    <x:t xml:space="preserve">RUN-41</x:t>
  </x:si>
  <x:si>
    <x:t xml:space="preserve">BUG-001复测</x:t>
  </x:si>
  <x:si>
    <x:t xml:space="preserve">查看后台登录与运维页标题</x:t>
  </x:si>
  <x:si>
    <x:t xml:space="preserve">标题不再出现undefined。</x:t>
  </x:si>
  <x:si>
    <x:t xml:space="preserve">第五、六轮证据：admin-login-title.png；commission-eo.png</x:t>
  </x:si>
  <x:si>
    <x:t xml:space="preserve">仅关闭此标题问题。</x:t>
  </x:si>
  <x:si>
    <x:t xml:space="preserve">RUN-42</x:t>
  </x:si>
  <x:si>
    <x:t xml:space="preserve">管理端自动测试</x:t>
  </x:si>
  <x:si>
    <x:t xml:space="preserve">运行既有npm测试</x:t>
  </x:si>
  <x:si>
    <x:t xml:space="preserve">107项通过，0失败0跳过。</x:t>
  </x:si>
  <x:si>
    <x:t xml:space="preserve">第五、六轮证据：admin-unit-results.json</x:t>
  </x:si>
  <x:si>
    <x:t xml:space="preserve">不替代真实页面业务闭环。</x:t>
  </x:si>
  <x:si>
    <x:t xml:space="preserve">RUN-43</x:t>
  </x:si>
  <x:si>
    <x:t xml:space="preserve">后端定向测试</x:t>
  </x:si>
  <x:si>
    <x:t xml:space="preserve">运行认证、设备、维护、通知流相关6类测试</x:t>
  </x:si>
  <x:si>
    <x:t xml:space="preserve">52项通过，0失败0错误0跳过。</x:t>
  </x:si>
  <x:si>
    <x:t xml:space="preserve">第五、六轮证据：server-tests.log</x:t>
  </x:si>
  <x:si>
    <x:t xml:space="preserve">包含测试夹具，不代表真实设备结果。</x:t>
  </x:si>
  <x:si>
    <x:t xml:space="preserve">RUN-44</x:t>
  </x:si>
  <x:si>
    <x:t xml:space="preserve">模拟器单元测试</x:t>
  </x:si>
  <x:si>
    <x:t xml:space="preserve">运行unittest discover</x:t>
  </x:si>
  <x:si>
    <x:t xml:space="preserve">20项通过。</x:t>
  </x:si>
  <x:si>
    <x:t xml:space="preserve">第五、六轮证据：simulator-tests.log</x:t>
  </x:si>
  <x:si>
    <x:t xml:space="preserve">无真实设备动作。</x:t>
  </x:si>
  <x:si>
    <x:t xml:space="preserve">RUN-45</x:t>
  </x:si>
  <x:si>
    <x:t xml:space="preserve">PostgreSQL运维测试</x:t>
  </x:si>
  <x:si>
    <x:t xml:space="preserve">独立maintenance_flow_verify_qa0927r5库运行既有测试</x:t>
  </x:si>
  <x:si>
    <x:t xml:space="preserve">补齐该隔离库PostGIS后23项通过；原业务库不作为测试夹具写入目标。</x:t>
  </x:si>
  <x:si>
    <x:t xml:space="preserve">第五、六轮证据：postgres-tests-retry.log</x:t>
  </x:si>
  <x:si>
    <x:t xml:space="preserve">首次缺PostGIS失败保留，不掩盖环境准备过程。</x:t>
  </x:si>
  <x:si>
    <x:t xml:space="preserve">RUN-46</x:t>
  </x:si>
  <x:si>
    <x:t xml:space="preserve">前台契约测试</x:t>
  </x:si>
  <x:si>
    <x:t xml:space="preserve">运行6个既有契约文件</x:t>
  </x:si>
  <x:si>
    <x:t xml:space="preserve">8项中5通过3失败，旧断言及CRLF导入剥离问题。</x:t>
  </x:si>
  <x:si>
    <x:t xml:space="preserve">第五、六轮证据：front-contract-tests.log</x:t>
  </x:si>
  <x:si>
    <x:t xml:space="preserve">TEST-001；不改产品代码或将失败忽略。</x:t>
  </x:si>
  <x:si>
    <x:t xml:space="preserve">RUN-47</x:t>
  </x:si>
  <x:si>
    <x:t xml:space="preserve">OPS-07/15</x:t>
  </x:si>
  <x:si>
    <x:t xml:space="preserve">切换4种接入类型，创建独立天气档案</x:t>
  </x:si>
  <x:si>
    <x:t xml:space="preserve">QA0927-R5-WEATHER-01保存后停用、待接入，无假天气数据。</x:t>
  </x:si>
  <x:si>
    <x:t xml:space="preserve">第五、六轮证据：device-type-forms.json；weather-onboard.png</x:t>
  </x:si>
  <x:si>
    <x:t xml:space="preserve">保留测试档案，无真实设备指令。</x:t>
  </x:si>
  <x:si>
    <x:t xml:space="preserve">RUN-48</x:t>
  </x:si>
  <x:si>
    <x:t xml:space="preserve">查看MQTT及光电接入诊断</x:t>
  </x:si>
  <x:si>
    <x:t xml:space="preserve">主动上报协议显示不支持TCP式调测，未创建任务，工参缺失及过期可见。</x:t>
  </x:si>
  <x:si>
    <x:t xml:space="preserve">第五、六轮证据：commission-qa-radar.txt；commission-eo.txt</x:t>
  </x:si>
  <x:si>
    <x:t xml:space="preserve">不代表支持TCP设备的完整调测已完成。</x:t>
  </x:si>
  <x:si>
    <x:t xml:space="preserve">RUN-49</x:t>
  </x:si>
  <x:si>
    <x:t xml:space="preserve">MQTT时间线</x:t>
  </x:si>
  <x:si>
    <x:t xml:space="preserve">新独立批次定时掉线及恢复</x:t>
  </x:si>
  <x:si>
    <x:t xml:space="preserve">19:54:42 OFFLINE；19:54:50 ONLINE；健康始终UNKNOWN。第二批64条确认，180秒完成。</x:t>
  </x:si>
  <x:si>
    <x:t xml:space="preserve">部分通过</x:t>
  </x:si>
  <x:si>
    <x:t xml:space="preserve">第五、六轮证据：device-lifecycle-r5.jsonl；simulator-final.json</x:t>
  </x:si>
  <x:si>
    <x:t xml:space="preserve">F32仍缺目标首报、GOOD样本及同批事件核验。</x:t>
  </x:si>
  <x:si>
    <x:t xml:space="preserve">RUN-50</x:t>
  </x:si>
  <x:si>
    <x:t xml:space="preserve">前后台同设备</x:t>
  </x:si>
  <x:si>
    <x:t xml:space="preserve">定位sim-0927195329-a584-1</x:t>
  </x:si>
  <x:si>
    <x:t xml:space="preserve">后台及前台同编号在线可见，未知覆盖参数不绘制假范围。前台设备资料约60秒刷新。</x:t>
  </x:si>
  <x:si>
    <x:t xml:space="preserve">第五、六轮证据：monitor-online.txt；front-reloaded-devices.txt</x:t>
  </x:si>
  <x:si>
    <x:t xml:space="preserve">不能用该采样证明所有状态瞬时同步。</x:t>
  </x:si>
  <x:si>
    <x:t xml:space="preserve">RUN-51</x:t>
  </x:si>
  <x:si>
    <x:t xml:space="preserve">维护进展空白、单字、1001字及正常说明</x:t>
  </x:si>
  <x:si>
    <x:t xml:space="preserve">无效说明阻止；有效说明仅追加历史，仍处理中，UNKNOWN历史保留。</x:t>
  </x:si>
  <x:si>
    <x:t xml:space="preserve">第五、六轮证据：maintenance-final-ui.txt；progress-validation.json；maintenance-progress-saved.txt</x:t>
  </x:si>
  <x:si>
    <x:t xml:space="preserve">未取得恢复PASS，不标已修好。</x:t>
  </x:si>
  <x:si>
    <x:t xml:space="preserve">RUN-52</x:t>
  </x:si>
  <x:si>
    <x:t xml:space="preserve">OPS-59/63局部</x:t>
  </x:si>
  <x:si>
    <x:t xml:space="preserve">恢复旧任务、从消息定位</x:t>
  </x:si>
  <x:si>
    <x:t xml:space="preserve">同一任务与设备正确，重启后仍可读历史；原非测试待办未操作。</x:t>
  </x:si>
  <x:si>
    <x:t xml:space="preserve">第五、六轮证据：maintenance-message-route.txt；maintenance-messages.txt</x:t>
  </x:si>
  <x:si>
    <x:t xml:space="preserve">缺撤权/删除定位及TCP进行中恢复分支。</x:t>
  </x:si>
  <x:si>
    <x:t xml:space="preserve">RUN-53</x:t>
  </x:si>
  <x:si>
    <x:t xml:space="preserve">旧管理入口</x:t>
  </x:si>
  <x:si>
    <x:t xml:space="preserve">逐一打开六个迁移地址</x:t>
  </x:si>
  <x:si>
    <x:t xml:space="preserve">全部显示迁移提示，原地址保留，无自动跳转和管理表单。</x:t>
  </x:si>
  <x:si>
    <x:t xml:space="preserve">对应主清单8。</x:t>
  </x:si>
  <x:si>
    <x:t xml:space="preserve">RUN-54</x:t>
  </x:si>
  <x:si>
    <x:t xml:space="preserve">飞行计划与空域</x:t>
  </x:si>
  <x:si>
    <x:t xml:space="preserve">查看计划、天气、空域详情及搜索清空</x:t>
  </x:si>
  <x:si>
    <x:t xml:space="preserve">未提供字段、未找到飞机、天气未接入说明清楚；空域1→0→1筛选正常。</x:t>
  </x:si>
  <x:si>
    <x:t xml:space="preserve">第五、六轮证据：front-flights.txt；weather-unavailable.txt；airspace-detail.txt；airspace-empty-filter.txt</x:t>
  </x:si>
  <x:si>
    <x:t xml:space="preserve">缺多空域、完整原始计划和各天气覆盖样本。</x:t>
  </x:si>
  <x:si>
    <x:t xml:space="preserve">RUN-55</x:t>
  </x:si>
  <x:si>
    <x:t xml:space="preserve">模拟通知收件箱</x:t>
  </x:si>
  <x:si>
    <x:t xml:space="preserve">四类收件箱分别刷新</x:t>
  </x:si>
  <x:si>
    <x:t xml:space="preserve">均为空，分页不可用；只读，没有发送/拨号/签收。</x:t>
  </x:si>
  <x:si>
    <x:t xml:space="preserve">第五、六轮证据：inbox-checks.json</x:t>
  </x:si>
  <x:si>
    <x:t xml:space="preserve">主清单135缺非空多页及不同投递状态。</x:t>
  </x:si>
  <x:si>
    <x:t xml:space="preserve">RUN-56</x:t>
  </x:si>
  <x:si>
    <x:t xml:space="preserve">打开证据管理并重新读取</x:t>
  </x:si>
  <x:si>
    <x:t xml:space="preserve">证据台账及统计资源不存在；日志确认evidence-ledger无后端资源。</x:t>
  </x:si>
  <x:si>
    <x:t xml:space="preserve">第五、六轮证据：evidence-ledger-404.png；evidence-ledger-server-errors.txt</x:t>
  </x:si>
  <x:si>
    <x:t xml:space="preserve">阻断证据预览、下载及关联测试。</x:t>
  </x:si>
  <x:si>
    <x:t xml:space="preserve">RUN-57</x:t>
  </x:si>
  <x:si>
    <x:t xml:space="preserve">运行统计导出</x:t>
  </x:si>
  <x:si>
    <x:t xml:space="preserve">真实点击导出，读取下载CSV</x:t>
  </x:si>
  <x:si>
    <x:t xml:space="preserve">中文、30日区间、回放标记、汇总与区域行对应。</x:t>
  </x:si>
  <x:si>
    <x:t xml:space="preserve">第五、六轮证据：stats-ui.txt；stats-export.csv</x:t>
  </x:si>
  <x:si>
    <x:t xml:space="preserve">固定范围；未完成权限范围、跨日及改条件导出。</x:t>
  </x:si>
  <x:si>
    <x:t xml:space="preserve">RUN-58</x:t>
  </x:si>
  <x:si>
    <x:t xml:space="preserve">自动链前提</x:t>
  </x:si>
  <x:si>
    <x:t xml:space="preserve">查看规则运行状态及业务列表</x:t>
  </x:si>
  <x:si>
    <x:t xml:space="preserve">引擎未启用；当前无研判、告警、交接。</x:t>
  </x:si>
  <x:si>
    <x:t xml:space="preserve">第五、六轮证据：rule-engine-disabled.txt；legality-all.txt；alarms-empty.txt；handoff-empty.txt</x:t>
  </x:si>
  <x:si>
    <x:t xml:space="preserve">未经核对的自动反制授权不能由计划文档代替。</x:t>
  </x:si>
  <x:si>
    <x:t xml:space="preserve">RUN-59</x:t>
  </x:si>
  <x:si>
    <x:t xml:space="preserve">大屏</x:t>
  </x:si>
  <x:si>
    <x:t xml:space="preserve">管理员打开并读取关键指标</x:t>
  </x:si>
  <x:si>
    <x:t xml:space="preserve">今日目标4、今日计划3、离线11，证据台账—。</x:t>
  </x:si>
  <x:si>
    <x:t xml:space="preserve">第五、六轮证据：bigscreen.txt；bigscreen.png</x:t>
  </x:si>
  <x:si>
    <x:t xml:space="preserve">无权账号、2小时持续运行、Chrome未测。</x:t>
  </x:si>
  <x:si>
    <x:t xml:space="preserve">第五轮证据目录（所有“第五轮证据”文件名均相对本目录）：C:/Users/Admin（无密码）/.codex/visualizations/2026/09/27/01a0e2a5-9f8d-7261-b23f-0e2b7ef4319e/qa-plan</x:t>
  </x:si>
  <x:si>
    <x:t xml:space="preserve">RUN-60</x:t>
  </x:si>
  <x:si>
    <x:t xml:space="preserve">扩展后端契约</x:t>
  </x:si>
  <x:si>
    <x:t xml:space="preserve">飞行/空域/研判/证据/权限/反制等34类</x:t>
  </x:si>
  <x:si>
    <x:t xml:space="preserve">310项：308通过，2失败；独立H2测试夹具。</x:t>
  </x:si>
  <x:si>
    <x:t xml:space="preserve">第五、六轮证据：server-expanded-tests.log</x:t>
  </x:si>
  <x:si>
    <x:t xml:space="preserve">TEST-002与TEST-003，不能替代真实页面闭环。</x:t>
  </x:si>
  <x:si>
    <x:t xml:space="preserve">RUN-61</x:t>
  </x:si>
  <x:si>
    <x:t xml:space="preserve">失败复跑</x:t>
  </x:si>
  <x:si>
    <x:t xml:space="preserve">只运行两个失败方法</x:t>
  </x:si>
  <x:si>
    <x:t xml:space="preserve">3个实例：2通过1失败。急停稳定409，续链单独通过。</x:t>
  </x:si>
  <x:si>
    <x:t xml:space="preserve">第五、六轮证据：server-two-failures-recheck.log</x:t>
  </x:si>
  <x:si>
    <x:t xml:space="preserve">没有修改代码或吞掉首轮失败。</x:t>
  </x:si>
  <x:si>
    <x:t xml:space="preserve">RUN-62</x:t>
  </x:si>
  <x:si>
    <x:t xml:space="preserve">风险通知移送契约</x:t>
  </x:si>
  <x:si>
    <x:t xml:space="preserve">既有22类隔离测试</x:t>
  </x:si>
  <x:si>
    <x:t xml:space="preserve">222项全部通过；包括模拟接口、通知回执、材料及自动规则。</x:t>
  </x:si>
  <x:si>
    <x:t xml:space="preserve">第五、六轮证据：server-risk-handoff-tests.log</x:t>
  </x:si>
  <x:si>
    <x:t xml:space="preserve">未开启真实自动引擎或外部通知。</x:t>
  </x:si>
  <x:si>
    <x:t xml:space="preserve">RUN-63</x:t>
  </x:si>
  <x:si>
    <x:t xml:space="preserve">计划及天气幂等</x:t>
  </x:si>
  <x:si>
    <x:t xml:space="preserve">真实表单提交后重复同消息</x:t>
  </x:si>
  <x:si>
    <x:t xml:space="preserve">各1份接收事实；前台对应同一计划和天气。</x:t>
  </x:si>
  <x:si>
    <x:t xml:space="preserve">第五、六轮证据：input-repeat-context-r5.json；weather-repeat-context-r5.json；weather-full.txt</x:t>
  </x:si>
  <x:si>
    <x:t xml:space="preserve">主清单23/27/136补齐。</x:t>
  </x:si>
  <x:si>
    <x:t xml:space="preserve">RUN-64</x:t>
  </x:si>
  <x:si>
    <x:t xml:space="preserve">天气边界</x:t>
  </x:si>
  <x:si>
    <x:t xml:space="preserve">全覆盖/部分/无覆盖及历史预报</x:t>
  </x:si>
  <x:si>
    <x:t xml:space="preserve">部分裁剪正确，无覆盖说明明确，历史切页仍保留。</x:t>
  </x:si>
  <x:si>
    <x:t xml:space="preserve">第五、六轮证据：weather-full.txt；weather-partial.txt；weather-none.txt；weather-past-return.txt</x:t>
  </x:si>
  <x:si>
    <x:t xml:space="preserve">30通过；29仍缺残缺时间样本。</x:t>
  </x:si>
  <x:si>
    <x:t xml:space="preserve">RUN-65</x:t>
  </x:si>
  <x:si>
    <x:t xml:space="preserve">空域选择和特殊文字</x:t>
  </x:si>
  <x:si>
    <x:t xml:space="preserve">独立允许区与既有禁飞区切换筛选</x:t>
  </x:si>
  <x:si>
    <x:t xml:space="preserve">ID、范围与详情对应，关闭/筛选清空正常，HTML样文字不解析。</x:t>
  </x:si>
  <x:si>
    <x:t xml:space="preserve">第五、六轮证据：airspace-new-detail.txt；airspace-switch-detail.txt；airspace-filter-selected.txt；airspace-cleared.txt</x:t>
  </x:si>
  <x:si>
    <x:t xml:space="preserve">45/144通过，新增测试空域保留。</x:t>
  </x:si>
  <x:si>
    <x:t xml:space="preserve">RUN-66</x:t>
  </x:si>
  <x:si>
    <x:t xml:space="preserve">统计故障恢复</x:t>
  </x:si>
  <x:si>
    <x:t xml:space="preserve">阻断统计请求后重试</x:t>
  </x:si>
  <x:si>
    <x:t xml:space="preserve">失败不显示假零值，恢复后真实数据可读。</x:t>
  </x:si>
  <x:si>
    <x:t xml:space="preserve">第五、六轮证据：stats-failure.txt；stats-recovered.txt</x:t>
  </x:si>
  <x:si>
    <x:t xml:space="preserve">117补齐，注入已解除。</x:t>
  </x:si>
  <x:si>
    <x:t xml:space="preserve">RUN-67</x:t>
  </x:si>
  <x:si>
    <x:t xml:space="preserve">目标故障恢复</x:t>
  </x:si>
  <x:si>
    <x:t xml:space="preserve">两次阻断目标请求后恢复</x:t>
  </x:si>
  <x:si>
    <x:t xml:space="preserve">故障显示0目标和数据已更新；恢复后4目标。</x:t>
  </x:si>
  <x:si>
    <x:t xml:space="preserve">第五、六轮证据：targets-failure-recheck.txt；targets-network-failures.json；targets-recovered.txt</x:t>
  </x:si>
  <x:si>
    <x:t xml:space="preserve">BUG-003，注入已解除。</x:t>
  </x:si>
  <x:si>
    <x:t xml:space="preserve">RUN-68</x:t>
  </x:si>
  <x:si>
    <x:t xml:space="preserve">不存在计划/刷新</x:t>
  </x:si>
  <x:si>
    <x:t xml:space="preserve">真实详情刷新、历史返回、无效UUID</x:t>
  </x:si>
  <x:si>
    <x:t xml:space="preserve">正常上下文保留，非法UUID明确不存在，不串其他计划。</x:t>
  </x:si>
  <x:si>
    <x:t xml:space="preserve">第五、六轮证据：plan-detail-refreshed.txt；plan-not-found.txt；weather-past-return.txt</x:t>
  </x:si>
  <x:si>
    <x:t xml:space="preserve">12通过。</x:t>
  </x:si>
  <x:si>
    <x:t xml:space="preserve">RUN-69</x:t>
  </x:si>
  <x:si>
    <x:t xml:space="preserve">模拟器控制</x:t>
  </x:si>
  <x:si>
    <x:t xml:space="preserve">新批次暂停、恢复、停止</x:t>
  </x:si>
  <x:si>
    <x:t xml:space="preserve">12.8秒/6条暂停不再增长；恢复到12条，24.9秒停止。</x:t>
  </x:si>
  <x:si>
    <x:t xml:space="preserve">第五、六轮证据：sim-control-start.json；sim-control-pause.json；sim-control-pause-later.json；sim-control-stopped.json</x:t>
  </x:si>
  <x:si>
    <x:t xml:space="preserve">137尚缺登录失效分支；当前批次已停止。</x:t>
  </x:si>
  <x:si>
    <x:t xml:space="preserve">RUN-70</x:t>
  </x:si>
  <x:si>
    <x:t xml:space="preserve">OPS-08/10</x:t>
  </x:si>
  <x:si>
    <x:t xml:space="preserve">协议切换及重复编号提交</x:t>
  </x:si>
  <x:si>
    <x:t xml:space="preserve">草稿字段清理正确；重复编号409，原档案未覆盖。</x:t>
  </x:si>
  <x:si>
    <x:t xml:space="preserve">第五、六轮证据：onboard-switch-values.json；onboard-duplicate-response.json；onboard-duplicate-readback.txt</x:t>
  </x:si>
  <x:si>
    <x:t xml:space="preserve">仅独立QA数据，未保存切换草稿。</x:t>
  </x:si>
  <x:si>
    <x:t xml:space="preserve">RUN-71</x:t>
  </x:si>
  <x:si>
    <x:t xml:space="preserve">OPS-14 / BUG-004</x:t>
  </x:si>
  <x:si>
    <x:t xml:space="preserve">编辑模拟雷达厂家</x:t>
  </x:si>
  <x:si>
    <x:t xml:space="preserve">身份字段锁定正确；保存500，PG参数$6类型无法确定。</x:t>
  </x:si>
  <x:si>
    <x:t xml:space="preserve">第五、六轮证据：device-edit-identity-locked.txt；device-edit-500.json；device-edit-postgres-error.txt；device-edit-failure-readback.txt</x:t>
  </x:si>
  <x:si>
    <x:t xml:space="preserve">已取消编辑，原数据保留。</x:t>
  </x:si>
  <x:si>
    <x:t xml:space="preserve">RUN-72</x:t>
  </x:si>
  <x:si>
    <x:t xml:space="preserve">从第3页按唯一编号筛选</x:t>
  </x:si>
  <x:si>
    <x:t xml:space="preserve">自动回第1页、唯一结果，翻页禁用。</x:t>
  </x:si>
  <x:si>
    <x:t xml:space="preserve">第五、六轮证据：devices-page3.txt；devices-filter-page-reset.txt</x:t>
  </x:si>
  <x:si>
    <x:t xml:space="preserve">未执行永久删除分支。</x:t>
  </x:si>
  <x:si>
    <x:t xml:space="preserve">RUN-73</x:t>
  </x:si>
  <x:si>
    <x:t xml:space="preserve">OPS-22/24</x:t>
  </x:si>
  <x:si>
    <x:t xml:space="preserve">监控轮询、暂停、手动刷新及失败恢复</x:t>
  </x:si>
  <x:si>
    <x:t xml:space="preserve">稳定约2秒/10秒；暂停无监控轮询，信息失败清旧值，恢复成功。</x:t>
  </x:si>
  <x:si>
    <x:t xml:space="preserve">第五、六轮证据：monitor-poll-intervals.json；monitor-poll-paused.json；monitor-info-failed.txt；monitor-info-recovered.txt</x:t>
  </x:si>
  <x:si>
    <x:t xml:space="preserve">故障注入已解除，实时刷新已恢复。</x:t>
  </x:si>
  <x:si>
    <x:t xml:space="preserve">RUN-74</x:t>
  </x:si>
  <x:si>
    <x:t xml:space="preserve">旧路由与回跳</x:t>
  </x:si>
  <x:si>
    <x:t xml:space="preserve">旧首页/工作台/风险页和非法redirect</x:t>
  </x:si>
  <x:si>
    <x:t xml:space="preserve">已回到承接页面；外站和错误地址留在系统内。</x:t>
  </x:si>
  <x:si>
    <x:t xml:space="preserve">第五、六轮证据：legacy-business-routes.json；legacy-workbench-final.txt；redirect-external-rejected.txt；redirect-invalid-rejected.txt</x:t>
  </x:si>
  <x:si>
    <x:t xml:space="preserve">旧授权记录及无权限分支缺条件。</x:t>
  </x:si>
  <x:si>
    <x:t xml:space="preserve">RUN-75</x:t>
  </x:si>
  <x:si>
    <x:t xml:space="preserve">浏览器边界</x:t>
  </x:si>
  <x:si>
    <x:t xml:space="preserve">尝试缩放、全屏及Chrome</x:t>
  </x:si>
  <x:si>
    <x:t xml:space="preserve">缩放/全屏未获可信实际尺寸确认；Chrome不可用。</x:t>
  </x:si>
  <x:si>
    <x:t xml:space="preserve">第五、六轮证据：fullscreen-cycle.json；zoom-attempt.png；chrome-unavailable.txt</x:t>
  </x:si>
  <x:si>
    <x:t xml:space="preserve">已还原开关和视口；不记作通过。</x:t>
  </x:si>
  <x:si>
    <x:t xml:space="preserve">RUN-76</x:t>
  </x:si>
  <x:si>
    <x:t xml:space="preserve">测试版本变动</x:t>
  </x:si>
  <x:si>
    <x:t xml:space="preserve">前台20:48附近短暂解析失败</x:t>
  </x:si>
  <x:si>
    <x:t xml:space="preserve">theme.js当时语法不完整，随后文件更新并恢复；本轮未改产品代码。</x:t>
  </x:si>
  <x:si>
    <x:t xml:space="preserve">记录</x:t>
  </x:si>
  <x:si>
    <x:t xml:space="preserve">第五、六轮证据：front-vite-syntax-block.txt；front-vite-syntax-block.png；front-theme-file-state.json</x:t>
  </x:si>
  <x:si>
    <x:t xml:space="preserve">长稳未完成，测试结果须以执行时版本为准。</x:t>
  </x:si>
  <x:si>
    <x:t xml:space="preserve">RUN-77</x:t>
  </x:si>
  <x:si>
    <x:t xml:space="preserve">分页及同名计划</x:t>
  </x:si>
  <x:si>
    <x:t xml:space="preserve">外部合法新增3计划，翻页/筛选/同名切换</x:t>
  </x:si>
  <x:si>
    <x:t xml:space="preserve">11条、10条/页，条件变化回第一页；天气不串对象。</x:t>
  </x:si>
  <x:si>
    <x:t xml:space="preserve">第六轮证据：r6-pagination-plan-inputs.json；r6-plans-page2.txt；r6-plans-filter-reset.txt；r6-plan-weather-switch.json</x:t>
  </x:si>
  <x:si>
    <x:t xml:space="preserve">存在BUG-006的筛选URL上下文路径。</x:t>
  </x:si>
  <x:si>
    <x:t xml:space="preserve">RUN-78</x:t>
  </x:si>
  <x:si>
    <x:t xml:space="preserve">空筛选后恢复，再刷新同一URL</x:t>
  </x:si>
  <x:si>
    <x:t xml:space="preserve">详情与URL不一致，刷新后对象改变。</x:t>
  </x:si>
  <x:si>
    <x:t xml:space="preserve">第六轮证据：r6-plan-filter-context-before.json；r6-plan-filter-context-after.json</x:t>
  </x:si>
  <x:si>
    <x:t xml:space="preserve">推翻主12此前仅刷新分支的整项通过。</x:t>
  </x:si>
  <x:si>
    <x:t xml:space="preserve">RUN-79</x:t>
  </x:si>
  <x:si>
    <x:t xml:space="preserve">TCP失败调测</x:t>
  </x:si>
  <x:si>
    <x:t xml:space="preserve">独立关闭端口连接、报告、新任务取消</x:t>
  </x:si>
  <x:si>
    <x:t xml:space="preserve">真实Connection refused，UNTESTABLE，无模拟成功；取消有效且旧报告保留。</x:t>
  </x:si>
  <x:si>
    <x:t xml:space="preserve">第六轮证据：r6-tcp-report.txt；r6-tcp-cancel-history.txt；r6-tcp-disabled.txt</x:t>
  </x:si>
  <x:si>
    <x:t xml:space="preserve">设备已停用；缺真实迟到回执/成功协议步骤。</x:t>
  </x:si>
  <x:si>
    <x:t xml:space="preserve">RUN-80</x:t>
  </x:si>
  <x:si>
    <x:t xml:space="preserve">目标输入链路</x:t>
  </x:si>
  <x:si>
    <x:t xml:space="preserve">提交带无计划风险的真实MQTT目标报文</x:t>
  </x:si>
  <x:si>
    <x:t xml:space="preserve">Broker确认并有device_data/radar，融合引擎关闭，无新目标和研判。</x:t>
  </x:si>
  <x:si>
    <x:t xml:space="preserve">第六轮证据：r6-target-start.json；r6-target-readback.txt</x:t>
  </x:si>
  <x:si>
    <x:t xml:space="preserve">输入成功不等同融合链通过，批次均已停止。</x:t>
  </x:si>
  <x:si>
    <x:t xml:space="preserve">RUN-81</x:t>
  </x:si>
  <x:si>
    <x:t xml:space="preserve">光电3秒阈值</x:t>
  </x:si>
  <x:si>
    <x:t xml:space="preserve">1秒心跳、20秒停报、恢复、主动停止</x:t>
  </x:si>
  <x:si>
    <x:t xml:space="preserve">33.1秒OFFLINE，51.7秒ONLINE；健康UNKNOWN。316条Broker确认后停止。</x:t>
  </x:si>
  <x:si>
    <x:t xml:space="preserve">第六轮证据：r6-eo-lifecycle.jsonl；r6-eo-final.json；r6-eo-monitor-recovery.txt</x:t>
  </x:si>
  <x:si>
    <x:t xml:space="preserve">只验连接阈值，不冒充健康GOOD。</x:t>
  </x:si>
  <x:si>
    <x:t xml:space="preserve">RUN-82</x:t>
  </x:si>
  <x:si>
    <x:t xml:space="preserve">退出与登录回跳</x:t>
  </x:si>
  <x:si>
    <x:t xml:space="preserve">退出、后退、刷新、外站redirect重新登录</x:t>
  </x:si>
  <x:si>
    <x:t xml:space="preserve">业务页受保护；外站redirect不离开本系统。</x:t>
  </x:si>
  <x:si>
    <x:t xml:space="preserve">第六轮证据：r6-logout-history.json；r6-login-external-redirect.json</x:t>
  </x:si>
  <x:si>
    <x:t xml:space="preserve">主4通过；无权回跳仍缺身份。</x:t>
  </x:si>
  <x:si>
    <x:t xml:space="preserve">RUN-83</x:t>
  </x:si>
  <x:si>
    <x:t xml:space="preserve">小窗与键盘</x:t>
  </x:si>
  <x:si>
    <x:t xml:space="preserve">7页面小视口、导航Tab/Enter、列表滚动</x:t>
  </x:si>
  <x:si>
    <x:t xml:space="preserve">键盘焦点可见，页脚可达；空域操作裁切复现。</x:t>
  </x:si>
  <x:si>
    <x:t xml:space="preserve">第六轮证据：r6-small-airspace-layout.json；r6-small-airspace-confirmed.png；r6-keyboard-navigation.json；r6-small-legality-scroll.json</x:t>
  </x:si>
  <x:si>
    <x:t xml:space="preserve">BUG-005；200%原生缩放未验证。</x:t>
  </x:si>
  <x:si>
    <x:t xml:space="preserve">RUN-84</x:t>
  </x:si>
  <x:si>
    <x:t xml:space="preserve">维护响应丢失</x:t>
  </x:si>
  <x:si>
    <x:t xml:space="preserve">服务端200后丢弃响应，按原请求重试</x:t>
  </x:si>
  <x:si>
    <x:t xml:space="preserve">同键、同body、同版本，仅1次提交；UNKNOWN后继续处理，历史保留。</x:t>
  </x:si>
  <x:si>
    <x:t xml:space="preserve">第六轮证据：r6-maintenance-lost-response-network.json；r6-maintenance-idempotent-retry.json；r6-maintenance-resumed.txt</x:t>
  </x:si>
  <x:si>
    <x:t xml:space="preserve">限定提交核验分支；未完成任务。</x:t>
  </x:si>
  <x:si>
    <x:t xml:space="preserve">RUN-85</x:t>
  </x:si>
  <x:si>
    <x:t xml:space="preserve">监控迟到响应</x:t>
  </x:si>
  <x:si>
    <x:t xml:space="preserve">光电A响应挂起，切天气B后放行A</x:t>
  </x:si>
  <x:si>
    <x:t xml:space="preserve">A已loadingFinished，仍显示B；空筛选清空旧读数。</x:t>
  </x:si>
  <x:si>
    <x:t xml:space="preserve">第六轮证据：r6-monitor-late-fast.json；r6-monitor-late-fast-completed.json；r6-monitor-empty-filter.txt</x:t>
  </x:si>
  <x:si>
    <x:t xml:space="preserve">OPS-23；旧两次失效拦截不计通过，已恢复轮询。</x:t>
  </x:si>
  <x:si>
    <x:t xml:space="preserve">RUN-86</x:t>
  </x:si>
  <x:si>
    <x:t xml:space="preserve">运维审计</x:t>
  </x:si>
  <x:si>
    <x:t xml:space="preserve">核对本轮3操作页面与只读数据库事实</x:t>
  </x:si>
  <x:si>
    <x:t xml:space="preserve">记录有对象ID，页面动作缺名、对象未展示。</x:t>
  </x:si>
  <x:si>
    <x:t xml:space="preserve">第六轮证据：r6-audit-list.txt；r6-audit-maintenance-db.csv；r6-audit-verification-detail.txt</x:t>
  </x:si>
  <x:si>
    <x:t xml:space="preserve">BUG-007；UNKNOWN原因保留。</x:t>
  </x:si>
  <x:si>
    <x:t xml:space="preserve">RUN-87</x:t>
  </x:si>
  <x:si>
    <x:t xml:space="preserve">设备后端测试</x:t>
  </x:si>
  <x:si>
    <x:t xml:space="preserve">62项设备/MQTT/光电等隔离测试</x:t>
  </x:si>
  <x:si>
    <x:t xml:space="preserve">首跑60通过2环境错误；两个ASCII临时目录参数后2项通过。</x:t>
  </x:si>
  <x:si>
    <x:t xml:space="preserve">第六轮证据：r6-device-integration-tests.log；r6-device-two-env-retry.log；r6-mqtt-ascii-temp-retest.log</x:t>
  </x:si>
  <x:si>
    <x:t xml:space="preserve">保留首次错误，无产品改动。</x:t>
  </x:si>
  <x:si>
    <x:t xml:space="preserve">RUN-88</x:t>
  </x:si>
  <x:si>
    <x:t xml:space="preserve">追加后端测试</x:t>
  </x:si>
  <x:si>
    <x:t xml:space="preserve">未执行的普通测试类</x:t>
  </x:si>
  <x:si>
    <x:t xml:space="preserve">543项：540通过3失败，3个失败单独复跑均复现。</x:t>
  </x:si>
  <x:si>
    <x:t xml:space="preserve">第六轮证据：r6-additional-backend-tests.log；r6-additional-failures.json；r6-additional-failures-retest.log</x:t>
  </x:si>
  <x:si>
    <x:t xml:space="preserve">TEST-004/005/006，不替代页面权限实测。</x:t>
  </x:si>
  <x:si>
    <x:t xml:space="preserve">RUN-89</x:t>
  </x:si>
  <x:si>
    <x:t xml:space="preserve">飞行及空域PostGIS</x:t>
  </x:si>
  <x:si>
    <x:t xml:space="preserve">4类独立数据库测试</x:t>
  </x:si>
  <x:si>
    <x:t xml:space="preserve">24项全部通过，无跳过；退出schema阶段有后台任务缺表日志，未影响断言。</x:t>
  </x:si>
  <x:si>
    <x:t xml:space="preserve">第六轮证据：r6-flight-airspace-postgres.log</x:t>
  </x:si>
  <x:si>
    <x:t xml:space="preserve">独立stage_flight_verify和airspace_verify测试库。</x:t>
  </x:si>
  <x:si>
    <x:t xml:space="preserve">RUN-90</x:t>
  </x:si>
  <x:si>
    <x:t xml:space="preserve">分阶段PostGIS</x:t>
  </x:si>
  <x:si>
    <x:t xml:space="preserve">12类空间/研判/融合/权限/急停等测试</x:t>
  </x:si>
  <x:si>
    <x:t xml:space="preserve">131项：124通过7失败，主要旧写入口/历史研判断言及已有急停冲突。</x:t>
  </x:si>
  <x:si>
    <x:t xml:space="preserve">第六轮证据：r6-stage-postgres.log；r6-stage-failures.json</x:t>
  </x:si>
  <x:si>
    <x:t xml:space="preserve">TEST-002/007/008，复跑记录另列。</x:t>
  </x:si>
  <x:si>
    <x:t xml:space="preserve">RUN-91</x:t>
  </x:si>
  <x:si>
    <x:t xml:space="preserve">通知证据PostGIS</x:t>
  </x:si>
  <x:si>
    <x:t xml:space="preserve">8类通知/目录/预览/视频/统计等测试</x:t>
  </x:si>
  <x:si>
    <x:t xml:space="preserve">104项全部通过，无跳过，全部使用隔离模拟夹具。</x:t>
  </x:si>
  <x:si>
    <x:t xml:space="preserve">第六轮证据：r6-advisory-postgres.log</x:t>
  </x:si>
  <x:si>
    <x:t xml:space="preserve">没有发送真实短信、电话或设备指令。</x:t>
  </x:si>
  <x:si>
    <x:t xml:space="preserve">RUN-92</x:t>
  </x:si>
  <x:si>
    <x:t xml:space="preserve">自动规则PostGIS</x:t>
  </x:si>
  <x:si>
    <x:t xml:space="preserve">配置、运行、事实快照3类</x:t>
  </x:si>
  <x:si>
    <x:t xml:space="preserve">16项：15通过1失败；未知分支状态正确，原因文案匹配失败。</x:t>
  </x:si>
  <x:si>
    <x:t xml:space="preserve">第六轮证据：r6-automation-postgres.log；r6-automation-failures.json</x:t>
  </x:si>
  <x:si>
    <x:t xml:space="preserve">TEST-009，未打开当前业务环境自动引擎。</x:t>
  </x:si>
  <x:si>
    <x:t xml:space="preserve">RUN-93</x:t>
  </x:si>
  <x:si>
    <x:t xml:space="preserve">长稳网络切换</x:t>
  </x:si>
  <x:si>
    <x:t xml:space="preserve">两独立标签阻断约48秒再恢复</x:t>
  </x:si>
  <x:si>
    <x:t xml:space="preserve">大屏明确失败并恢复，普通页旧值与成功提示同时出现。</x:t>
  </x:si>
  <x:si>
    <x:t xml:space="preserve">第六轮证据：soak-network-fault.json；soak-network-recovered.json</x:t>
  </x:si>
  <x:si>
    <x:t xml:space="preserve">BUG-003，所有拦截已清空；持续时间由最终采样确定。</x:t>
  </x:si>
  <x:si>
    <x:t xml:space="preserve">RUN-94</x:t>
  </x:si>
  <x:si>
    <x:t xml:space="preserve">目标与迁移PostGIS</x:t>
  </x:si>
  <x:si>
    <x:t xml:space="preserve">目标/飞行/空域读取及Stage2迁移兼容</x:t>
  </x:si>
  <x:si>
    <x:t xml:space="preserve">10项全部通过，无跳过。</x:t>
  </x:si>
  <x:si>
    <x:t xml:space="preserve">第六轮证据：r6-target-migration-postgres.log</x:t>
  </x:si>
  <x:si>
    <x:t xml:space="preserve">隔离测试库，不改业务历史。</x:t>
  </x:si>
  <x:si>
    <x:t xml:space="preserve">RUN-95</x:t>
  </x:si>
  <x:si>
    <x:t xml:space="preserve">单位目录PostGIS</x:t>
  </x:si>
  <x:si>
    <x:t xml:space="preserve">目录及范围两类测试</x:t>
  </x:si>
  <x:si>
    <x:t xml:space="preserve">15项全部通过，无跳过。</x:t>
  </x:si>
  <x:si>
    <x:t xml:space="preserve">第六轮证据：r6-directory-postgres.log</x:t>
  </x:si>
  <x:si>
    <x:t xml:space="preserve">不能替代实际受限账号页面验收。</x:t>
  </x:si>
  <x:si>
    <x:t xml:space="preserve">RUN-96</x:t>
  </x:si>
  <x:si>
    <x:t xml:space="preserve">预案PostGIS</x:t>
  </x:si>
  <x:si>
    <x:t xml:space="preserve">预案业务契约测试</x:t>
  </x:si>
  <x:si>
    <x:t xml:space="preserve">8项全部通过，无跳过。</x:t>
  </x:si>
  <x:si>
    <x:t xml:space="preserve">第六轮证据：r6-responseplan-postgres.log</x:t>
  </x:si>
  <x:si>
    <x:t xml:space="preserve">使用隔离夹具。</x:t>
  </x:si>
  <x:si>
    <x:t xml:space="preserve">RUN-97</x:t>
  </x:si>
  <x:si>
    <x:t xml:space="preserve">移送通知PostGIS</x:t>
  </x:si>
  <x:si>
    <x:t xml:space="preserve">移送通知及回执契约</x:t>
  </x:si>
  <x:si>
    <x:t xml:space="preserve">12项全部通过，无跳过。</x:t>
  </x:si>
  <x:si>
    <x:t xml:space="preserve">第六轮证据：r6-handoff-postgres.log</x:t>
  </x:si>
  <x:si>
    <x:t xml:space="preserve">未发送真实外部通知。</x:t>
  </x:si>
  <x:si>
    <x:t xml:space="preserve">RUN-98</x:t>
  </x:si>
  <x:si>
    <x:t xml:space="preserve">运维通知PostGIS</x:t>
  </x:si>
  <x:si>
    <x:t xml:space="preserve">运维通知路由与状态契约</x:t>
  </x:si>
  <x:si>
    <x:t xml:space="preserve">第六轮证据：r6-maintenance-notice-postgres.log</x:t>
  </x:si>
  <x:si>
    <x:t xml:space="preserve">实际页面仍缺唯一接收单位。</x:t>
  </x:si>
  <x:si>
    <x:t xml:space="preserve">RUN-99</x:t>
  </x:si>
  <x:si>
    <x:t xml:space="preserve">PostGIS失败复跑</x:t>
  </x:si>
  <x:si>
    <x:t xml:space="preserve">按方法及完整有序类复跑</x:t>
  </x:si>
  <x:si>
    <x:t xml:space="preserve">方法组7项为3失败4夹具错误；完整Stage9类22项18通过4个405失败；自动规则单项仍文案断言失败。</x:t>
  </x:si>
  <x:si>
    <x:t xml:space="preserve">第六轮证据：r6-stage-failures-retest.log；r6-stage9-ordered-retest.log；r6-automation-failure-retest.log</x:t>
  </x:si>
  <x:si>
    <x:t xml:space="preserve">复跑不与首跑相加充当独立覆盖量。</x:t>
  </x:si>
  <x:si>
    <x:t xml:space="preserve">RUN-100</x:t>
  </x:si>
  <x:si>
    <x:t xml:space="preserve">运维通知前提</x:t>
  </x:si>
  <x:si>
    <x:t xml:space="preserve">原计划设备检查回读</x:t>
  </x:si>
  <x:si>
    <x:t xml:space="preserve">待办仍处理中；通知未发出，无唯一接收单位。</x:t>
  </x:si>
  <x:si>
    <x:t xml:space="preserve">第六轮证据：r6-plan-maintenance-notice-blocked.txt；r6-old-plan-device-checks.json</x:t>
  </x:si>
  <x:si>
    <x:t xml:space="preserve">未点击重发或改变接收配置。</x:t>
  </x:si>
  <x:si>
    <x:t xml:space="preserve">RUN-101</x:t>
  </x:si>
  <x:si>
    <x:t xml:space="preserve">结束时可达性</x:t>
  </x:si>
  <x:si>
    <x:t xml:space="preserve">2026-09-28复核四个HTTP入口</x:t>
  </x:si>
  <x:si>
    <x:t xml:space="preserve">前台5173、后台5175、模拟器8766与后端健康8081均200。</x:t>
  </x:si>
  <x:si>
    <x:t xml:space="preserve">第六轮证据：r6-final-reachability.json</x:t>
  </x:si>
  <x:si>
    <x:t xml:space="preserve">仅证明可达，不代替业务验收。</x:t>
  </x:si>
  <x:si>
    <x:t xml:space="preserve">RUN-102</x:t>
  </x:si>
  <x:si>
    <x:t xml:space="preserve">剩余闭环前提</x:t>
  </x:si>
  <x:si>
    <x:t xml:space="preserve">2026-09-28重新登录后复核研判、告警及移送</x:t>
  </x:si>
  <x:si>
    <x:t xml:space="preserve">全部无人机研判0、全部告警0、全部送达/签收交接0；证据页仍资源不存在。</x:t>
  </x:si>
  <x:si>
    <x:t xml:space="preserve">第六轮证据：r6-final-legality-empty.txt；r6-final-alarms-empty.txt；r6-final-handoff-empty.txt；r6-final-handoff-empty.png；soak-final.json</x:t>
  </x:si>
  <x:si>
    <x:t xml:space="preserve">按真实前提把对应未执行项标为阻塞，没有计作测试通过。</x:t>
  </x:si>
  <x:si>
    <x:t xml:space="preserve">RUN-103</x:t>
  </x:si>
  <x:si>
    <x:t xml:space="preserve">版本边界</x:t>
  </x:si>
  <x:si>
    <x:t xml:space="preserve">归档时记录前台样式文件修改时间和哈希</x:t>
  </x:si>
  <x:si>
    <x:t xml:space="preserve">themes/tokens/bigscreen样式最后修改均在9月27日21:51，发生在长稳开始后。</x:t>
  </x:si>
  <x:si>
    <x:t xml:space="preserve">第六轮证据：r6-final-version-state.json</x:t>
  </x:si>
  <x:si>
    <x:t xml:space="preserve">本轮未改产品代码，结果对应当时版本。</x:t>
  </x:si>
  <x:si>
    <x:t xml:space="preserve">RUN-104</x:t>
  </x:si>
  <x:si>
    <x:t xml:space="preserve">长稳终检</x:t>
  </x:si>
  <x:si>
    <x:t xml:space="preserve">2026-09-28恢复观察并核对页面</x:t>
  </x:si>
  <x:si>
    <x:t xml:space="preserve">普通页已改页、大屏会话过期，期间样式发生变化；连续两小时未证实，断网误提示已失败。</x:t>
  </x:si>
  <x:si>
    <x:t xml:space="preserve">第六轮证据：soak-final.json；soak-samples.json；soak-network-fault.json</x:t>
  </x:si>
  <x:si>
    <x:t xml:space="preserve">不把隔夜墙钟跨度或NavigationStart未变当连续验收。</x:t>
  </x:si>
  <x:si>
    <x:t xml:space="preserve">R7-01</x:t>
  </x:si>
  <x:si>
    <x:t xml:space="preserve">规则和链路</x:t>
  </x:si>
  <x:si>
    <x:t xml:space="preserve">local,qa显式配置与既有DEMO规则激活</x:t>
  </x:si>
  <x:si>
    <x:t xml:space="preserve">新MQTT目标生成研判和待核实告警；不生成业务种子</x:t>
  </x:si>
  <x:si>
    <x:t xml:space="preserve">qa-unblock-full-chain.json</x:t>
  </x:si>
  <x:si>
    <x:t xml:space="preserve">来源为replay；不是正式算法参数验收</x:t>
  </x:si>
  <x:si>
    <x:t xml:space="preserve">R7-02</x:t>
  </x:si>
  <x:si>
    <x:t xml:space="preserve">证据台账</x:t>
  </x:si>
  <x:si>
    <x:t xml:space="preserve">页面列表/统计/轨迹详情/事件材料</x:t>
  </x:si>
  <x:si>
    <x:t xml:space="preserve">83条轨迹；新目标166点；事件关联2条轨迹</x:t>
  </x:si>
  <x:si>
    <x:t xml:space="preserve">qa-unblock-evidence.png；qa-unblock-postrestart.json</x:t>
  </x:si>
  <x:si>
    <x:t xml:space="preserve">无文件或无回执时明确缺失</x:t>
  </x:si>
  <x:si>
    <x:t xml:space="preserve">R7-03</x:t>
  </x:si>
  <x:si>
    <x:t xml:space="preserve">精确定位</x:t>
  </x:si>
  <x:si>
    <x:t xml:space="preserve">告警轨迹第2份→详情→刷新</x:t>
  </x:si>
  <x:si>
    <x:t xml:space="preserve">074c95d4原始轨迹及EVENT上下文保持一致</x:t>
  </x:si>
  <x:si>
    <x:t xml:space="preserve">qa-unblock-exact-track.png</x:t>
  </x:si>
  <x:si>
    <x:t xml:space="preserve">对应主清单109</x:t>
  </x:si>
  <x:si>
    <x:t xml:space="preserve">R7-04</x:t>
  </x:si>
  <x:si>
    <x:t xml:space="preserve">账号</x:t>
  </x:si>
  <x:si>
    <x:t xml:space="preserve">正式角色/用户API创建、改密、读取、写拒绝</x:t>
  </x:si>
  <x:si>
    <x:t xml:space="preserve">只读与第二操作员可用；只读写403；两者无direct</x:t>
  </x:si>
  <x:si>
    <x:t xml:space="preserve">qa-unblock-account-verification.json</x:t>
  </x:si>
  <x:si>
    <x:t xml:space="preserve">单位范围测试与当前默认ALL基线不符</x:t>
  </x:si>
  <x:si>
    <x:t xml:space="preserve">R7-05</x:t>
  </x:si>
  <x:si>
    <x:t xml:space="preserve">回归和打包</x:t>
  </x:si>
  <x:si>
    <x:t xml:space="preserve">EvidenceApi/EvidenceLedgerPostgres/Auth/LocalQaRuleCatalog/LocalStage7RuleEngineSeeder</x:t>
  </x:si>
  <x:si>
    <x:t xml:space="preserve">47通过，0失败、0错误、0跳过；package成功</x:t>
  </x:si>
  <x:si>
    <x:t xml:space="preserve">qa-unblock-package.log</x:t>
  </x:si>
  <x:si>
    <x:t xml:space="preserve">独立PostgreSQL schema验证；无新增迁移</x:t>
  </x:si>
  <x:si>
    <x:t xml:space="preserve">R7-06</x:t>
  </x:si>
  <x:si>
    <x:t xml:space="preserve">重启与导出</x:t>
  </x:si>
  <x:si>
    <x:t xml:space="preserve">最终JAR启动、端口和健康检查、浏览器CSV下载</x:t>
  </x:si>
  <x:si>
    <x:t xml:space="preserve">8081健康200；前后台和模拟器端口监听；事件CSV2条且有导出审计</x:t>
  </x:si>
  <x:si>
    <x:t xml:space="preserve">qa-unblock-postrestart.json；qa-unblock-event-export.csv</x:t>
  </x:si>
  <x:si>
    <x:t xml:space="preserve">CSV按全部筛选结果导出，不按当前分页截断</x:t>
  </x:si>
  <x:si>
    <x:t xml:space="preserve">R7-07</x:t>
  </x:si>
  <x:si>
    <x:t xml:space="preserve">设备编辑500</x:t>
  </x:si>
  <x:si>
    <x:t xml:space="preserve">MQTT与光电空坐标参数定型</x:t>
  </x:si>
  <x:si>
    <x:t xml:space="preserve">23项回归通过；实际模拟设备元数据保存成功、坐标保持并恢复厂家</x:t>
  </x:si>
  <x:si>
    <x:t xml:space="preserve">qa-device-edit-verified.json；qa-device-edit-green.log；qa-final-package.log</x:t>
  </x:si>
  <x:si>
    <x:t xml:space="preserve">最终打包已完成；未发送设备控制指令</x:t>
  </x:si>
  <x:si>
    <x:t xml:space="preserve">R7-08</x:t>
  </x:si>
  <x:si>
    <x:t xml:space="preserve">剩余边界</x:t>
  </x:si>
  <x:si>
    <x:t xml:space="preserve">真实设备/通知/视频/长稳与全部分支</x:t>
  </x:si>
  <x:si>
    <x:t xml:space="preserve">设备回执与接收配置不足；其余待复测项不标通过</x:t>
  </x:si>
  <x:si>
    <x:t xml:space="preserve">E:/houtaiguanlii/docs/联合测试阻塞修复-2026-09-28.md</x:t>
  </x:si>
  <x:si>
    <x:t xml:space="preserve">本次只解除明确技术阻塞，不伪造送达、恢复或执行结果</x:t>
  </x:si>
  <x:si>
    <x:t xml:space="preserve">R8-01</x:t>
  </x:si>
  <x:si>
    <x:t xml:space="preserve">页面与权限</x:t>
  </x:si>
  <x:si>
    <x:t xml:space="preserve">只读/第二操作员及页面实测</x:t>
  </x:si>
  <x:si>
    <x:t xml:space="preserve">多个写入403；并发409；管理员无direct亦403</x:t>
  </x:si>
  <x:si>
    <x:t xml:space="preserve">分支通过</x:t>
  </x:si>
  <x:si>
    <x:t xml:space="preserve">r8-maintenance-concurrency.json；r8-maintenance-readonly.json</x:t>
  </x:si>
  <x:si>
    <x:t xml:space="preserve">范围配置按当前基线ALL，旧单位范围用例不适用</x:t>
  </x:si>
  <x:si>
    <x:t xml:space="preserve">R8-02</x:t>
  </x:si>
  <x:si>
    <x:t xml:space="preserve">目标与风险</x:t>
  </x:si>
  <x:si>
    <x:t xml:space="preserve">模拟器MQTT及协议补充报文</x:t>
  </x:si>
  <x:si>
    <x:t xml:space="preserve">鸟类风险、识别中/未知/遥控器不进UAV研判</x:t>
  </x:si>
  <x:si>
    <x:t xml:space="preserve">r8-protocol-types-result.json；r8-risk-final.json</x:t>
  </x:si>
  <x:si>
    <x:t xml:space="preserve">未伪造算法气球类别或风险签收</x:t>
  </x:si>
  <x:si>
    <x:t xml:space="preserve">R8-03</x:t>
  </x:si>
  <x:si>
    <x:t xml:space="preserve">响应丢失</x:t>
  </x:si>
  <x:si>
    <x:t xml:space="preserve">服务端核实成功后丢弃响应</x:t>
  </x:si>
  <x:si>
    <x:t xml:space="preserve">页面回读待反制，历史仅1条</x:t>
  </x:si>
  <x:si>
    <x:t xml:space="preserve">r8-response-lost.json；r8-response-lost-history.json</x:t>
  </x:si>
  <x:si>
    <x:t xml:space="preserve">拦截已解除</x:t>
  </x:si>
  <x:si>
    <x:t xml:space="preserve">R8-04</x:t>
  </x:si>
  <x:si>
    <x:t xml:space="preserve">同名定位、权限、损坏/丢失、视频播放</x:t>
  </x:si>
  <x:si>
    <x:t xml:space="preserve">同名记录精确；403/401；损坏副本已恢复；PDF空白</x:t>
  </x:si>
  <x:si>
    <x:t xml:space="preserve">r8-video-played.json；r8-long-file-ui.jpg</x:t>
  </x:si>
  <x:si>
    <x:t xml:space="preserve">原件不破坏；长文件名裁切另列</x:t>
  </x:si>
  <x:si>
    <x:t xml:space="preserve">R8-05</x:t>
  </x:si>
  <x:si>
    <x:t xml:space="preserve">完整后台回归</x:t>
  </x:si>
  <x:si>
    <x:t xml:space="preserve">12:10:10固定副本；12组隔离PostgreSQL及失败类复跑</x:t>
  </x:si>
  <x:si>
    <x:t xml:space="preserve">1718项：1702通过/13失败/3错误/0跳过</x:t>
  </x:si>
  <x:si>
    <x:t xml:space="preserve">r8-frozen-final-summary.json</x:t>
  </x:si>
  <x:si>
    <x:t xml:space="preserve">并行代码/运行服务变更不混入固定版本结果</x:t>
  </x:si>
  <x:si>
    <x:t xml:space="preserve">R8-06</x:t>
  </x:si>
  <x:si>
    <x:t xml:space="preserve">管理端与模拟器</x:t>
  </x:si>
  <x:si>
    <x:t xml:space="preserve">管理端26测试文件、模拟器测试</x:t>
  </x:si>
  <x:si>
    <x:t xml:space="preserve">管理端111/111；模拟器20/20</x:t>
  </x:si>
  <x:si>
    <x:t xml:space="preserve">r8-current-admin-tests.log；r8-simulator-tests.log</x:t>
  </x:si>
  <x:si>
    <x:t xml:space="preserve">不替代人工完整流程</x:t>
  </x:si>
  <x:si>
    <x:t xml:space="preserve">R8-07</x:t>
  </x:si>
  <x:si>
    <x:t xml:space="preserve">长稳和剩余条件</x:t>
  </x:si>
  <x:si>
    <x:t xml:space="preserve">普通页/大屏10:48:19起</x:t>
  </x:si>
  <x:si>
    <x:t xml:space="preserve">最后有效采样69.3分钟，之后连接不可用</x:t>
  </x:si>
  <x:si>
    <x:t xml:space="preserve">r8-soak-samples.json；r8-browser-recovery.json</x:t>
  </x:si>
  <x:si>
    <x:t xml:space="preserve">已复现普通页断网更新提示缺陷</x:t>
  </x:si>
  <x:si>
    <x:t xml:space="preserve">R8-08</x:t>
  </x:si>
  <x:si>
    <x:t xml:space="preserve">交付范围</x:t>
  </x:si>
  <x:si>
    <x:t xml:space="preserve">主/补充/运维/全流程共300项状态重新核对</x:t>
  </x:si>
  <x:si>
    <x:t xml:space="preserve">保留既往通过；部分执行和整项完成分开</x:t>
  </x:si>
  <x:si>
    <x:t xml:space="preserve">第八轮测试报告</x:t>
  </x:si>
  <x:si>
    <x:t xml:space="preserve">36个全流程未取得全部步骤通过证明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</x:si>
</x:sst>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000"/>
    <x:numFmt numFmtId="200" formatCode="yyyy-mm-dd"/>
  </x:numFmts>
  <x:fonts count="72">
    <x:font>
      <x:sz val="11"/>
      <x:name val="Carlito"/>
    </x:font>
    <x:font>
      <x:b/>
      <x:sz val="18"/>
      <x:color rgb="FFFFFFFF"/>
      <x:name val="Microsoft YaHei"/>
    </x:font>
    <x:font>
      <x:sz val="11"/>
      <x:color rgb="FF334155"/>
      <x:name val="Microsoft YaHei"/>
    </x:font>
    <x:font>
      <x:b/>
      <x:sz val="11"/>
      <x:color rgb="FFFFFFFF"/>
      <x:name val="Carlito"/>
    </x:font>
    <x:font>
      <x:sz val="11"/>
      <x:color rgb="FF1E293B"/>
      <x:name val="Microsoft YaHei"/>
    </x:font>
    <x:font>
      <x:sz val="10"/>
      <x:name val="Microsoft YaHei"/>
    </x:font>
    <x:font>
      <x:sz val="11"/>
      <x:name val="Microsoft YaHei"/>
    </x:font>
    <x:font>
      <x:b/>
      <x:sz val="14"/>
      <x:color rgb="FFFFFFFF"/>
      <x:name val="Microsoft YaHei"/>
    </x:font>
    <x:font>
      <x:b/>
      <x:sz val="11"/>
      <x:color rgb="FFFFFFFF"/>
      <x:name val="Microsoft YaHei"/>
    </x:font>
    <x:font>
      <x:sz val="10"/>
      <x:name val="Carlito"/>
    </x:font>
    <x:font>
      <x:b/>
      <x:sz val="17"/>
      <x:color rgb="FF16324F"/>
      <x:name val="Microsoft YaHei"/>
    </x:font>
    <x:font>
      <x:b/>
      <x:sz val="11"/>
      <x:color rgb="FF2563EB"/>
      <x:name val="Microsoft YaHei"/>
    </x:font>
    <x:font>
      <x:b/>
      <x:sz val="11"/>
      <x:color rgb="FF059669"/>
      <x:name val="Microsoft YaHei"/>
    </x:font>
    <x:font>
      <x:b/>
      <x:sz val="11"/>
      <x:color rgb="FF7C3AED"/>
      <x:name val="Microsoft YaHei"/>
    </x:font>
    <x:font>
      <x:b/>
      <x:sz val="11"/>
      <x:color rgb="FFEA580C"/>
      <x:name val="Microsoft YaHei"/>
    </x:font>
    <x:font>
      <x:b/>
      <x:sz val="11"/>
      <x:color rgb="FF0891B2"/>
      <x:name val="Microsoft YaHei"/>
    </x:font>
    <x:font>
      <x:b/>
      <x:sz val="11"/>
      <x:color rgb="FFDB2777"/>
      <x:name val="Microsoft YaHei"/>
    </x:font>
    <x:font>
      <x:b/>
      <x:sz val="11"/>
      <x:color rgb="FF4F46E5"/>
      <x:name val="Microsoft YaHei"/>
    </x:font>
    <x:font>
      <x:b/>
      <x:sz val="17"/>
      <x:color rgb="FF16324F"/>
      <x:name val="Carlito"/>
    </x:font>
    <x:font>
      <x:sz val="11"/>
      <x:color rgb="FF2563EB"/>
      <x:name val="Carlito"/>
    </x:font>
    <x:font>
      <x:sz val="11"/>
      <x:color rgb="FF059669"/>
      <x:name val="Carlito"/>
    </x:font>
    <x:font>
      <x:sz val="11"/>
      <x:color rgb="FF7C3AED"/>
      <x:name val="Carlito"/>
    </x:font>
    <x:font>
      <x:sz val="11"/>
      <x:color rgb="FFEA580C"/>
      <x:name val="Carlito"/>
    </x:font>
    <x:font>
      <x:sz val="11"/>
      <x:color rgb="FF0891B2"/>
      <x:name val="Carlito"/>
    </x:font>
    <x:font>
      <x:sz val="11"/>
      <x:color rgb="FFDB2777"/>
      <x:name val="Carlito"/>
    </x:font>
    <x:font>
      <x:sz val="11"/>
      <x:color rgb="FF4F46E5"/>
      <x:name val="Carlito"/>
    </x:font>
    <x:font>
      <x:sz val="11"/>
      <x:color rgb="FFB45309"/>
      <x:name val="Carlito"/>
    </x:font>
    <x:font>
      <x:b/>
      <x:sz val="11"/>
      <x:color rgb="FF2563EB"/>
      <x:name val="Carlito"/>
    </x:font>
    <x:font>
      <x:b/>
      <x:sz val="11"/>
      <x:color rgb="FF059669"/>
      <x:name val="Carlito"/>
    </x:font>
    <x:font>
      <x:b/>
      <x:sz val="11"/>
      <x:color rgb="FF7C3AED"/>
      <x:name val="Carlito"/>
    </x:font>
    <x:font>
      <x:b/>
      <x:sz val="11"/>
      <x:color rgb="FFEA580C"/>
      <x:name val="Carlito"/>
    </x:font>
    <x:font>
      <x:b/>
      <x:sz val="11"/>
      <x:color rgb="FF0891B2"/>
      <x:name val="Carlito"/>
    </x:font>
    <x:font>
      <x:b/>
      <x:sz val="11"/>
      <x:color rgb="FFDB2777"/>
      <x:name val="Carlito"/>
    </x:font>
    <x:font>
      <x:b/>
      <x:sz val="11"/>
      <x:color rgb="FF4F46E5"/>
      <x:name val="Carlito"/>
    </x:font>
    <x:font>
      <x:b/>
      <x:sz val="11"/>
      <x:color rgb="FFB45309"/>
      <x:name val="Carlito"/>
    </x:font>
    <x:font>
      <x:b/>
      <x:sz val="11"/>
      <x:color rgb="FF0D9488"/>
      <x:name val="Microsoft YaHei"/>
    </x:font>
    <x:font>
      <x:b/>
      <x:sz val="11"/>
      <x:color rgb="FFCA8A04"/>
      <x:name val="Microsoft YaHei"/>
    </x:font>
    <x:font>
      <x:b/>
      <x:sz val="11"/>
      <x:color rgb="FFDC2626"/>
      <x:name val="Microsoft YaHei"/>
    </x:font>
    <x:font>
      <x:b/>
      <x:sz val="11"/>
      <x:color rgb="FF9333EA"/>
      <x:name val="Microsoft YaHei"/>
    </x:font>
    <x:font>
      <x:b/>
      <x:sz val="11"/>
      <x:color rgb="FF0284C7"/>
      <x:name val="Microsoft YaHei"/>
    </x:font>
    <x:font>
      <x:b/>
      <x:sz val="11"/>
      <x:color rgb="FF0F766E"/>
      <x:name val="Microsoft YaHei"/>
    </x:font>
    <x:font>
      <x:b/>
      <x:sz val="11"/>
      <x:color rgb="FFC2410C"/>
      <x:name val="Microsoft YaHei"/>
    </x:font>
    <x:font>
      <x:b/>
      <x:sz val="11"/>
      <x:color rgb="FF475569"/>
      <x:name val="Microsoft YaHei"/>
    </x:font>
    <x:font>
      <x:b/>
      <x:sz val="11"/>
      <x:color rgb="FFA21CAF"/>
      <x:name val="Microsoft YaHei"/>
    </x:font>
    <x:font>
      <x:sz val="11"/>
      <x:color rgb="FF64748B"/>
      <x:name val="Microsoft YaHei"/>
    </x:font>
    <x:font>
      <x:b/>
      <x:sz val="17"/>
      <x:color rgb="FF1E293B"/>
      <x:name val="Microsoft YaHei"/>
    </x:font>
    <x:font>
      <x:b/>
      <x:sz val="11"/>
      <x:color rgb="FFB45309"/>
      <x:name val="Microsoft YaHei"/>
    </x:font>
    <x:font>
      <x:b/>
      <x:sz val="15"/>
      <x:color rgb="FF7C3AED"/>
      <x:name val="Microsoft YaHei"/>
    </x:font>
    <x:font>
      <x:b/>
      <x:sz val="13"/>
      <x:color rgb="FF1E293B"/>
      <x:name val="Microsoft YaHei"/>
    </x:font>
    <x:font>
      <x:b/>
      <x:sz val="15"/>
      <x:color rgb="FF059669"/>
      <x:name val="Microsoft YaHei"/>
    </x:font>
    <x:font>
      <x:b/>
      <x:sz val="14"/>
      <x:color rgb="FF16324F"/>
      <x:name val="Microsoft YaHei"/>
    </x:font>
    <x:font>
      <x:b/>
      <x:sz val="15"/>
      <x:color rgb="FF0891B2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7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FF7DB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1F2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7C3AED"/>
      </x:patternFill>
    </x:fill>
    <x:fill>
      <x:patternFill patternType="solid">
        <x:fgColor rgb="FF0D9488"/>
      </x:patternFill>
    </x:fill>
    <x:fill>
      <x:patternFill patternType="solid">
        <x:fgColor rgb="FFCA8A04"/>
      </x:patternFill>
    </x:fill>
    <x:fill>
      <x:patternFill patternType="solid">
        <x:fgColor rgb="FFEA580C"/>
      </x:patternFill>
    </x:fill>
    <x:fill>
      <x:patternFill patternType="solid">
        <x:fgColor rgb="FFDB2777"/>
      </x:patternFill>
    </x:fill>
    <x:fill>
      <x:patternFill patternType="solid">
        <x:fgColor rgb="FFDC2626"/>
      </x:patternFill>
    </x:fill>
    <x:fill>
      <x:patternFill patternType="solid">
        <x:fgColor rgb="FF9333EA"/>
      </x:patternFill>
    </x:fill>
    <x:fill>
      <x:patternFill patternType="solid">
        <x:fgColor rgb="FF0284C7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A21CAF"/>
      </x:patternFill>
    </x:fill>
    <x:fill>
      <x:patternFill patternType="solid">
        <x:fgColor rgb="FFF0FDFA"/>
      </x:patternFill>
    </x:fill>
    <x:fill>
      <x:patternFill patternType="solid">
        <x:fgColor rgb="FFFEFCE8"/>
      </x:patternFill>
    </x:fill>
    <x:fill>
      <x:patternFill patternType="solid">
        <x:fgColor rgb="FFFEF2F2"/>
      </x:patternFill>
    </x:fill>
    <x:fill>
      <x:patternFill patternType="solid">
        <x:fgColor rgb="FFFAF5FF"/>
      </x:patternFill>
    </x:fill>
    <x:fill>
      <x:patternFill patternType="solid">
        <x:fgColor rgb="FFF0F9FF"/>
      </x:patternFill>
    </x:fill>
    <x:fill>
      <x:patternFill patternType="solid">
        <x:fgColor rgb="FFF1F5F9"/>
      </x:patternFill>
    </x:fill>
    <x:fill>
      <x:patternFill patternType="solid">
        <x:fgColor rgb="FFFDF4FF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D1FAE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8">
    <x:border/>
    <x:border>
      <x:left style="thin">
        <x:color rgb="FFD8E3EE"/>
      </x:left>
      <x:right style="thin">
        <x:color rgb="FFD8E3EE"/>
      </x:right>
      <x:top style="thin">
        <x:color rgb="FFD8E3EE"/>
      </x:top>
      <x:bottom style="thin">
        <x:color rgb="FFD8E3EE"/>
      </x:bottom>
    </x:border>
    <x:border>
      <x:bottom style="thin">
        <x:color rgb="FF93C5FD"/>
      </x:bottom>
    </x:border>
    <x:border>
      <x:top style="medium">
        <x:color rgb="FF2563EB"/>
      </x:top>
    </x:border>
    <x:border>
      <x:top style="medium">
        <x:color rgb="FF059669"/>
      </x:top>
    </x:border>
    <x:border>
      <x:top style="medium">
        <x:color rgb="FF7C3AED"/>
      </x:top>
    </x:border>
    <x:border>
      <x:top style="medium">
        <x:color rgb="FFEA580C"/>
      </x:top>
    </x:border>
    <x:border>
      <x:top style="medium">
        <x:color rgb="FF0891B2"/>
      </x:top>
    </x:border>
    <x:border>
      <x:top style="medium">
        <x:color rgb="FFDB2777"/>
      </x:top>
    </x:border>
    <x:border>
      <x:top style="medium">
        <x:color rgb="FF4F46E5"/>
      </x:top>
    </x:border>
    <x:border>
      <x:top style="medium">
        <x:color rgb="FFB45309"/>
      </x:top>
    </x:border>
    <x:border>
      <x:top style="medium">
        <x:color rgb="FF0D9488"/>
      </x:top>
    </x:border>
    <x:border>
      <x:top style="medium">
        <x:color rgb="FFCA8A04"/>
      </x:top>
    </x:border>
    <x:border>
      <x:top style="medium">
        <x:color rgb="FFDC2626"/>
      </x:top>
    </x:border>
    <x:border>
      <x:top style="medium">
        <x:color rgb="FF9333EA"/>
      </x:top>
    </x:border>
    <x:border>
      <x:top style="medium">
        <x:color rgb="FF0284C7"/>
      </x:top>
    </x:border>
    <x:border>
      <x:top style="medium">
        <x:color rgb="FF0F766E"/>
      </x:top>
    </x:border>
    <x:border>
      <x:top style="medium">
        <x:color rgb="FFC2410C"/>
      </x:top>
    </x:border>
    <x:border>
      <x:top style="medium">
        <x:color rgb="FF475569"/>
      </x:top>
    </x:border>
    <x:border>
      <x:top style="medium">
        <x:color rgb="FFA21CAF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52" fillId="0" borderId="0">
      <x:alignment vertical="center"/>
    </x:xf>
    <x:xf numFmtId="43" fontId="52" fillId="0" borderId="0" applyFont="0" applyFill="0" applyBorder="0" applyAlignment="0" applyProtection="0">
      <x:alignment vertical="center"/>
    </x:xf>
    <x:xf numFmtId="44" fontId="52" fillId="0" borderId="0" applyFont="0" applyFill="0" applyBorder="0" applyAlignment="0" applyProtection="0">
      <x:alignment vertical="center"/>
    </x:xf>
    <x:xf numFmtId="9" fontId="52" fillId="0" borderId="0" applyFont="0" applyFill="0" applyBorder="0" applyAlignment="0" applyProtection="0">
      <x:alignment vertical="center"/>
    </x:xf>
    <x:xf numFmtId="41" fontId="52" fillId="0" borderId="0" applyFont="0" applyFill="0" applyBorder="0" applyAlignment="0" applyProtection="0">
      <x:alignment vertical="center"/>
    </x:xf>
    <x:xf numFmtId="42" fontId="52" fillId="0" borderId="0" applyFont="0" applyFill="0" applyBorder="0" applyAlignment="0" applyProtection="0">
      <x:alignment vertical="center"/>
    </x:xf>
    <x:xf numFmtId="0" fontId="53" fillId="0" borderId="0" applyNumberFormat="0" applyFill="0" applyBorder="0" applyAlignment="0" applyProtection="0">
      <x:alignment vertical="center"/>
    </x:xf>
    <x:xf numFmtId="0" fontId="54" fillId="0" borderId="0" applyNumberFormat="0" applyFill="0" applyBorder="0" applyAlignment="0" applyProtection="0">
      <x:alignment vertical="center"/>
    </x:xf>
    <x:xf numFmtId="0" fontId="52" fillId="45" borderId="20" applyNumberFormat="0" applyFont="0" applyAlignment="0" applyProtection="0">
      <x:alignment vertical="center"/>
    </x:xf>
    <x:xf numFmtId="0" fontId="55" fillId="0" borderId="0" applyNumberFormat="0" applyFill="0" applyBorder="0" applyAlignment="0" applyProtection="0">
      <x:alignment vertical="center"/>
    </x:xf>
    <x:xf numFmtId="0" fontId="56" fillId="0" borderId="0" applyNumberFormat="0" applyFill="0" applyBorder="0" applyAlignment="0" applyProtection="0">
      <x:alignment vertical="center"/>
    </x:xf>
    <x:xf numFmtId="0" fontId="57" fillId="0" borderId="0" applyNumberFormat="0" applyFill="0" applyBorder="0" applyAlignment="0" applyProtection="0">
      <x:alignment vertical="center"/>
    </x:xf>
    <x:xf numFmtId="0" fontId="58" fillId="0" borderId="21" applyNumberFormat="0" applyFill="0" applyAlignment="0" applyProtection="0">
      <x:alignment vertical="center"/>
    </x:xf>
    <x:xf numFmtId="0" fontId="59" fillId="0" borderId="21" applyNumberFormat="0" applyFill="0" applyAlignment="0" applyProtection="0">
      <x:alignment vertical="center"/>
    </x:xf>
    <x:xf numFmtId="0" fontId="60" fillId="0" borderId="22" applyNumberFormat="0" applyFill="0" applyAlignment="0" applyProtection="0">
      <x:alignment vertical="center"/>
    </x:xf>
    <x:xf numFmtId="0" fontId="60" fillId="0" borderId="0" applyNumberFormat="0" applyFill="0" applyBorder="0" applyAlignment="0" applyProtection="0">
      <x:alignment vertical="center"/>
    </x:xf>
    <x:xf numFmtId="0" fontId="61" fillId="46" borderId="23" applyNumberFormat="0" applyAlignment="0" applyProtection="0">
      <x:alignment vertical="center"/>
    </x:xf>
    <x:xf numFmtId="0" fontId="62" fillId="47" borderId="24" applyNumberFormat="0" applyAlignment="0" applyProtection="0">
      <x:alignment vertical="center"/>
    </x:xf>
    <x:xf numFmtId="0" fontId="63" fillId="47" borderId="23" applyNumberFormat="0" applyAlignment="0" applyProtection="0">
      <x:alignment vertical="center"/>
    </x:xf>
    <x:xf numFmtId="0" fontId="64" fillId="48" borderId="25" applyNumberFormat="0" applyAlignment="0" applyProtection="0">
      <x:alignment vertical="center"/>
    </x:xf>
    <x:xf numFmtId="0" fontId="65" fillId="0" borderId="26" applyNumberFormat="0" applyFill="0" applyAlignment="0" applyProtection="0">
      <x:alignment vertical="center"/>
    </x:xf>
    <x:xf numFmtId="0" fontId="66" fillId="0" borderId="27" applyNumberFormat="0" applyFill="0" applyAlignment="0" applyProtection="0">
      <x:alignment vertical="center"/>
    </x:xf>
    <x:xf numFmtId="0" fontId="67" fillId="49" borderId="0" applyNumberFormat="0" applyBorder="0" applyAlignment="0" applyProtection="0">
      <x:alignment vertical="center"/>
    </x:xf>
    <x:xf numFmtId="0" fontId="68" fillId="50" borderId="0" applyNumberFormat="0" applyBorder="0" applyAlignment="0" applyProtection="0">
      <x:alignment vertical="center"/>
    </x:xf>
    <x:xf numFmtId="0" fontId="69" fillId="51" borderId="0" applyNumberFormat="0" applyBorder="0" applyAlignment="0" applyProtection="0">
      <x:alignment vertical="center"/>
    </x:xf>
    <x:xf numFmtId="0" fontId="70" fillId="52" borderId="0" applyNumberFormat="0" applyBorder="0" applyAlignment="0" applyProtection="0">
      <x:alignment vertical="center"/>
    </x:xf>
    <x:xf numFmtId="0" fontId="71" fillId="53" borderId="0" applyNumberFormat="0" applyBorder="0" applyAlignment="0" applyProtection="0">
      <x:alignment vertical="center"/>
    </x:xf>
    <x:xf numFmtId="0" fontId="71" fillId="54" borderId="0" applyNumberFormat="0" applyBorder="0" applyAlignment="0" applyProtection="0">
      <x:alignment vertical="center"/>
    </x:xf>
    <x:xf numFmtId="0" fontId="70" fillId="55" borderId="0" applyNumberFormat="0" applyBorder="0" applyAlignment="0" applyProtection="0">
      <x:alignment vertical="center"/>
    </x:xf>
    <x:xf numFmtId="0" fontId="70" fillId="56" borderId="0" applyNumberFormat="0" applyBorder="0" applyAlignment="0" applyProtection="0">
      <x:alignment vertical="center"/>
    </x:xf>
    <x:xf numFmtId="0" fontId="71" fillId="57" borderId="0" applyNumberFormat="0" applyBorder="0" applyAlignment="0" applyProtection="0">
      <x:alignment vertical="center"/>
    </x:xf>
    <x:xf numFmtId="0" fontId="71" fillId="58" borderId="0" applyNumberFormat="0" applyBorder="0" applyAlignment="0" applyProtection="0">
      <x:alignment vertical="center"/>
    </x:xf>
    <x:xf numFmtId="0" fontId="70" fillId="59" borderId="0" applyNumberFormat="0" applyBorder="0" applyAlignment="0" applyProtection="0">
      <x:alignment vertical="center"/>
    </x:xf>
    <x:xf numFmtId="0" fontId="70" fillId="60" borderId="0" applyNumberFormat="0" applyBorder="0" applyAlignment="0" applyProtection="0">
      <x:alignment vertical="center"/>
    </x:xf>
    <x:xf numFmtId="0" fontId="71" fillId="61" borderId="0" applyNumberFormat="0" applyBorder="0" applyAlignment="0" applyProtection="0">
      <x:alignment vertical="center"/>
    </x:xf>
    <x:xf numFmtId="0" fontId="71" fillId="62" borderId="0" applyNumberFormat="0" applyBorder="0" applyAlignment="0" applyProtection="0">
      <x:alignment vertical="center"/>
    </x:xf>
    <x:xf numFmtId="0" fontId="70" fillId="63" borderId="0" applyNumberFormat="0" applyBorder="0" applyAlignment="0" applyProtection="0">
      <x:alignment vertical="center"/>
    </x:xf>
    <x:xf numFmtId="0" fontId="70" fillId="64" borderId="0" applyNumberFormat="0" applyBorder="0" applyAlignment="0" applyProtection="0">
      <x:alignment vertical="center"/>
    </x:xf>
    <x:xf numFmtId="0" fontId="71" fillId="65" borderId="0" applyNumberFormat="0" applyBorder="0" applyAlignment="0" applyProtection="0">
      <x:alignment vertical="center"/>
    </x:xf>
    <x:xf numFmtId="0" fontId="71" fillId="66" borderId="0" applyNumberFormat="0" applyBorder="0" applyAlignment="0" applyProtection="0">
      <x:alignment vertical="center"/>
    </x:xf>
    <x:xf numFmtId="0" fontId="70" fillId="67" borderId="0" applyNumberFormat="0" applyBorder="0" applyAlignment="0" applyProtection="0">
      <x:alignment vertical="center"/>
    </x:xf>
    <x:xf numFmtId="0" fontId="70" fillId="68" borderId="0" applyNumberFormat="0" applyBorder="0" applyAlignment="0" applyProtection="0">
      <x:alignment vertical="center"/>
    </x:xf>
    <x:xf numFmtId="0" fontId="71" fillId="69" borderId="0" applyNumberFormat="0" applyBorder="0" applyAlignment="0" applyProtection="0">
      <x:alignment vertical="center"/>
    </x:xf>
    <x:xf numFmtId="0" fontId="71" fillId="70" borderId="0" applyNumberFormat="0" applyBorder="0" applyAlignment="0" applyProtection="0">
      <x:alignment vertical="center"/>
    </x:xf>
    <x:xf numFmtId="0" fontId="70" fillId="71" borderId="0" applyNumberFormat="0" applyBorder="0" applyAlignment="0" applyProtection="0">
      <x:alignment vertical="center"/>
    </x:xf>
    <x:xf numFmtId="0" fontId="70" fillId="72" borderId="0" applyNumberFormat="0" applyBorder="0" applyAlignment="0" applyProtection="0">
      <x:alignment vertical="center"/>
    </x:xf>
    <x:xf numFmtId="0" fontId="71" fillId="73" borderId="0" applyNumberFormat="0" applyBorder="0" applyAlignment="0" applyProtection="0">
      <x:alignment vertical="center"/>
    </x:xf>
    <x:xf numFmtId="0" fontId="71" fillId="74" borderId="0" applyNumberFormat="0" applyBorder="0" applyAlignment="0" applyProtection="0">
      <x:alignment vertical="center"/>
    </x:xf>
    <x:xf numFmtId="0" fontId="70" fillId="75" borderId="0" applyNumberFormat="0" applyBorder="0" applyAlignment="0" applyProtection="0">
      <x:alignment vertical="center"/>
    </x:xf>
    <x:xf numFmtId="0" fontId="0" fillId="0" borderId="0"/>
  </x:cellStyleXfs>
  <x:cellXfs count="328">
    <x:xf numFmtId="0" fontId="0" fillId="0" borderId="0" xfId="49"/>
    <x:xf numFmtId="0" fontId="1" fillId="2" borderId="0" xfId="49" applyNumberFormat="1" applyFont="1" applyFill="1" applyBorder="1"/>
    <x:xf numFmtId="0" fontId="2" fillId="0" borderId="0" xfId="49" applyNumberFormat="1" applyFont="1" applyFill="1" applyBorder="1" applyAlignment="1">
      <x:alignment wrapText="1"/>
    </x:xf>
    <x:xf numFmtId="0" fontId="3" fillId="3" borderId="0" xfId="49" applyNumberFormat="1" applyFont="1" applyFill="1" applyBorder="1"/>
    <x:xf numFmtId="0" fontId="4" fillId="4" borderId="0" xfId="49" applyNumberFormat="1" applyFont="1" applyFill="1" applyBorder="1" applyAlignment="1">
      <x:alignment vertical="center" wrapText="1"/>
    </x:xf>
    <x:xf numFmtId="0" fontId="4" fillId="5" borderId="0" xfId="49" applyNumberFormat="1" applyFont="1" applyFill="1" applyBorder="1" applyAlignment="1">
      <x:alignment vertical="center" wrapText="1"/>
    </x:xf>
    <x:xf numFmtId="0" fontId="5" fillId="0" borderId="0" xfId="49" applyNumberFormat="1" applyFont="1" applyFill="1" applyBorder="1" applyAlignment="1">
      <x:alignment wrapText="1"/>
    </x:xf>
    <x:xf numFmtId="0" fontId="6" fillId="0" borderId="0" xfId="49" applyNumberFormat="1" applyFont="1" applyFill="1" applyBorder="1" applyAlignment="1">
      <x:alignment wrapText="1"/>
    </x:xf>
    <x:xf numFmtId="0" fontId="7" fillId="2" borderId="0" xfId="49" applyNumberFormat="1" applyFont="1" applyFill="1" applyBorder="1"/>
    <x:xf numFmtId="0" fontId="8" fillId="3" borderId="0" xfId="49" applyNumberFormat="1" applyFont="1" applyFill="1" applyBorder="1"/>
    <x:xf numFmtId="0" fontId="4" fillId="6" borderId="0" xfId="49" applyNumberFormat="1" applyFont="1" applyFill="1" applyBorder="1" applyAlignment="1">
      <x:alignment vertical="center" wrapText="1"/>
    </x:xf>
    <x:xf numFmtId="0" fontId="4" fillId="7" borderId="0" xfId="49" applyNumberFormat="1" applyFont="1" applyFill="1" applyBorder="1" applyAlignment="1">
      <x:alignment vertical="center" wrapText="1"/>
    </x:xf>
    <x:xf numFmtId="0" fontId="5" fillId="0" borderId="1" xfId="49" applyNumberFormat="1" applyFont="1" applyFill="1" applyBorder="1" applyAlignment="1">
      <x:alignment vertical="center" wrapText="1"/>
    </x:xf>
    <x:xf numFmtId="0" fontId="9" fillId="0" borderId="0" xfId="49" applyNumberFormat="1" applyFont="1" applyFill="1" applyBorder="1" applyAlignment="1">
      <x:alignment wrapText="1"/>
    </x:xf>
    <x:xf numFmtId="0" fontId="0" fillId="0" borderId="0" xfId="49" applyNumberFormat="1" applyFont="1" applyFill="1" applyBorder="1" applyAlignment="1">
      <x:alignment wrapText="1"/>
    </x:xf>
    <x:xf numFmtId="0" fontId="4" fillId="0" borderId="0" xfId="49" applyNumberFormat="1" applyFont="1" applyFill="1" applyBorder="1" applyAlignment="1">
      <x:alignment vertical="center"/>
    </x:xf>
    <x:xf numFmtId="0" fontId="10" fillId="0" borderId="0" xfId="49" applyNumberFormat="1" applyFont="1" applyFill="1" applyBorder="1" applyAlignment="1">
      <x:alignment vertical="center"/>
    </x:xf>
    <x:xf numFmtId="0" fontId="4" fillId="0" borderId="0" xfId="49" applyNumberFormat="1" applyFont="1" applyFill="1" applyBorder="1" applyAlignment="1">
      <x:alignment vertical="center" wrapText="1"/>
    </x:xf>
    <x:xf numFmtId="0" fontId="8" fillId="2" borderId="0" xfId="49" applyNumberFormat="1" applyFont="1" applyFill="1" applyBorder="1" applyAlignment="1">
      <x:alignment horizontal="center" vertical="center" wrapText="1"/>
    </x:xf>
    <x:xf numFmtId="0" fontId="11" fillId="5" borderId="0" xfId="49" applyNumberFormat="1" applyFont="1" applyFill="1" applyBorder="1" applyAlignment="1">
      <x:alignment vertical="center" wrapText="1"/>
    </x:xf>
    <x:xf numFmtId="0" fontId="4" fillId="8" borderId="0" xfId="49" applyNumberFormat="1" applyFont="1" applyFill="1" applyBorder="1" applyAlignment="1">
      <x:alignment vertical="center" wrapText="1"/>
    </x:xf>
    <x:xf numFmtId="176" fontId="4" fillId="8" borderId="0" xfId="49" applyNumberFormat="1" applyFont="1" applyFill="1" applyBorder="1" applyAlignment="1">
      <x:alignment vertical="center" wrapText="1"/>
    </x:xf>
    <x:xf numFmtId="0" fontId="12" fillId="9" borderId="0" xfId="49" applyNumberFormat="1" applyFont="1" applyFill="1" applyBorder="1" applyAlignment="1">
      <x:alignment vertical="center" wrapText="1"/>
    </x:xf>
    <x:xf numFmtId="0" fontId="4" fillId="9" borderId="0" xfId="49" applyNumberFormat="1" applyFont="1" applyFill="1" applyBorder="1" applyAlignment="1">
      <x:alignment vertical="center" wrapText="1"/>
    </x:xf>
    <x:xf numFmtId="0" fontId="13" fillId="10" borderId="0" xfId="49" applyNumberFormat="1" applyFont="1" applyFill="1" applyBorder="1" applyAlignment="1">
      <x:alignment vertical="center" wrapText="1"/>
    </x:xf>
    <x:xf numFmtId="0" fontId="4" fillId="10" borderId="0" xfId="49" applyNumberFormat="1" applyFont="1" applyFill="1" applyBorder="1" applyAlignment="1">
      <x:alignment vertical="center" wrapText="1"/>
    </x:xf>
    <x:xf numFmtId="0" fontId="14" fillId="11" borderId="0" xfId="49" applyNumberFormat="1" applyFont="1" applyFill="1" applyBorder="1" applyAlignment="1">
      <x:alignment vertical="center" wrapText="1"/>
    </x:xf>
    <x:xf numFmtId="0" fontId="4" fillId="11" borderId="0" xfId="49" applyNumberFormat="1" applyFont="1" applyFill="1" applyBorder="1" applyAlignment="1">
      <x:alignment vertical="center" wrapText="1"/>
    </x:xf>
    <x:xf numFmtId="0" fontId="15" fillId="12" borderId="0" xfId="49" applyNumberFormat="1" applyFont="1" applyFill="1" applyBorder="1" applyAlignment="1">
      <x:alignment vertical="center" wrapText="1"/>
    </x:xf>
    <x:xf numFmtId="0" fontId="4" fillId="12" borderId="0" xfId="49" applyNumberFormat="1" applyFont="1" applyFill="1" applyBorder="1" applyAlignment="1">
      <x:alignment vertical="center" wrapText="1"/>
    </x:xf>
    <x:xf numFmtId="0" fontId="16" fillId="13" borderId="0" xfId="49" applyNumberFormat="1" applyFont="1" applyFill="1" applyBorder="1" applyAlignment="1">
      <x:alignment vertical="center" wrapText="1"/>
    </x:xf>
    <x:xf numFmtId="0" fontId="4" fillId="13" borderId="0" xfId="49" applyNumberFormat="1" applyFont="1" applyFill="1" applyBorder="1" applyAlignment="1">
      <x:alignment vertical="center" wrapText="1"/>
    </x:xf>
    <x:xf numFmtId="0" fontId="17" fillId="14" borderId="0" xfId="49" applyNumberFormat="1" applyFont="1" applyFill="1" applyBorder="1" applyAlignment="1">
      <x:alignment vertical="center" wrapText="1"/>
    </x:xf>
    <x:xf numFmtId="0" fontId="4" fillId="14" borderId="0" xfId="49" applyNumberFormat="1" applyFont="1" applyFill="1" applyBorder="1" applyAlignment="1">
      <x:alignment vertical="center" wrapText="1"/>
    </x:xf>
    <x:xf numFmtId="0" fontId="4" fillId="15" borderId="0" xfId="49" applyNumberFormat="1" applyFont="1" applyFill="1" applyBorder="1" applyAlignment="1">
      <x:alignment vertical="center" wrapText="1"/>
    </x:xf>
    <x:xf numFmtId="0" fontId="18" fillId="0" borderId="2" xfId="49" applyNumberFormat="1" applyFont="1" applyFill="1" applyBorder="1"/>
    <x:xf numFmtId="0" fontId="0" fillId="0" borderId="2" xfId="49" applyNumberFormat="1" applyFont="1" applyFill="1" applyBorder="1"/>
    <x:xf numFmtId="0" fontId="3" fillId="2" borderId="0" xfId="49" applyNumberFormat="1" applyFont="1" applyFill="1" applyBorder="1" applyAlignment="1">
      <x:alignment horizontal="center" vertical="center" wrapText="1"/>
    </x:xf>
    <x:xf numFmtId="0" fontId="19" fillId="5" borderId="3" xfId="49" applyNumberFormat="1" applyFont="1" applyFill="1" applyBorder="1" applyAlignment="1">
      <x:alignment vertical="center" wrapText="1"/>
    </x:xf>
    <x:xf numFmtId="0" fontId="0" fillId="5" borderId="3" xfId="49" applyNumberFormat="1" applyFont="1" applyFill="1" applyBorder="1" applyAlignment="1">
      <x:alignment vertical="top" wrapText="1"/>
    </x:xf>
    <x:xf numFmtId="0" fontId="0" fillId="8" borderId="3" xfId="49" applyNumberFormat="1" applyFont="1" applyFill="1" applyBorder="1" applyAlignment="1">
      <x:alignment vertical="center" wrapText="1"/>
    </x:xf>
    <x:xf numFmtId="176" fontId="0" fillId="8" borderId="3" xfId="49" applyNumberFormat="1" applyFont="1" applyFill="1" applyBorder="1" applyAlignment="1">
      <x:alignment vertical="center" wrapText="1"/>
    </x:xf>
    <x:xf numFmtId="0" fontId="19" fillId="5" borderId="0" xfId="49" applyNumberFormat="1" applyFont="1" applyFill="1" applyBorder="1" applyAlignment="1">
      <x:alignment vertical="center" wrapText="1"/>
    </x:xf>
    <x:xf numFmtId="0" fontId="0" fillId="5" borderId="0" xfId="49" applyNumberFormat="1" applyFont="1" applyFill="1" applyBorder="1" applyAlignment="1">
      <x:alignment vertical="top" wrapText="1"/>
    </x:xf>
    <x:xf numFmtId="0" fontId="0" fillId="8" borderId="0" xfId="49" applyNumberFormat="1" applyFont="1" applyFill="1" applyBorder="1" applyAlignment="1">
      <x:alignment vertical="center" wrapText="1"/>
    </x:xf>
    <x:xf numFmtId="176" fontId="0" fillId="8" borderId="0" xfId="49" applyNumberFormat="1" applyFont="1" applyFill="1" applyBorder="1" applyAlignment="1">
      <x:alignment vertical="center" wrapText="1"/>
    </x:xf>
    <x:xf numFmtId="0" fontId="20" fillId="9" borderId="4" xfId="49" applyNumberFormat="1" applyFont="1" applyFill="1" applyBorder="1" applyAlignment="1">
      <x:alignment vertical="center" wrapText="1"/>
    </x:xf>
    <x:xf numFmtId="0" fontId="0" fillId="9" borderId="4" xfId="49" applyNumberFormat="1" applyFont="1" applyFill="1" applyBorder="1" applyAlignment="1">
      <x:alignment vertical="top" wrapText="1"/>
    </x:xf>
    <x:xf numFmtId="0" fontId="0" fillId="8" borderId="4" xfId="49" applyNumberFormat="1" applyFont="1" applyFill="1" applyBorder="1" applyAlignment="1">
      <x:alignment vertical="center" wrapText="1"/>
    </x:xf>
    <x:xf numFmtId="176" fontId="0" fillId="8" borderId="4" xfId="49" applyNumberFormat="1" applyFont="1" applyFill="1" applyBorder="1" applyAlignment="1">
      <x:alignment vertical="center" wrapText="1"/>
    </x:xf>
    <x:xf numFmtId="0" fontId="20" fillId="9" borderId="0" xfId="49" applyNumberFormat="1" applyFont="1" applyFill="1" applyBorder="1" applyAlignment="1">
      <x:alignment vertical="center" wrapText="1"/>
    </x:xf>
    <x:xf numFmtId="0" fontId="0" fillId="9" borderId="0" xfId="49" applyNumberFormat="1" applyFont="1" applyFill="1" applyBorder="1" applyAlignment="1">
      <x:alignment vertical="top" wrapText="1"/>
    </x:xf>
    <x:xf numFmtId="0" fontId="21" fillId="10" borderId="5" xfId="49" applyNumberFormat="1" applyFont="1" applyFill="1" applyBorder="1" applyAlignment="1">
      <x:alignment vertical="center" wrapText="1"/>
    </x:xf>
    <x:xf numFmtId="0" fontId="0" fillId="10" borderId="5" xfId="49" applyNumberFormat="1" applyFont="1" applyFill="1" applyBorder="1" applyAlignment="1">
      <x:alignment vertical="top" wrapText="1"/>
    </x:xf>
    <x:xf numFmtId="0" fontId="0" fillId="8" borderId="5" xfId="49" applyNumberFormat="1" applyFont="1" applyFill="1" applyBorder="1" applyAlignment="1">
      <x:alignment vertical="center" wrapText="1"/>
    </x:xf>
    <x:xf numFmtId="176" fontId="0" fillId="8" borderId="5" xfId="49" applyNumberFormat="1" applyFont="1" applyFill="1" applyBorder="1" applyAlignment="1">
      <x:alignment vertical="center" wrapText="1"/>
    </x:xf>
    <x:xf numFmtId="0" fontId="21" fillId="10" borderId="0" xfId="49" applyNumberFormat="1" applyFont="1" applyFill="1" applyBorder="1" applyAlignment="1">
      <x:alignment vertical="center" wrapText="1"/>
    </x:xf>
    <x:xf numFmtId="0" fontId="0" fillId="10" borderId="0" xfId="49" applyNumberFormat="1" applyFont="1" applyFill="1" applyBorder="1" applyAlignment="1">
      <x:alignment vertical="top" wrapText="1"/>
    </x:xf>
    <x:xf numFmtId="0" fontId="22" fillId="11" borderId="6" xfId="49" applyNumberFormat="1" applyFont="1" applyFill="1" applyBorder="1" applyAlignment="1">
      <x:alignment vertical="center" wrapText="1"/>
    </x:xf>
    <x:xf numFmtId="0" fontId="0" fillId="11" borderId="6" xfId="49" applyNumberFormat="1" applyFont="1" applyFill="1" applyBorder="1" applyAlignment="1">
      <x:alignment vertical="top" wrapText="1"/>
    </x:xf>
    <x:xf numFmtId="0" fontId="0" fillId="8" borderId="6" xfId="49" applyNumberFormat="1" applyFont="1" applyFill="1" applyBorder="1" applyAlignment="1">
      <x:alignment vertical="center" wrapText="1"/>
    </x:xf>
    <x:xf numFmtId="176" fontId="0" fillId="8" borderId="6" xfId="49" applyNumberFormat="1" applyFont="1" applyFill="1" applyBorder="1" applyAlignment="1">
      <x:alignment vertical="center" wrapText="1"/>
    </x:xf>
    <x:xf numFmtId="0" fontId="22" fillId="11" borderId="0" xfId="49" applyNumberFormat="1" applyFont="1" applyFill="1" applyBorder="1" applyAlignment="1">
      <x:alignment vertical="center" wrapText="1"/>
    </x:xf>
    <x:xf numFmtId="0" fontId="0" fillId="11" borderId="0" xfId="49" applyNumberFormat="1" applyFont="1" applyFill="1" applyBorder="1" applyAlignment="1">
      <x:alignment vertical="top" wrapText="1"/>
    </x:xf>
    <x:xf numFmtId="0" fontId="23" fillId="12" borderId="7" xfId="49" applyNumberFormat="1" applyFont="1" applyFill="1" applyBorder="1" applyAlignment="1">
      <x:alignment vertical="center" wrapText="1"/>
    </x:xf>
    <x:xf numFmtId="0" fontId="0" fillId="12" borderId="7" xfId="49" applyNumberFormat="1" applyFont="1" applyFill="1" applyBorder="1" applyAlignment="1">
      <x:alignment vertical="top" wrapText="1"/>
    </x:xf>
    <x:xf numFmtId="0" fontId="0" fillId="8" borderId="7" xfId="49" applyNumberFormat="1" applyFont="1" applyFill="1" applyBorder="1" applyAlignment="1">
      <x:alignment vertical="center" wrapText="1"/>
    </x:xf>
    <x:xf numFmtId="176" fontId="0" fillId="8" borderId="7" xfId="49" applyNumberFormat="1" applyFont="1" applyFill="1" applyBorder="1" applyAlignment="1">
      <x:alignment vertical="center" wrapText="1"/>
    </x:xf>
    <x:xf numFmtId="0" fontId="23" fillId="12" borderId="0" xfId="49" applyNumberFormat="1" applyFont="1" applyFill="1" applyBorder="1" applyAlignment="1">
      <x:alignment vertical="center" wrapText="1"/>
    </x:xf>
    <x:xf numFmtId="0" fontId="0" fillId="12" borderId="0" xfId="49" applyNumberFormat="1" applyFont="1" applyFill="1" applyBorder="1" applyAlignment="1">
      <x:alignment vertical="top" wrapText="1"/>
    </x:xf>
    <x:xf numFmtId="0" fontId="24" fillId="13" borderId="8" xfId="49" applyNumberFormat="1" applyFont="1" applyFill="1" applyBorder="1" applyAlignment="1">
      <x:alignment vertical="center" wrapText="1"/>
    </x:xf>
    <x:xf numFmtId="0" fontId="0" fillId="13" borderId="8" xfId="49" applyNumberFormat="1" applyFont="1" applyFill="1" applyBorder="1" applyAlignment="1">
      <x:alignment vertical="top" wrapText="1"/>
    </x:xf>
    <x:xf numFmtId="0" fontId="0" fillId="8" borderId="8" xfId="49" applyNumberFormat="1" applyFont="1" applyFill="1" applyBorder="1" applyAlignment="1">
      <x:alignment vertical="center" wrapText="1"/>
    </x:xf>
    <x:xf numFmtId="176" fontId="0" fillId="8" borderId="8" xfId="49" applyNumberFormat="1" applyFont="1" applyFill="1" applyBorder="1" applyAlignment="1">
      <x:alignment vertical="center" wrapText="1"/>
    </x:xf>
    <x:xf numFmtId="0" fontId="24" fillId="13" borderId="0" xfId="49" applyNumberFormat="1" applyFont="1" applyFill="1" applyBorder="1" applyAlignment="1">
      <x:alignment vertical="center" wrapText="1"/>
    </x:xf>
    <x:xf numFmtId="0" fontId="0" fillId="13" borderId="0" xfId="49" applyNumberFormat="1" applyFont="1" applyFill="1" applyBorder="1" applyAlignment="1">
      <x:alignment vertical="top" wrapText="1"/>
    </x:xf>
    <x:xf numFmtId="0" fontId="25" fillId="14" borderId="9" xfId="49" applyNumberFormat="1" applyFont="1" applyFill="1" applyBorder="1" applyAlignment="1">
      <x:alignment vertical="center" wrapText="1"/>
    </x:xf>
    <x:xf numFmtId="0" fontId="0" fillId="14" borderId="9" xfId="49" applyNumberFormat="1" applyFont="1" applyFill="1" applyBorder="1" applyAlignment="1">
      <x:alignment vertical="top" wrapText="1"/>
    </x:xf>
    <x:xf numFmtId="0" fontId="0" fillId="8" borderId="9" xfId="49" applyNumberFormat="1" applyFont="1" applyFill="1" applyBorder="1" applyAlignment="1">
      <x:alignment vertical="center" wrapText="1"/>
    </x:xf>
    <x:xf numFmtId="176" fontId="0" fillId="8" borderId="9" xfId="49" applyNumberFormat="1" applyFont="1" applyFill="1" applyBorder="1" applyAlignment="1">
      <x:alignment vertical="center" wrapText="1"/>
    </x:xf>
    <x:xf numFmtId="0" fontId="25" fillId="14" borderId="0" xfId="49" applyNumberFormat="1" applyFont="1" applyFill="1" applyBorder="1" applyAlignment="1">
      <x:alignment vertical="center" wrapText="1"/>
    </x:xf>
    <x:xf numFmtId="0" fontId="0" fillId="14" borderId="0" xfId="49" applyNumberFormat="1" applyFont="1" applyFill="1" applyBorder="1" applyAlignment="1">
      <x:alignment vertical="top" wrapText="1"/>
    </x:xf>
    <x:xf numFmtId="0" fontId="26" fillId="16" borderId="10" xfId="49" applyNumberFormat="1" applyFont="1" applyFill="1" applyBorder="1" applyAlignment="1">
      <x:alignment vertical="center" wrapText="1"/>
    </x:xf>
    <x:xf numFmtId="0" fontId="0" fillId="16" borderId="10" xfId="49" applyNumberFormat="1" applyFont="1" applyFill="1" applyBorder="1" applyAlignment="1">
      <x:alignment vertical="top" wrapText="1"/>
    </x:xf>
    <x:xf numFmtId="0" fontId="0" fillId="8" borderId="10" xfId="49" applyNumberFormat="1" applyFont="1" applyFill="1" applyBorder="1" applyAlignment="1">
      <x:alignment vertical="center" wrapText="1"/>
    </x:xf>
    <x:xf numFmtId="176" fontId="0" fillId="8" borderId="10" xfId="49" applyNumberFormat="1" applyFont="1" applyFill="1" applyBorder="1" applyAlignment="1">
      <x:alignment vertical="center" wrapText="1"/>
    </x:xf>
    <x:xf numFmtId="0" fontId="26" fillId="16" borderId="0" xfId="49" applyNumberFormat="1" applyFont="1" applyFill="1" applyBorder="1" applyAlignment="1">
      <x:alignment vertical="center" wrapText="1"/>
    </x:xf>
    <x:xf numFmtId="0" fontId="0" fillId="16" borderId="0" xfId="49" applyNumberFormat="1" applyFont="1" applyFill="1" applyBorder="1" applyAlignment="1">
      <x:alignment vertical="top" wrapText="1"/>
    </x:xf>
    <x:xf numFmtId="0" fontId="27" fillId="5" borderId="0" xfId="49" applyNumberFormat="1" applyFont="1" applyFill="1" applyBorder="1" applyAlignment="1">
      <x:alignment vertical="center" wrapText="1"/>
    </x:xf>
    <x:xf numFmtId="0" fontId="0" fillId="5" borderId="0" xfId="49" applyNumberFormat="1" applyFont="1" applyFill="1" applyBorder="1" applyAlignment="1">
      <x:alignment vertical="center" wrapText="1"/>
    </x:xf>
    <x:xf numFmtId="0" fontId="28" fillId="9" borderId="0" xfId="49" applyNumberFormat="1" applyFont="1" applyFill="1" applyBorder="1" applyAlignment="1">
      <x:alignment vertical="center" wrapText="1"/>
    </x:xf>
    <x:xf numFmtId="0" fontId="0" fillId="9" borderId="0" xfId="49" applyNumberFormat="1" applyFont="1" applyFill="1" applyBorder="1" applyAlignment="1">
      <x:alignment vertical="center" wrapText="1"/>
    </x:xf>
    <x:xf numFmtId="0" fontId="29" fillId="10" borderId="0" xfId="49" applyNumberFormat="1" applyFont="1" applyFill="1" applyBorder="1" applyAlignment="1">
      <x:alignment vertical="center" wrapText="1"/>
    </x:xf>
    <x:xf numFmtId="0" fontId="0" fillId="10" borderId="0" xfId="49" applyNumberFormat="1" applyFont="1" applyFill="1" applyBorder="1" applyAlignment="1">
      <x:alignment vertical="center" wrapText="1"/>
    </x:xf>
    <x:xf numFmtId="0" fontId="30" fillId="11" borderId="0" xfId="49" applyNumberFormat="1" applyFont="1" applyFill="1" applyBorder="1" applyAlignment="1">
      <x:alignment vertical="center" wrapText="1"/>
    </x:xf>
    <x:xf numFmtId="0" fontId="0" fillId="11" borderId="0" xfId="49" applyNumberFormat="1" applyFont="1" applyFill="1" applyBorder="1" applyAlignment="1">
      <x:alignment vertical="center" wrapText="1"/>
    </x:xf>
    <x:xf numFmtId="0" fontId="31" fillId="12" borderId="0" xfId="49" applyNumberFormat="1" applyFont="1" applyFill="1" applyBorder="1" applyAlignment="1">
      <x:alignment vertical="center" wrapText="1"/>
    </x:xf>
    <x:xf numFmtId="0" fontId="0" fillId="12" borderId="0" xfId="49" applyNumberFormat="1" applyFont="1" applyFill="1" applyBorder="1" applyAlignment="1">
      <x:alignment vertical="center" wrapText="1"/>
    </x:xf>
    <x:xf numFmtId="0" fontId="32" fillId="13" borderId="0" xfId="49" applyNumberFormat="1" applyFont="1" applyFill="1" applyBorder="1" applyAlignment="1">
      <x:alignment vertical="center" wrapText="1"/>
    </x:xf>
    <x:xf numFmtId="0" fontId="0" fillId="13" borderId="0" xfId="49" applyNumberFormat="1" applyFont="1" applyFill="1" applyBorder="1" applyAlignment="1">
      <x:alignment vertical="center" wrapText="1"/>
    </x:xf>
    <x:xf numFmtId="0" fontId="33" fillId="14" borderId="0" xfId="49" applyNumberFormat="1" applyFont="1" applyFill="1" applyBorder="1" applyAlignment="1">
      <x:alignment vertical="center" wrapText="1"/>
    </x:xf>
    <x:xf numFmtId="0" fontId="0" fillId="14" borderId="0" xfId="49" applyNumberFormat="1" applyFont="1" applyFill="1" applyBorder="1" applyAlignment="1">
      <x:alignment vertical="center" wrapText="1"/>
    </x:xf>
    <x:xf numFmtId="0" fontId="34" fillId="16" borderId="0" xfId="49" applyNumberFormat="1" applyFont="1" applyFill="1" applyBorder="1" applyAlignment="1">
      <x:alignment vertical="center" wrapText="1"/>
    </x:xf>
    <x:xf numFmtId="0" fontId="0" fillId="16" borderId="0" xfId="49" applyNumberFormat="1" applyFont="1" applyFill="1" applyBorder="1" applyAlignment="1">
      <x:alignment vertical="center" wrapText="1"/>
    </x:xf>
    <x:xf numFmtId="0" fontId="0" fillId="4" borderId="0" xfId="49" applyNumberFormat="1" applyFont="1" applyFill="1" applyBorder="1" applyAlignment="1">
      <x:alignment wrapText="1"/>
    </x:xf>
    <x:xf numFmtId="0" fontId="0" fillId="17" borderId="0" xfId="49" applyNumberFormat="1" applyFont="1" applyFill="1" applyBorder="1" applyAlignment="1">
      <x:alignment wrapText="1"/>
    </x:xf>
    <x:xf numFmtId="0" fontId="10" fillId="0" borderId="2" xfId="49" applyNumberFormat="1" applyFont="1" applyFill="1" applyBorder="1" applyAlignment="1">
      <x:alignment vertical="center"/>
    </x:xf>
    <x:xf numFmtId="0" fontId="4" fillId="0" borderId="2" xfId="49" applyNumberFormat="1" applyFont="1" applyFill="1" applyBorder="1" applyAlignment="1">
      <x:alignment vertical="center"/>
    </x:xf>
    <x:xf numFmtId="0" fontId="4" fillId="4" borderId="0" xfId="49" applyNumberFormat="1" applyFont="1" applyFill="1" applyBorder="1" applyAlignment="1">
      <x:alignment vertical="top" wrapText="1"/>
    </x:xf>
    <x:xf numFmtId="0" fontId="4" fillId="17" borderId="0" xfId="49" applyNumberFormat="1" applyFont="1" applyFill="1" applyBorder="1" applyAlignment="1">
      <x:alignment vertical="top" wrapText="1"/>
    </x:xf>
    <x:xf numFmtId="0" fontId="8" fillId="3" borderId="0" xfId="49" applyNumberFormat="1" applyFont="1" applyFill="1" applyBorder="1" applyAlignment="1">
      <x:alignment vertical="top" wrapText="1"/>
    </x:xf>
    <x:xf numFmtId="0" fontId="8" fillId="18" borderId="0" xfId="49" applyNumberFormat="1" applyFont="1" applyFill="1" applyBorder="1" applyAlignment="1">
      <x:alignment vertical="top" wrapText="1"/>
    </x:xf>
    <x:xf numFmtId="0" fontId="8" fillId="19" borderId="0" xfId="49" applyNumberFormat="1" applyFont="1" applyFill="1" applyBorder="1" applyAlignment="1">
      <x:alignment vertical="top" wrapText="1"/>
    </x:xf>
    <x:xf numFmtId="0" fontId="8" fillId="20" borderId="0" xfId="49" applyNumberFormat="1" applyFont="1" applyFill="1" applyBorder="1" applyAlignment="1">
      <x:alignment vertical="top" wrapText="1"/>
    </x:xf>
    <x:xf numFmtId="0" fontId="8" fillId="21" borderId="0" xfId="49" applyNumberFormat="1" applyFont="1" applyFill="1" applyBorder="1" applyAlignment="1">
      <x:alignment vertical="top" wrapText="1"/>
    </x:xf>
    <x:xf numFmtId="0" fontId="8" fillId="22" borderId="0" xfId="49" applyNumberFormat="1" applyFont="1" applyFill="1" applyBorder="1" applyAlignment="1">
      <x:alignment vertical="top" wrapText="1"/>
    </x:xf>
    <x:xf numFmtId="0" fontId="8" fillId="23" borderId="0" xfId="49" applyNumberFormat="1" applyFont="1" applyFill="1" applyBorder="1" applyAlignment="1">
      <x:alignment vertical="top" wrapText="1"/>
    </x:xf>
    <x:xf numFmtId="0" fontId="8" fillId="24" borderId="0" xfId="49" applyNumberFormat="1" applyFont="1" applyFill="1" applyBorder="1" applyAlignment="1">
      <x:alignment vertical="top" wrapText="1"/>
    </x:xf>
    <x:xf numFmtId="0" fontId="8" fillId="25" borderId="0" xfId="49" applyNumberFormat="1" applyFont="1" applyFill="1" applyBorder="1" applyAlignment="1">
      <x:alignment vertical="top" wrapText="1"/>
    </x:xf>
    <x:xf numFmtId="0" fontId="8" fillId="26" borderId="0" xfId="49" applyNumberFormat="1" applyFont="1" applyFill="1" applyBorder="1" applyAlignment="1">
      <x:alignment vertical="top" wrapText="1"/>
    </x:xf>
    <x:xf numFmtId="0" fontId="8" fillId="27" borderId="0" xfId="49" applyNumberFormat="1" applyFont="1" applyFill="1" applyBorder="1" applyAlignment="1">
      <x:alignment vertical="top" wrapText="1"/>
    </x:xf>
    <x:xf numFmtId="0" fontId="8" fillId="28" borderId="0" xfId="49" applyNumberFormat="1" applyFont="1" applyFill="1" applyBorder="1" applyAlignment="1">
      <x:alignment vertical="top" wrapText="1"/>
    </x:xf>
    <x:xf numFmtId="0" fontId="8" fillId="29" borderId="0" xfId="49" applyNumberFormat="1" applyFont="1" applyFill="1" applyBorder="1" applyAlignment="1">
      <x:alignment vertical="top" wrapText="1"/>
    </x:xf>
    <x:xf numFmtId="0" fontId="8" fillId="30" borderId="0" xfId="49" applyNumberFormat="1" applyFont="1" applyFill="1" applyBorder="1" applyAlignment="1">
      <x:alignment vertical="top" wrapText="1"/>
    </x:xf>
    <x:xf numFmtId="0" fontId="8" fillId="31" borderId="0" xfId="49" applyNumberFormat="1" applyFont="1" applyFill="1" applyBorder="1" applyAlignment="1">
      <x:alignment vertical="top" wrapText="1"/>
    </x:xf>
    <x:xf numFmtId="0" fontId="8" fillId="32" borderId="0" xfId="49" applyNumberFormat="1" applyFont="1" applyFill="1" applyBorder="1" applyAlignment="1">
      <x:alignment vertical="top" wrapText="1"/>
    </x:xf>
    <x:xf numFmtId="177" fontId="4" fillId="5" borderId="3" xfId="49" applyNumberFormat="1" applyFont="1" applyFill="1" applyBorder="1" applyAlignment="1">
      <x:alignment vertical="center" wrapText="1"/>
    </x:xf>
    <x:xf numFmtId="0" fontId="11" fillId="5" borderId="3" xfId="49" applyNumberFormat="1" applyFont="1" applyFill="1" applyBorder="1" applyAlignment="1">
      <x:alignment vertical="center" wrapText="1"/>
    </x:xf>
    <x:xf numFmtId="0" fontId="4" fillId="5" borderId="3" xfId="49" applyNumberFormat="1" applyFont="1" applyFill="1" applyBorder="1" applyAlignment="1">
      <x:alignment vertical="center" wrapText="1"/>
    </x:xf>
    <x:xf numFmtId="0" fontId="4" fillId="17" borderId="3" xfId="49" applyNumberFormat="1" applyFont="1" applyFill="1" applyBorder="1" applyAlignment="1">
      <x:alignment vertical="top" wrapText="1"/>
    </x:xf>
    <x:xf numFmtId="0" fontId="4" fillId="8" borderId="3" xfId="49" applyNumberFormat="1" applyFont="1" applyFill="1" applyBorder="1" applyAlignment="1">
      <x:alignment vertical="center" wrapText="1"/>
    </x:xf>
    <x:xf numFmtId="176" fontId="4" fillId="8" borderId="3" xfId="49" applyNumberFormat="1" applyFont="1" applyFill="1" applyBorder="1" applyAlignment="1">
      <x:alignment vertical="center" wrapText="1"/>
    </x:xf>
    <x:xf numFmtId="177" fontId="4" fillId="5" borderId="0" xfId="49" applyNumberFormat="1" applyFont="1" applyFill="1" applyBorder="1" applyAlignment="1">
      <x:alignment vertical="center" wrapText="1"/>
    </x:xf>
    <x:xf numFmtId="177" fontId="4" fillId="12" borderId="7" xfId="49" applyNumberFormat="1" applyFont="1" applyFill="1" applyBorder="1" applyAlignment="1">
      <x:alignment vertical="center" wrapText="1"/>
    </x:xf>
    <x:xf numFmtId="0" fontId="15" fillId="12" borderId="7" xfId="49" applyNumberFormat="1" applyFont="1" applyFill="1" applyBorder="1" applyAlignment="1">
      <x:alignment vertical="center" wrapText="1"/>
    </x:xf>
    <x:xf numFmtId="0" fontId="4" fillId="12" borderId="7" xfId="49" applyNumberFormat="1" applyFont="1" applyFill="1" applyBorder="1" applyAlignment="1">
      <x:alignment vertical="center" wrapText="1"/>
    </x:xf>
    <x:xf numFmtId="0" fontId="4" fillId="17" borderId="7" xfId="49" applyNumberFormat="1" applyFont="1" applyFill="1" applyBorder="1" applyAlignment="1">
      <x:alignment vertical="top" wrapText="1"/>
    </x:xf>
    <x:xf numFmtId="0" fontId="4" fillId="8" borderId="7" xfId="49" applyNumberFormat="1" applyFont="1" applyFill="1" applyBorder="1" applyAlignment="1">
      <x:alignment vertical="center" wrapText="1"/>
    </x:xf>
    <x:xf numFmtId="176" fontId="4" fillId="8" borderId="7" xfId="49" applyNumberFormat="1" applyFont="1" applyFill="1" applyBorder="1" applyAlignment="1">
      <x:alignment vertical="center" wrapText="1"/>
    </x:xf>
    <x:xf numFmtId="177" fontId="4" fillId="12" borderId="0" xfId="49" applyNumberFormat="1" applyFont="1" applyFill="1" applyBorder="1" applyAlignment="1">
      <x:alignment vertical="center" wrapText="1"/>
    </x:xf>
    <x:xf numFmtId="177" fontId="4" fillId="9" borderId="4" xfId="49" applyNumberFormat="1" applyFont="1" applyFill="1" applyBorder="1" applyAlignment="1">
      <x:alignment vertical="center" wrapText="1"/>
    </x:xf>
    <x:xf numFmtId="0" fontId="12" fillId="9" borderId="4" xfId="49" applyNumberFormat="1" applyFont="1" applyFill="1" applyBorder="1" applyAlignment="1">
      <x:alignment vertical="center" wrapText="1"/>
    </x:xf>
    <x:xf numFmtId="0" fontId="4" fillId="9" borderId="4" xfId="49" applyNumberFormat="1" applyFont="1" applyFill="1" applyBorder="1" applyAlignment="1">
      <x:alignment vertical="center" wrapText="1"/>
    </x:xf>
    <x:xf numFmtId="0" fontId="4" fillId="17" borderId="4" xfId="49" applyNumberFormat="1" applyFont="1" applyFill="1" applyBorder="1" applyAlignment="1">
      <x:alignment vertical="top" wrapText="1"/>
    </x:xf>
    <x:xf numFmtId="0" fontId="4" fillId="8" borderId="4" xfId="49" applyNumberFormat="1" applyFont="1" applyFill="1" applyBorder="1" applyAlignment="1">
      <x:alignment vertical="center" wrapText="1"/>
    </x:xf>
    <x:xf numFmtId="176" fontId="4" fillId="8" borderId="4" xfId="49" applyNumberFormat="1" applyFont="1" applyFill="1" applyBorder="1" applyAlignment="1">
      <x:alignment vertical="center" wrapText="1"/>
    </x:xf>
    <x:xf numFmtId="177" fontId="4" fillId="9" borderId="0" xfId="49" applyNumberFormat="1" applyFont="1" applyFill="1" applyBorder="1" applyAlignment="1">
      <x:alignment vertical="center" wrapText="1"/>
    </x:xf>
    <x:xf numFmtId="177" fontId="4" fillId="10" borderId="5" xfId="49" applyNumberFormat="1" applyFont="1" applyFill="1" applyBorder="1" applyAlignment="1">
      <x:alignment vertical="center" wrapText="1"/>
    </x:xf>
    <x:xf numFmtId="0" fontId="13" fillId="10" borderId="5" xfId="49" applyNumberFormat="1" applyFont="1" applyFill="1" applyBorder="1" applyAlignment="1">
      <x:alignment vertical="center" wrapText="1"/>
    </x:xf>
    <x:xf numFmtId="0" fontId="4" fillId="10" borderId="5" xfId="49" applyNumberFormat="1" applyFont="1" applyFill="1" applyBorder="1" applyAlignment="1">
      <x:alignment vertical="center" wrapText="1"/>
    </x:xf>
    <x:xf numFmtId="0" fontId="4" fillId="17" borderId="5" xfId="49" applyNumberFormat="1" applyFont="1" applyFill="1" applyBorder="1" applyAlignment="1">
      <x:alignment vertical="top" wrapText="1"/>
    </x:xf>
    <x:xf numFmtId="0" fontId="4" fillId="8" borderId="5" xfId="49" applyNumberFormat="1" applyFont="1" applyFill="1" applyBorder="1" applyAlignment="1">
      <x:alignment vertical="center" wrapText="1"/>
    </x:xf>
    <x:xf numFmtId="176" fontId="4" fillId="8" borderId="5" xfId="49" applyNumberFormat="1" applyFont="1" applyFill="1" applyBorder="1" applyAlignment="1">
      <x:alignment vertical="center" wrapText="1"/>
    </x:xf>
    <x:xf numFmtId="177" fontId="4" fillId="10" borderId="0" xfId="49" applyNumberFormat="1" applyFont="1" applyFill="1" applyBorder="1" applyAlignment="1">
      <x:alignment vertical="center" wrapText="1"/>
    </x:xf>
    <x:xf numFmtId="177" fontId="4" fillId="33" borderId="11" xfId="49" applyNumberFormat="1" applyFont="1" applyFill="1" applyBorder="1" applyAlignment="1">
      <x:alignment vertical="center" wrapText="1"/>
    </x:xf>
    <x:xf numFmtId="0" fontId="35" fillId="33" borderId="11" xfId="49" applyNumberFormat="1" applyFont="1" applyFill="1" applyBorder="1" applyAlignment="1">
      <x:alignment vertical="center" wrapText="1"/>
    </x:xf>
    <x:xf numFmtId="0" fontId="4" fillId="33" borderId="11" xfId="49" applyNumberFormat="1" applyFont="1" applyFill="1" applyBorder="1" applyAlignment="1">
      <x:alignment vertical="center" wrapText="1"/>
    </x:xf>
    <x:xf numFmtId="0" fontId="4" fillId="17" borderId="11" xfId="49" applyNumberFormat="1" applyFont="1" applyFill="1" applyBorder="1" applyAlignment="1">
      <x:alignment vertical="top" wrapText="1"/>
    </x:xf>
    <x:xf numFmtId="0" fontId="4" fillId="8" borderId="11" xfId="49" applyNumberFormat="1" applyFont="1" applyFill="1" applyBorder="1" applyAlignment="1">
      <x:alignment vertical="center" wrapText="1"/>
    </x:xf>
    <x:xf numFmtId="176" fontId="4" fillId="8" borderId="11" xfId="49" applyNumberFormat="1" applyFont="1" applyFill="1" applyBorder="1" applyAlignment="1">
      <x:alignment vertical="center" wrapText="1"/>
    </x:xf>
    <x:xf numFmtId="177" fontId="4" fillId="33" borderId="0" xfId="49" applyNumberFormat="1" applyFont="1" applyFill="1" applyBorder="1" applyAlignment="1">
      <x:alignment vertical="center" wrapText="1"/>
    </x:xf>
    <x:xf numFmtId="0" fontId="35" fillId="33" borderId="0" xfId="49" applyNumberFormat="1" applyFont="1" applyFill="1" applyBorder="1" applyAlignment="1">
      <x:alignment vertical="center" wrapText="1"/>
    </x:xf>
    <x:xf numFmtId="0" fontId="4" fillId="33" borderId="0" xfId="49" applyNumberFormat="1" applyFont="1" applyFill="1" applyBorder="1" applyAlignment="1">
      <x:alignment vertical="center" wrapText="1"/>
    </x:xf>
    <x:xf numFmtId="177" fontId="4" fillId="34" borderId="12" xfId="49" applyNumberFormat="1" applyFont="1" applyFill="1" applyBorder="1" applyAlignment="1">
      <x:alignment vertical="center" wrapText="1"/>
    </x:xf>
    <x:xf numFmtId="0" fontId="36" fillId="34" borderId="12" xfId="49" applyNumberFormat="1" applyFont="1" applyFill="1" applyBorder="1" applyAlignment="1">
      <x:alignment vertical="center" wrapText="1"/>
    </x:xf>
    <x:xf numFmtId="0" fontId="4" fillId="34" borderId="12" xfId="49" applyNumberFormat="1" applyFont="1" applyFill="1" applyBorder="1" applyAlignment="1">
      <x:alignment vertical="center" wrapText="1"/>
    </x:xf>
    <x:xf numFmtId="0" fontId="4" fillId="17" borderId="12" xfId="49" applyNumberFormat="1" applyFont="1" applyFill="1" applyBorder="1" applyAlignment="1">
      <x:alignment vertical="top" wrapText="1"/>
    </x:xf>
    <x:xf numFmtId="0" fontId="4" fillId="8" borderId="12" xfId="49" applyNumberFormat="1" applyFont="1" applyFill="1" applyBorder="1" applyAlignment="1">
      <x:alignment vertical="center" wrapText="1"/>
    </x:xf>
    <x:xf numFmtId="176" fontId="4" fillId="8" borderId="12" xfId="49" applyNumberFormat="1" applyFont="1" applyFill="1" applyBorder="1" applyAlignment="1">
      <x:alignment vertical="center" wrapText="1"/>
    </x:xf>
    <x:xf numFmtId="177" fontId="4" fillId="34" borderId="0" xfId="49" applyNumberFormat="1" applyFont="1" applyFill="1" applyBorder="1" applyAlignment="1">
      <x:alignment vertical="center" wrapText="1"/>
    </x:xf>
    <x:xf numFmtId="0" fontId="36" fillId="34" borderId="0" xfId="49" applyNumberFormat="1" applyFont="1" applyFill="1" applyBorder="1" applyAlignment="1">
      <x:alignment vertical="center" wrapText="1"/>
    </x:xf>
    <x:xf numFmtId="0" fontId="4" fillId="34" borderId="0" xfId="49" applyNumberFormat="1" applyFont="1" applyFill="1" applyBorder="1" applyAlignment="1">
      <x:alignment vertical="center" wrapText="1"/>
    </x:xf>
    <x:xf numFmtId="177" fontId="4" fillId="11" borderId="6" xfId="49" applyNumberFormat="1" applyFont="1" applyFill="1" applyBorder="1" applyAlignment="1">
      <x:alignment vertical="center" wrapText="1"/>
    </x:xf>
    <x:xf numFmtId="0" fontId="14" fillId="11" borderId="6" xfId="49" applyNumberFormat="1" applyFont="1" applyFill="1" applyBorder="1" applyAlignment="1">
      <x:alignment vertical="center" wrapText="1"/>
    </x:xf>
    <x:xf numFmtId="0" fontId="4" fillId="11" borderId="6" xfId="49" applyNumberFormat="1" applyFont="1" applyFill="1" applyBorder="1" applyAlignment="1">
      <x:alignment vertical="center" wrapText="1"/>
    </x:xf>
    <x:xf numFmtId="0" fontId="4" fillId="17" borderId="6" xfId="49" applyNumberFormat="1" applyFont="1" applyFill="1" applyBorder="1" applyAlignment="1">
      <x:alignment vertical="top" wrapText="1"/>
    </x:xf>
    <x:xf numFmtId="0" fontId="4" fillId="8" borderId="6" xfId="49" applyNumberFormat="1" applyFont="1" applyFill="1" applyBorder="1" applyAlignment="1">
      <x:alignment vertical="center" wrapText="1"/>
    </x:xf>
    <x:xf numFmtId="176" fontId="4" fillId="8" borderId="6" xfId="49" applyNumberFormat="1" applyFont="1" applyFill="1" applyBorder="1" applyAlignment="1">
      <x:alignment vertical="center" wrapText="1"/>
    </x:xf>
    <x:xf numFmtId="177" fontId="4" fillId="11" borderId="0" xfId="49" applyNumberFormat="1" applyFont="1" applyFill="1" applyBorder="1" applyAlignment="1">
      <x:alignment vertical="center" wrapText="1"/>
    </x:xf>
    <x:xf numFmtId="177" fontId="4" fillId="13" borderId="8" xfId="49" applyNumberFormat="1" applyFont="1" applyFill="1" applyBorder="1" applyAlignment="1">
      <x:alignment vertical="center" wrapText="1"/>
    </x:xf>
    <x:xf numFmtId="0" fontId="16" fillId="13" borderId="8" xfId="49" applyNumberFormat="1" applyFont="1" applyFill="1" applyBorder="1" applyAlignment="1">
      <x:alignment vertical="center" wrapText="1"/>
    </x:xf>
    <x:xf numFmtId="0" fontId="4" fillId="13" borderId="8" xfId="49" applyNumberFormat="1" applyFont="1" applyFill="1" applyBorder="1" applyAlignment="1">
      <x:alignment vertical="center" wrapText="1"/>
    </x:xf>
    <x:xf numFmtId="0" fontId="4" fillId="4" borderId="8" xfId="49" applyNumberFormat="1" applyFont="1" applyFill="1" applyBorder="1" applyAlignment="1">
      <x:alignment vertical="top" wrapText="1"/>
    </x:xf>
    <x:xf numFmtId="0" fontId="4" fillId="8" borderId="8" xfId="49" applyNumberFormat="1" applyFont="1" applyFill="1" applyBorder="1" applyAlignment="1">
      <x:alignment vertical="center" wrapText="1"/>
    </x:xf>
    <x:xf numFmtId="176" fontId="4" fillId="8" borderId="8" xfId="49" applyNumberFormat="1" applyFont="1" applyFill="1" applyBorder="1" applyAlignment="1">
      <x:alignment vertical="center" wrapText="1"/>
    </x:xf>
    <x:xf numFmtId="177" fontId="4" fillId="13" borderId="0" xfId="49" applyNumberFormat="1" applyFont="1" applyFill="1" applyBorder="1" applyAlignment="1">
      <x:alignment vertical="center" wrapText="1"/>
    </x:xf>
    <x:xf numFmtId="177" fontId="4" fillId="35" borderId="13" xfId="49" applyNumberFormat="1" applyFont="1" applyFill="1" applyBorder="1" applyAlignment="1">
      <x:alignment vertical="center" wrapText="1"/>
    </x:xf>
    <x:xf numFmtId="0" fontId="37" fillId="35" borderId="13" xfId="49" applyNumberFormat="1" applyFont="1" applyFill="1" applyBorder="1" applyAlignment="1">
      <x:alignment vertical="center" wrapText="1"/>
    </x:xf>
    <x:xf numFmtId="0" fontId="4" fillId="35" borderId="13" xfId="49" applyNumberFormat="1" applyFont="1" applyFill="1" applyBorder="1" applyAlignment="1">
      <x:alignment vertical="center" wrapText="1"/>
    </x:xf>
    <x:xf numFmtId="0" fontId="4" fillId="4" borderId="13" xfId="49" applyNumberFormat="1" applyFont="1" applyFill="1" applyBorder="1" applyAlignment="1">
      <x:alignment vertical="top" wrapText="1"/>
    </x:xf>
    <x:xf numFmtId="0" fontId="4" fillId="8" borderId="13" xfId="49" applyNumberFormat="1" applyFont="1" applyFill="1" applyBorder="1" applyAlignment="1">
      <x:alignment vertical="center" wrapText="1"/>
    </x:xf>
    <x:xf numFmtId="176" fontId="4" fillId="8" borderId="13" xfId="49" applyNumberFormat="1" applyFont="1" applyFill="1" applyBorder="1" applyAlignment="1">
      <x:alignment vertical="center" wrapText="1"/>
    </x:xf>
    <x:xf numFmtId="177" fontId="4" fillId="35" borderId="0" xfId="49" applyNumberFormat="1" applyFont="1" applyFill="1" applyBorder="1" applyAlignment="1">
      <x:alignment vertical="center" wrapText="1"/>
    </x:xf>
    <x:xf numFmtId="0" fontId="37" fillId="35" borderId="0" xfId="49" applyNumberFormat="1" applyFont="1" applyFill="1" applyBorder="1" applyAlignment="1">
      <x:alignment vertical="center" wrapText="1"/>
    </x:xf>
    <x:xf numFmtId="0" fontId="4" fillId="35" borderId="0" xfId="49" applyNumberFormat="1" applyFont="1" applyFill="1" applyBorder="1" applyAlignment="1">
      <x:alignment vertical="center" wrapText="1"/>
    </x:xf>
    <x:xf numFmtId="177" fontId="4" fillId="36" borderId="14" xfId="49" applyNumberFormat="1" applyFont="1" applyFill="1" applyBorder="1" applyAlignment="1">
      <x:alignment vertical="center" wrapText="1"/>
    </x:xf>
    <x:xf numFmtId="0" fontId="38" fillId="36" borderId="14" xfId="49" applyNumberFormat="1" applyFont="1" applyFill="1" applyBorder="1" applyAlignment="1">
      <x:alignment vertical="center" wrapText="1"/>
    </x:xf>
    <x:xf numFmtId="0" fontId="4" fillId="36" borderId="14" xfId="49" applyNumberFormat="1" applyFont="1" applyFill="1" applyBorder="1" applyAlignment="1">
      <x:alignment vertical="center" wrapText="1"/>
    </x:xf>
    <x:xf numFmtId="0" fontId="4" fillId="4" borderId="14" xfId="49" applyNumberFormat="1" applyFont="1" applyFill="1" applyBorder="1" applyAlignment="1">
      <x:alignment vertical="top" wrapText="1"/>
    </x:xf>
    <x:xf numFmtId="0" fontId="4" fillId="8" borderId="14" xfId="49" applyNumberFormat="1" applyFont="1" applyFill="1" applyBorder="1" applyAlignment="1">
      <x:alignment vertical="center" wrapText="1"/>
    </x:xf>
    <x:xf numFmtId="176" fontId="4" fillId="8" borderId="14" xfId="49" applyNumberFormat="1" applyFont="1" applyFill="1" applyBorder="1" applyAlignment="1">
      <x:alignment vertical="center" wrapText="1"/>
    </x:xf>
    <x:xf numFmtId="177" fontId="4" fillId="36" borderId="0" xfId="49" applyNumberFormat="1" applyFont="1" applyFill="1" applyBorder="1" applyAlignment="1">
      <x:alignment vertical="center" wrapText="1"/>
    </x:xf>
    <x:xf numFmtId="0" fontId="38" fillId="36" borderId="0" xfId="49" applyNumberFormat="1" applyFont="1" applyFill="1" applyBorder="1" applyAlignment="1">
      <x:alignment vertical="center" wrapText="1"/>
    </x:xf>
    <x:xf numFmtId="0" fontId="4" fillId="36" borderId="0" xfId="49" applyNumberFormat="1" applyFont="1" applyFill="1" applyBorder="1" applyAlignment="1">
      <x:alignment vertical="center" wrapText="1"/>
    </x:xf>
    <x:xf numFmtId="177" fontId="4" fillId="37" borderId="15" xfId="49" applyNumberFormat="1" applyFont="1" applyFill="1" applyBorder="1" applyAlignment="1">
      <x:alignment vertical="center" wrapText="1"/>
    </x:xf>
    <x:xf numFmtId="0" fontId="39" fillId="37" borderId="15" xfId="49" applyNumberFormat="1" applyFont="1" applyFill="1" applyBorder="1" applyAlignment="1">
      <x:alignment vertical="center" wrapText="1"/>
    </x:xf>
    <x:xf numFmtId="0" fontId="4" fillId="37" borderId="15" xfId="49" applyNumberFormat="1" applyFont="1" applyFill="1" applyBorder="1" applyAlignment="1">
      <x:alignment vertical="center" wrapText="1"/>
    </x:xf>
    <x:xf numFmtId="0" fontId="4" fillId="17" borderId="15" xfId="49" applyNumberFormat="1" applyFont="1" applyFill="1" applyBorder="1" applyAlignment="1">
      <x:alignment vertical="top" wrapText="1"/>
    </x:xf>
    <x:xf numFmtId="0" fontId="4" fillId="8" borderId="15" xfId="49" applyNumberFormat="1" applyFont="1" applyFill="1" applyBorder="1" applyAlignment="1">
      <x:alignment vertical="center" wrapText="1"/>
    </x:xf>
    <x:xf numFmtId="176" fontId="4" fillId="8" borderId="15" xfId="49" applyNumberFormat="1" applyFont="1" applyFill="1" applyBorder="1" applyAlignment="1">
      <x:alignment vertical="center" wrapText="1"/>
    </x:xf>
    <x:xf numFmtId="177" fontId="4" fillId="37" borderId="0" xfId="49" applyNumberFormat="1" applyFont="1" applyFill="1" applyBorder="1" applyAlignment="1">
      <x:alignment vertical="center" wrapText="1"/>
    </x:xf>
    <x:xf numFmtId="0" fontId="39" fillId="37" borderId="0" xfId="49" applyNumberFormat="1" applyFont="1" applyFill="1" applyBorder="1" applyAlignment="1">
      <x:alignment vertical="center" wrapText="1"/>
    </x:xf>
    <x:xf numFmtId="0" fontId="4" fillId="37" borderId="0" xfId="49" applyNumberFormat="1" applyFont="1" applyFill="1" applyBorder="1" applyAlignment="1">
      <x:alignment vertical="center" wrapText="1"/>
    </x:xf>
    <x:xf numFmtId="177" fontId="4" fillId="14" borderId="9" xfId="49" applyNumberFormat="1" applyFont="1" applyFill="1" applyBorder="1" applyAlignment="1">
      <x:alignment vertical="center" wrapText="1"/>
    </x:xf>
    <x:xf numFmtId="0" fontId="17" fillId="14" borderId="9" xfId="49" applyNumberFormat="1" applyFont="1" applyFill="1" applyBorder="1" applyAlignment="1">
      <x:alignment vertical="center" wrapText="1"/>
    </x:xf>
    <x:xf numFmtId="0" fontId="4" fillId="14" borderId="9" xfId="49" applyNumberFormat="1" applyFont="1" applyFill="1" applyBorder="1" applyAlignment="1">
      <x:alignment vertical="center" wrapText="1"/>
    </x:xf>
    <x:xf numFmtId="0" fontId="4" fillId="17" borderId="9" xfId="49" applyNumberFormat="1" applyFont="1" applyFill="1" applyBorder="1" applyAlignment="1">
      <x:alignment vertical="top" wrapText="1"/>
    </x:xf>
    <x:xf numFmtId="0" fontId="4" fillId="8" borderId="9" xfId="49" applyNumberFormat="1" applyFont="1" applyFill="1" applyBorder="1" applyAlignment="1">
      <x:alignment vertical="center" wrapText="1"/>
    </x:xf>
    <x:xf numFmtId="176" fontId="4" fillId="8" borderId="9" xfId="49" applyNumberFormat="1" applyFont="1" applyFill="1" applyBorder="1" applyAlignment="1">
      <x:alignment vertical="center" wrapText="1"/>
    </x:xf>
    <x:xf numFmtId="177" fontId="4" fillId="14" borderId="0" xfId="49" applyNumberFormat="1" applyFont="1" applyFill="1" applyBorder="1" applyAlignment="1">
      <x:alignment vertical="center" wrapText="1"/>
    </x:xf>
    <x:xf numFmtId="177" fontId="4" fillId="33" borderId="16" xfId="49" applyNumberFormat="1" applyFont="1" applyFill="1" applyBorder="1" applyAlignment="1">
      <x:alignment vertical="center" wrapText="1"/>
    </x:xf>
    <x:xf numFmtId="0" fontId="40" fillId="33" borderId="16" xfId="49" applyNumberFormat="1" applyFont="1" applyFill="1" applyBorder="1" applyAlignment="1">
      <x:alignment vertical="center" wrapText="1"/>
    </x:xf>
    <x:xf numFmtId="0" fontId="4" fillId="33" borderId="16" xfId="49" applyNumberFormat="1" applyFont="1" applyFill="1" applyBorder="1" applyAlignment="1">
      <x:alignment vertical="center" wrapText="1"/>
    </x:xf>
    <x:xf numFmtId="0" fontId="4" fillId="4" borderId="16" xfId="49" applyNumberFormat="1" applyFont="1" applyFill="1" applyBorder="1" applyAlignment="1">
      <x:alignment vertical="top" wrapText="1"/>
    </x:xf>
    <x:xf numFmtId="0" fontId="4" fillId="8" borderId="16" xfId="49" applyNumberFormat="1" applyFont="1" applyFill="1" applyBorder="1" applyAlignment="1">
      <x:alignment vertical="center" wrapText="1"/>
    </x:xf>
    <x:xf numFmtId="176" fontId="4" fillId="8" borderId="16" xfId="49" applyNumberFormat="1" applyFont="1" applyFill="1" applyBorder="1" applyAlignment="1">
      <x:alignment vertical="center" wrapText="1"/>
    </x:xf>
    <x:xf numFmtId="0" fontId="40" fillId="33" borderId="0" xfId="49" applyNumberFormat="1" applyFont="1" applyFill="1" applyBorder="1" applyAlignment="1">
      <x:alignment vertical="center" wrapText="1"/>
    </x:xf>
    <x:xf numFmtId="177" fontId="4" fillId="11" borderId="17" xfId="49" applyNumberFormat="1" applyFont="1" applyFill="1" applyBorder="1" applyAlignment="1">
      <x:alignment vertical="center" wrapText="1"/>
    </x:xf>
    <x:xf numFmtId="0" fontId="41" fillId="11" borderId="17" xfId="49" applyNumberFormat="1" applyFont="1" applyFill="1" applyBorder="1" applyAlignment="1">
      <x:alignment vertical="center" wrapText="1"/>
    </x:xf>
    <x:xf numFmtId="0" fontId="4" fillId="11" borderId="17" xfId="49" applyNumberFormat="1" applyFont="1" applyFill="1" applyBorder="1" applyAlignment="1">
      <x:alignment vertical="center" wrapText="1"/>
    </x:xf>
    <x:xf numFmtId="0" fontId="4" fillId="17" borderId="17" xfId="49" applyNumberFormat="1" applyFont="1" applyFill="1" applyBorder="1" applyAlignment="1">
      <x:alignment vertical="top" wrapText="1"/>
    </x:xf>
    <x:xf numFmtId="0" fontId="4" fillId="8" borderId="17" xfId="49" applyNumberFormat="1" applyFont="1" applyFill="1" applyBorder="1" applyAlignment="1">
      <x:alignment vertical="center" wrapText="1"/>
    </x:xf>
    <x:xf numFmtId="176" fontId="4" fillId="8" borderId="17" xfId="49" applyNumberFormat="1" applyFont="1" applyFill="1" applyBorder="1" applyAlignment="1">
      <x:alignment vertical="center" wrapText="1"/>
    </x:xf>
    <x:xf numFmtId="0" fontId="41" fillId="11" borderId="0" xfId="49" applyNumberFormat="1" applyFont="1" applyFill="1" applyBorder="1" applyAlignment="1">
      <x:alignment vertical="center" wrapText="1"/>
    </x:xf>
    <x:xf numFmtId="177" fontId="4" fillId="38" borderId="18" xfId="49" applyNumberFormat="1" applyFont="1" applyFill="1" applyBorder="1" applyAlignment="1">
      <x:alignment vertical="center" wrapText="1"/>
    </x:xf>
    <x:xf numFmtId="0" fontId="42" fillId="38" borderId="18" xfId="49" applyNumberFormat="1" applyFont="1" applyFill="1" applyBorder="1" applyAlignment="1">
      <x:alignment vertical="center" wrapText="1"/>
    </x:xf>
    <x:xf numFmtId="0" fontId="4" fillId="38" borderId="18" xfId="49" applyNumberFormat="1" applyFont="1" applyFill="1" applyBorder="1" applyAlignment="1">
      <x:alignment vertical="center" wrapText="1"/>
    </x:xf>
    <x:xf numFmtId="0" fontId="4" fillId="4" borderId="18" xfId="49" applyNumberFormat="1" applyFont="1" applyFill="1" applyBorder="1" applyAlignment="1">
      <x:alignment vertical="top" wrapText="1"/>
    </x:xf>
    <x:xf numFmtId="0" fontId="4" fillId="8" borderId="18" xfId="49" applyNumberFormat="1" applyFont="1" applyFill="1" applyBorder="1" applyAlignment="1">
      <x:alignment vertical="center" wrapText="1"/>
    </x:xf>
    <x:xf numFmtId="176" fontId="4" fillId="8" borderId="18" xfId="49" applyNumberFormat="1" applyFont="1" applyFill="1" applyBorder="1" applyAlignment="1">
      <x:alignment vertical="center" wrapText="1"/>
    </x:xf>
    <x:xf numFmtId="177" fontId="4" fillId="38" borderId="0" xfId="49" applyNumberFormat="1" applyFont="1" applyFill="1" applyBorder="1" applyAlignment="1">
      <x:alignment vertical="center" wrapText="1"/>
    </x:xf>
    <x:xf numFmtId="0" fontId="42" fillId="38" borderId="0" xfId="49" applyNumberFormat="1" applyFont="1" applyFill="1" applyBorder="1" applyAlignment="1">
      <x:alignment vertical="center" wrapText="1"/>
    </x:xf>
    <x:xf numFmtId="0" fontId="4" fillId="38" borderId="0" xfId="49" applyNumberFormat="1" applyFont="1" applyFill="1" applyBorder="1" applyAlignment="1">
      <x:alignment vertical="center" wrapText="1"/>
    </x:xf>
    <x:xf numFmtId="177" fontId="4" fillId="39" borderId="19" xfId="49" applyNumberFormat="1" applyFont="1" applyFill="1" applyBorder="1" applyAlignment="1">
      <x:alignment vertical="center" wrapText="1"/>
    </x:xf>
    <x:xf numFmtId="0" fontId="43" fillId="39" borderId="19" xfId="49" applyNumberFormat="1" applyFont="1" applyFill="1" applyBorder="1" applyAlignment="1">
      <x:alignment vertical="center" wrapText="1"/>
    </x:xf>
    <x:xf numFmtId="0" fontId="4" fillId="39" borderId="19" xfId="49" applyNumberFormat="1" applyFont="1" applyFill="1" applyBorder="1" applyAlignment="1">
      <x:alignment vertical="center" wrapText="1"/>
    </x:xf>
    <x:xf numFmtId="0" fontId="4" fillId="17" borderId="19" xfId="49" applyNumberFormat="1" applyFont="1" applyFill="1" applyBorder="1" applyAlignment="1">
      <x:alignment vertical="top" wrapText="1"/>
    </x:xf>
    <x:xf numFmtId="0" fontId="4" fillId="8" borderId="19" xfId="49" applyNumberFormat="1" applyFont="1" applyFill="1" applyBorder="1" applyAlignment="1">
      <x:alignment vertical="center" wrapText="1"/>
    </x:xf>
    <x:xf numFmtId="176" fontId="4" fillId="8" borderId="19" xfId="49" applyNumberFormat="1" applyFont="1" applyFill="1" applyBorder="1" applyAlignment="1">
      <x:alignment vertical="center" wrapText="1"/>
    </x:xf>
    <x:xf numFmtId="177" fontId="4" fillId="39" borderId="0" xfId="49" applyNumberFormat="1" applyFont="1" applyFill="1" applyBorder="1" applyAlignment="1">
      <x:alignment vertical="center" wrapText="1"/>
    </x:xf>
    <x:xf numFmtId="0" fontId="43" fillId="39" borderId="0" xfId="49" applyNumberFormat="1" applyFont="1" applyFill="1" applyBorder="1" applyAlignment="1">
      <x:alignment vertical="center" wrapText="1"/>
    </x:xf>
    <x:xf numFmtId="0" fontId="4" fillId="39" borderId="0" xfId="49" applyNumberFormat="1" applyFont="1" applyFill="1" applyBorder="1" applyAlignment="1">
      <x:alignment vertical="center" wrapText="1"/>
    </x:xf>
    <x:xf numFmtId="0" fontId="44" fillId="0" borderId="0" xfId="49" applyNumberFormat="1" applyFont="1" applyFill="1" applyBorder="1" applyAlignment="1">
      <x:alignment vertical="center"/>
    </x:xf>
    <x:xf numFmtId="0" fontId="45" fillId="40" borderId="0" xfId="49" applyNumberFormat="1" applyFont="1" applyFill="1" applyBorder="1" applyAlignment="1">
      <x:alignment horizontal="center" vertical="center"/>
    </x:xf>
    <x:xf numFmtId="0" fontId="45" fillId="6" borderId="0" xfId="49" applyNumberFormat="1" applyFont="1" applyFill="1" applyBorder="1" applyAlignment="1">
      <x:alignment horizontal="center" vertical="center"/>
    </x:xf>
    <x:xf numFmtId="0" fontId="45" fillId="41" borderId="0" xfId="49" applyNumberFormat="1" applyFont="1" applyFill="1" applyBorder="1" applyAlignment="1">
      <x:alignment horizontal="center" vertical="center"/>
    </x:xf>
    <x:xf numFmtId="0" fontId="45" fillId="7" borderId="0" xfId="49" applyNumberFormat="1" applyFont="1" applyFill="1" applyBorder="1" applyAlignment="1">
      <x:alignment horizontal="center" vertical="center"/>
    </x:xf>
    <x:xf numFmtId="0" fontId="45" fillId="38" borderId="0" xfId="49" applyNumberFormat="1" applyFont="1" applyFill="1" applyBorder="1" applyAlignment="1">
      <x:alignment horizontal="center" vertical="center"/>
    </x:xf>
    <x:xf numFmtId="0" fontId="45" fillId="42" borderId="0" xfId="49" applyNumberFormat="1" applyFont="1" applyFill="1" applyBorder="1" applyAlignment="1">
      <x:alignment horizontal="center" vertical="center"/>
    </x:xf>
    <x:xf numFmtId="9" fontId="45" fillId="43" borderId="0" xfId="49" applyNumberFormat="1" applyFont="1" applyFill="1" applyBorder="1" applyAlignment="1">
      <x:alignment horizontal="center" vertical="center"/>
    </x:xf>
    <x:xf numFmtId="9" fontId="45" fillId="44" borderId="0" xfId="49" applyNumberFormat="1" applyFont="1" applyFill="1" applyBorder="1" applyAlignment="1">
      <x:alignment horizontal="center" vertical="center"/>
    </x:xf>
    <x:xf numFmtId="0" fontId="11" fillId="0" borderId="0" xfId="49" applyNumberFormat="1" applyFont="1" applyFill="1" applyBorder="1" applyAlignment="1">
      <x:alignment vertical="center"/>
    </x:xf>
    <x:xf numFmtId="0" fontId="4" fillId="5" borderId="0" xfId="49" applyNumberFormat="1" applyFont="1" applyFill="1" applyBorder="1" applyAlignment="1">
      <x:alignment vertical="center"/>
    </x:xf>
    <x:xf numFmtId="9" fontId="4" fillId="5" borderId="0" xfId="49" applyNumberFormat="1" applyFont="1" applyFill="1" applyBorder="1" applyAlignment="1">
      <x:alignment vertical="center"/>
    </x:xf>
    <x:xf numFmtId="0" fontId="4" fillId="12" borderId="0" xfId="49" applyNumberFormat="1" applyFont="1" applyFill="1" applyBorder="1" applyAlignment="1">
      <x:alignment vertical="center"/>
    </x:xf>
    <x:xf numFmtId="9" fontId="4" fillId="12" borderId="0" xfId="49" applyNumberFormat="1" applyFont="1" applyFill="1" applyBorder="1" applyAlignment="1">
      <x:alignment vertical="center"/>
    </x:xf>
    <x:xf numFmtId="0" fontId="4" fillId="9" borderId="0" xfId="49" applyNumberFormat="1" applyFont="1" applyFill="1" applyBorder="1" applyAlignment="1">
      <x:alignment vertical="center"/>
    </x:xf>
    <x:xf numFmtId="9" fontId="4" fillId="9" borderId="0" xfId="49" applyNumberFormat="1" applyFont="1" applyFill="1" applyBorder="1" applyAlignment="1">
      <x:alignment vertical="center"/>
    </x:xf>
    <x:xf numFmtId="0" fontId="4" fillId="10" borderId="0" xfId="49" applyNumberFormat="1" applyFont="1" applyFill="1" applyBorder="1" applyAlignment="1">
      <x:alignment vertical="center"/>
    </x:xf>
    <x:xf numFmtId="9" fontId="4" fillId="10" borderId="0" xfId="49" applyNumberFormat="1" applyFont="1" applyFill="1" applyBorder="1" applyAlignment="1">
      <x:alignment vertical="center"/>
    </x:xf>
    <x:xf numFmtId="0" fontId="4" fillId="33" borderId="0" xfId="49" applyNumberFormat="1" applyFont="1" applyFill="1" applyBorder="1" applyAlignment="1">
      <x:alignment vertical="center"/>
    </x:xf>
    <x:xf numFmtId="9" fontId="4" fillId="33" borderId="0" xfId="49" applyNumberFormat="1" applyFont="1" applyFill="1" applyBorder="1" applyAlignment="1">
      <x:alignment vertical="center"/>
    </x:xf>
    <x:xf numFmtId="0" fontId="4" fillId="34" borderId="0" xfId="49" applyNumberFormat="1" applyFont="1" applyFill="1" applyBorder="1" applyAlignment="1">
      <x:alignment vertical="center"/>
    </x:xf>
    <x:xf numFmtId="9" fontId="4" fillId="34" borderId="0" xfId="49" applyNumberFormat="1" applyFont="1" applyFill="1" applyBorder="1" applyAlignment="1">
      <x:alignment vertical="center"/>
    </x:xf>
    <x:xf numFmtId="0" fontId="4" fillId="11" borderId="0" xfId="49" applyNumberFormat="1" applyFont="1" applyFill="1" applyBorder="1" applyAlignment="1">
      <x:alignment vertical="center"/>
    </x:xf>
    <x:xf numFmtId="9" fontId="4" fillId="11" borderId="0" xfId="49" applyNumberFormat="1" applyFont="1" applyFill="1" applyBorder="1" applyAlignment="1">
      <x:alignment vertical="center"/>
    </x:xf>
    <x:xf numFmtId="0" fontId="4" fillId="13" borderId="0" xfId="49" applyNumberFormat="1" applyFont="1" applyFill="1" applyBorder="1" applyAlignment="1">
      <x:alignment vertical="center"/>
    </x:xf>
    <x:xf numFmtId="9" fontId="4" fillId="13" borderId="0" xfId="49" applyNumberFormat="1" applyFont="1" applyFill="1" applyBorder="1" applyAlignment="1">
      <x:alignment vertical="center"/>
    </x:xf>
    <x:xf numFmtId="0" fontId="4" fillId="35" borderId="0" xfId="49" applyNumberFormat="1" applyFont="1" applyFill="1" applyBorder="1" applyAlignment="1">
      <x:alignment vertical="center"/>
    </x:xf>
    <x:xf numFmtId="9" fontId="4" fillId="35" borderId="0" xfId="49" applyNumberFormat="1" applyFont="1" applyFill="1" applyBorder="1" applyAlignment="1">
      <x:alignment vertical="center"/>
    </x:xf>
    <x:xf numFmtId="0" fontId="4" fillId="36" borderId="0" xfId="49" applyNumberFormat="1" applyFont="1" applyFill="1" applyBorder="1" applyAlignment="1">
      <x:alignment vertical="center"/>
    </x:xf>
    <x:xf numFmtId="9" fontId="4" fillId="36" borderId="0" xfId="49" applyNumberFormat="1" applyFont="1" applyFill="1" applyBorder="1" applyAlignment="1">
      <x:alignment vertical="center"/>
    </x:xf>
    <x:xf numFmtId="0" fontId="4" fillId="37" borderId="0" xfId="49" applyNumberFormat="1" applyFont="1" applyFill="1" applyBorder="1" applyAlignment="1">
      <x:alignment vertical="center"/>
    </x:xf>
    <x:xf numFmtId="9" fontId="4" fillId="37" borderId="0" xfId="49" applyNumberFormat="1" applyFont="1" applyFill="1" applyBorder="1" applyAlignment="1">
      <x:alignment vertical="center"/>
    </x:xf>
    <x:xf numFmtId="0" fontId="4" fillId="14" borderId="0" xfId="49" applyNumberFormat="1" applyFont="1" applyFill="1" applyBorder="1" applyAlignment="1">
      <x:alignment vertical="center"/>
    </x:xf>
    <x:xf numFmtId="9" fontId="4" fillId="14" borderId="0" xfId="49" applyNumberFormat="1" applyFont="1" applyFill="1" applyBorder="1" applyAlignment="1">
      <x:alignment vertical="center"/>
    </x:xf>
    <x:xf numFmtId="0" fontId="4" fillId="38" borderId="0" xfId="49" applyNumberFormat="1" applyFont="1" applyFill="1" applyBorder="1" applyAlignment="1">
      <x:alignment vertical="center"/>
    </x:xf>
    <x:xf numFmtId="9" fontId="4" fillId="38" borderId="0" xfId="49" applyNumberFormat="1" applyFont="1" applyFill="1" applyBorder="1" applyAlignment="1">
      <x:alignment vertical="center"/>
    </x:xf>
    <x:xf numFmtId="0" fontId="4" fillId="39" borderId="0" xfId="49" applyNumberFormat="1" applyFont="1" applyFill="1" applyBorder="1" applyAlignment="1">
      <x:alignment vertical="center"/>
    </x:xf>
    <x:xf numFmtId="9" fontId="4" fillId="39" borderId="0" xfId="49" applyNumberFormat="1" applyFont="1" applyFill="1" applyBorder="1" applyAlignment="1">
      <x:alignment vertical="center"/>
    </x:xf>
    <x:xf numFmtId="0" fontId="46" fillId="0" borderId="0" xfId="49" applyNumberFormat="1" applyFont="1" applyFill="1" applyBorder="1" applyAlignment="1">
      <x:alignment vertical="center"/>
    </x:xf>
    <x:xf numFmtId="0" fontId="4" fillId="16" borderId="0" xfId="49" applyNumberFormat="1" applyFont="1" applyFill="1" applyBorder="1" applyAlignment="1">
      <x:alignment vertical="center" wrapText="1"/>
    </x:xf>
    <x:xf numFmtId="0" fontId="47" fillId="0" borderId="0" xfId="49" applyNumberFormat="1" applyFont="1" applyFill="1" applyBorder="1" applyAlignment="1">
      <x:alignment vertical="center"/>
    </x:xf>
    <x:xf numFmtId="0" fontId="48" fillId="10" borderId="0" xfId="49" applyNumberFormat="1" applyFont="1" applyFill="1" applyBorder="1" applyAlignment="1">
      <x:alignment horizontal="center" vertical="center" wrapText="1"/>
    </x:xf>
    <x:xf numFmtId="0" fontId="4" fillId="0" borderId="0" xfId="49" applyNumberFormat="1" applyFont="1" applyFill="1" applyBorder="1"/>
    <x:xf numFmtId="0" fontId="4" fillId="0" borderId="0" xfId="49" applyNumberFormat="1" applyFont="1" applyFill="1" applyBorder="1" applyAlignment="1">
      <x:alignment wrapText="1"/>
    </x:xf>
    <x:xf numFmtId="0" fontId="49" fillId="0" borderId="0" xfId="49" applyNumberFormat="1" applyFont="1" applyFill="1" applyBorder="1"/>
    <x:xf numFmtId="0" fontId="48" fillId="9" borderId="0" xfId="49" applyNumberFormat="1" applyFont="1" applyFill="1" applyBorder="1" applyAlignment="1">
      <x:alignment horizontal="center" wrapText="1"/>
    </x:xf>
    <x:xf numFmtId="0" fontId="4" fillId="8" borderId="0" xfId="49" applyNumberFormat="1" applyFont="1" applyFill="1" applyBorder="1" applyAlignment="1">
      <x:alignment wrapText="1"/>
    </x:xf>
    <x:xf numFmtId="0" fontId="50" fillId="5" borderId="0" xfId="49" applyNumberFormat="1" applyFont="1" applyFill="1" applyBorder="1" applyAlignment="1">
      <x:alignment wrapText="1"/>
    </x:xf>
    <x:xf numFmtId="0" fontId="51" fillId="0" borderId="0" xfId="49" applyNumberFormat="1" applyFont="1" applyFill="1" applyBorder="1"/>
    <x:xf numFmtId="0" fontId="48" fillId="12" borderId="0" xfId="49" applyNumberFormat="1" applyFont="1" applyFill="1" applyBorder="1" applyAlignment="1">
      <x:alignment horizontal="center" wrapText="1"/>
    </x:xf>
    <x:xf numFmtId="20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5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200" fontId="4" fillId="8" borderId="12" xfId="0" applyNumberFormat="1" applyFont="1" applyFill="1" applyBorder="1" applyAlignment="1">
      <x:alignment vertical="center" wrapText="1"/>
    </x:xf>
    <x:xf numFmtId="0" fontId="4" fillId="8" borderId="12" xfId="0" applyNumberFormat="1" applyFont="1" applyFill="1" applyBorder="1" applyAlignment="1">
      <x:alignment vertical="center" wrapText="1"/>
    </x:xf>
    <x:xf numFmtId="200" fontId="4" fillId="8" borderId="15" xfId="0" applyNumberFormat="1" applyFont="1" applyFill="1" applyBorder="1" applyAlignment="1">
      <x:alignment vertical="center" wrapText="1"/>
    </x:xf>
    <x:xf numFmtId="0" fontId="4" fillId="8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4" fillId="8" borderId="16" xfId="0" applyNumberFormat="1" applyFont="1" applyFill="1" applyBorder="1" applyAlignment="1">
      <x:alignment vertical="center" wrapText="1"/>
    </x:xf>
    <x:xf numFmtId="0" fontId="4" fillId="8" borderId="16" xfId="0" applyNumberFormat="1" applyFont="1" applyFill="1" applyBorder="1" applyAlignment="1">
      <x:alignment vertical="center" wrapText="1"/>
    </x:xf>
    <x:xf numFmtId="200" fontId="4" fillId="8" borderId="17" xfId="0" applyNumberFormat="1" applyFont="1" applyFill="1" applyBorder="1" applyAlignment="1">
      <x:alignment vertical="center" wrapText="1"/>
    </x:xf>
    <x:xf numFmtId="0" fontId="4" fillId="8" borderId="17" xfId="0" applyNumberFormat="1" applyFont="1" applyFill="1" applyBorder="1" applyAlignment="1">
      <x:alignment vertical="center" wrapText="1"/>
    </x:xf>
    <x:xf numFmtId="200" fontId="4" fillId="8" borderId="8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 wrapText="1"/>
    </x:xf>
    <x:xf numFmtId="200" fontId="4" fillId="8" borderId="13" xfId="0" applyNumberFormat="1" applyFont="1" applyFill="1" applyBorder="1" applyAlignment="1">
      <x:alignment vertical="center" wrapText="1"/>
    </x:xf>
    <x:xf numFmtId="0" fontId="4" fillId="8" borderId="13" xfId="0" applyNumberFormat="1" applyFont="1" applyFill="1" applyBorder="1" applyAlignment="1">
      <x:alignment vertical="center" wrapText="1"/>
    </x:xf>
    <x:xf numFmtId="200" fontId="4" fillId="8" borderId="14" xfId="0" applyNumberFormat="1" applyFont="1" applyFill="1" applyBorder="1" applyAlignment="1">
      <x:alignment vertical="center" wrapText="1"/>
    </x:xf>
    <x:xf numFmtId="0" fontId="4" fillId="8" borderId="14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vertical="center" wrapText="1"/>
    </x:xf>
    <x:xf numFmtId="0" fontId="4" fillId="8" borderId="9" xfId="0" applyNumberFormat="1" applyFont="1" applyFill="1" applyBorder="1" applyAlignment="1">
      <x:alignment vertical="center" wrapText="1"/>
    </x:xf>
    <x:xf numFmtId="200" fontId="4" fillId="8" borderId="18" xfId="0" applyNumberFormat="1" applyFont="1" applyFill="1" applyBorder="1" applyAlignment="1">
      <x:alignment vertical="center" wrapText="1"/>
    </x:xf>
    <x:xf numFmtId="0" fontId="4" fillId="8" borderId="18" xfId="0" applyNumberFormat="1" applyFont="1" applyFill="1" applyBorder="1" applyAlignment="1">
      <x:alignment vertical="center" wrapText="1"/>
    </x:xf>
    <x:xf numFmtId="200" fontId="4" fillId="8" borderId="19" xfId="0" applyNumberFormat="1" applyFont="1" applyFill="1" applyBorder="1" applyAlignment="1">
      <x:alignment vertical="center" wrapText="1"/>
    </x:xf>
    <x:xf numFmtId="0" fontId="4" fillId="8" borderId="19" xfId="0" applyNumberFormat="1" applyFont="1" applyFill="1" applyBorder="1" applyAlignment="1">
      <x:alignment vertical="center" wrapText="1"/>
    </x:xf>
    <x:xf numFmtId="176" fontId="4" fillId="8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8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E2E2"/>
        </x:patternFill>
      </x:fill>
    </x:dxf>
    <x:dxf>
      <x:font>
        <x:b/>
      </x:font>
      <x:fill>
        <x:patternFill>
          <x:bgColor rgb="FFFEF3C7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e4cec153f479a" /><Relationship Type="http://schemas.openxmlformats.org/officeDocument/2006/relationships/theme" Target="/xl/theme/theme1.xml" Id="Rabb63cc3874b48db" /><Relationship Type="http://schemas.openxmlformats.org/officeDocument/2006/relationships/sharedStrings" Target="/xl/sharedStrings.xml" Id="R7ed63fd9bcde4d91" /><Relationship Type="http://schemas.openxmlformats.org/officeDocument/2006/relationships/worksheet" Target="/xl/worksheets/sheet1.xml" Id="R81015f7b2c1e4a97" /><Relationship Type="http://schemas.openxmlformats.org/officeDocument/2006/relationships/worksheet" Target="/xl/worksheets/sheet2.xml" Id="R29adde3a0ce34dc1" /><Relationship Type="http://schemas.openxmlformats.org/officeDocument/2006/relationships/worksheet" Target="/xl/worksheets/sheet3.xml" Id="R538ff12f9faa469f" /><Relationship Type="http://schemas.openxmlformats.org/officeDocument/2006/relationships/worksheet" Target="/xl/worksheets/sheet4.xml" Id="Rbc38196569e94fcc" /><Relationship Type="http://schemas.openxmlformats.org/officeDocument/2006/relationships/worksheet" Target="/xl/worksheets/sheet5.xml" Id="R9aae7aab9cba47bc" /><Relationship Type="http://schemas.openxmlformats.org/officeDocument/2006/relationships/worksheet" Target="/xl/worksheets/sheet6.xml" Id="Rdce6577e0d38436a" /><Relationship Type="http://schemas.openxmlformats.org/officeDocument/2006/relationships/worksheet" Target="/xl/worksheets/sheet7.xml" Id="R24834653040647ea" /><Relationship Type="http://schemas.openxmlformats.org/officeDocument/2006/relationships/worksheet" Target="/xl/worksheets/sheet8.xml" Id="Rda80115b4d184974" /><Relationship Type="http://schemas.openxmlformats.org/officeDocument/2006/relationships/worksheet" Target="/xl/worksheets/sheet9.xml" Id="Rfbb51cbe9f6f4831" /><Relationship Type="http://schemas.openxmlformats.org/officeDocument/2006/relationships/worksheet" Target="/xl/worksheets/sheet10.xml" Id="R41cbc69ab2954af5" /><Relationship Type="http://schemas.openxmlformats.org/officeDocument/2006/relationships/worksheet" Target="/xl/worksheets/sheet11.xml" Id="R8a6ba07db493488c" /></Relationships>
</file>

<file path=xl/tables/table1.xml><?xml version="1.0" encoding="utf-8"?>
<x:table xmlns:x="http://schemas.openxmlformats.org/spreadsheetml/2006/main" id="1" name="FrontendCases" displayName="FrontendCases" ref="A5:K157" totalsRowShown="0">
  <x:autoFilter ref="A5:K157"/>
  <x:tableColumns count="11">
    <x:tableColumn id="1" name="编号"/>
    <x:tableColumn id="2" name="测试模块"/>
    <x:tableColumn id="3" name="优先顺序"/>
    <x:tableColumn id="4" name="怎么测"/>
    <x:tableColumn id="5" name="怎样才算正常"/>
    <x:tableColumn id="6" name="测试结果"/>
    <x:tableColumn id="7" name="实际看到什么"/>
    <x:tableColumn id="8" name="测试人"/>
    <x:tableColumn id="9" name="测试日期"/>
    <x:tableColumn id="10" name="截图或证据位置"/>
    <x:tableColumn id="11" name="问题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ssueLog" displayName="IssueLog" ref="A5:J35" totalsRowShown="0">
  <x:autoFilter ref="A5:J35"/>
  <x:tableColumns count="10">
    <x:tableColumn id="1" name="问题编号"/>
    <x:tableColumn id="2" name="检查项编号"/>
    <x:tableColumn id="3" name="问题简述"/>
    <x:tableColumn id="4" name="怎么操作会出现"/>
    <x:tableColumn id="5" name="本来应该怎样"/>
    <x:tableColumn id="6" name="实际出现什么"/>
    <x:tableColumn id="7" name="严重程度"/>
    <x:tableColumn id="8" name="负责人"/>
    <x:tableColumn id="9" name="处理进度"/>
    <x:tableColumn id="10" name="修复版本和复测情况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ndToEndFlows" displayName="EndToEndFlows" ref="A5:J41" totalsRowShown="0">
  <x:autoFilter ref="A5:J41"/>
  <x:tableColumns count="10">
    <x:tableColumn id="1" name="流程编号"/>
    <x:tableColumn id="2" name="本轮场景"/>
    <x:tableColumn id="3" name="配置组合"/>
    <x:tableColumn id="4" name="本轮重点怎么做"/>
    <x:tableColumn id="5" name="走到哪里才算跑通"/>
    <x:tableColumn id="6" name="数据批次及事件编号"/>
    <x:tableColumn id="7" name="流程结果"/>
    <x:tableColumn id="8" name="负责人"/>
    <x:tableColumn id="9" name="执行日期或轮次"/>
    <x:tableColumn id="10" name="问题及证据索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wSteps" displayName="FlowSteps" ref="A5:L365" totalsRowShown="0">
  <x:autoFilter ref="A5:L365"/>
  <x:tableColumns count="12">
    <x:tableColumn id="1" name="流程编号"/>
    <x:tableColumn id="2" name="步骤"/>
    <x:tableColumn id="3" name="测试阶段"/>
    <x:tableColumn id="4" name="场景"/>
    <x:tableColumn id="5" name="怎么做"/>
    <x:tableColumn id="6" name="这一步应该看到什么"/>
    <x:tableColumn id="7" name="本步结果"/>
    <x:tableColumn id="8" name="实际结果及子批次"/>
    <x:tableColumn id="9" name="测试人"/>
    <x:tableColumn id="10" name="测试日期"/>
    <x:tableColumn id="11" name="截图和证据位置"/>
    <x:tableColumn id="12" name="目标或事件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Review" displayName="PlanReview" ref="A5:J17" totalsRowShown="0">
  <x:autoFilter ref="A5:J17"/>
  <x:tableColumns count="10">
    <x:tableColumn id="1" name="编号"/>
    <x:tableColumn id="2" name="处理顺序"/>
    <x:tableColumn id="3" name="问题性质"/>
    <x:tableColumn id="4" name="说清楚是什么问题"/>
    <x:tableColumn id="5" name="核对发现"/>
    <x:tableColumn id="6" name="测试计划怎么改"/>
    <x:tableColumn id="7" name="依据"/>
    <x:tableColumn id="8" name="关联位置"/>
    <x:tableColumn id="9" name="负责人"/>
    <x:tableColumn id="10" name="确认意见或变更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lementCases" displayName="SupplementCases" ref="A5:M53" totalsRowShown="0">
  <x:autoFilter ref="A5:M53"/>
  <x:tableColumns count="13">
    <x:tableColumn id="1" name="编号"/>
    <x:tableColumn id="2" name="问题编号"/>
    <x:tableColumn id="3" name="模块"/>
    <x:tableColumn id="4" name="优先顺序"/>
    <x:tableColumn id="5" name="场景和准备条件"/>
    <x:tableColumn id="6" name="怎么测"/>
    <x:tableColumn id="7" name="怎样才算正常"/>
    <x:tableColumn id="8" name="测试结果"/>
    <x:tableColumn id="9" name="实际结果及批次"/>
    <x:tableColumn id="10" name="证据位置及关联编号"/>
    <x:tableColumn id="11" name="执行人"/>
    <x:tableColumn id="12" name="执行日期"/>
    <x:tableColumn id="13" name="记录检查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iceOpsCases" displayName="DeviceOpsCases" ref="A5:M69" totalsRowShown="0">
  <x:autoFilter ref="A5:M69"/>
  <x:tableColumns count="13">
    <x:tableColumn id="1" name="编号"/>
    <x:tableColumn id="2" name="测试模块"/>
    <x:tableColumn id="3" name="优先顺序"/>
    <x:tableColumn id="4" name="这次要测什么"/>
    <x:tableColumn id="5" name="准备条件和怎么做"/>
    <x:tableColumn id="6" name="怎样才算正常"/>
    <x:tableColumn id="7" name="要留下的证据"/>
    <x:tableColumn id="8" name="测试结果"/>
    <x:tableColumn id="9" name="实际结果与批次"/>
    <x:tableColumn id="10" name="证据位置与关联编号"/>
    <x:tableColumn id="11" name="测试人"/>
    <x:tableColumn id="12" name="测试日期"/>
    <x:tableColumn id="13" name="记录检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ecutionRecords" displayName="ExecutionRecords" ref="A4:G16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undTwoRecords" displayName="RoundTwoRecords" ref="A23:G28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oundThreeRecords" displayName="RoundThreeRecords" ref="A34:G44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三轮）"/>
    <x:tableColumn id="7" name="下一步/限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oundFourRecords" displayName="RoundFourRecords" ref="A50:G61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四轮）"/>
    <x:tableColumn id="7" name="下一步/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3fd3e6986e47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da4746d806245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7086286f27540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a8eafd94f9204b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004ca1ce7fee42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034786432003483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7453cc7ca3904d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f029b0db98a4b33" /><Relationship Type="http://schemas.openxmlformats.org/officeDocument/2006/relationships/table" Target="/xl/tables/table9.xml" Id="R7ac1283808184328" /><Relationship Type="http://schemas.openxmlformats.org/officeDocument/2006/relationships/table" Target="/xl/tables/table10.xml" Id="Rbf660a821b614097" /><Relationship Type="http://schemas.openxmlformats.org/officeDocument/2006/relationships/table" Target="/xl/tables/table11.xml" Id="R3752adf91ee74701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ColWidth="9" defaultRowHeight="14"/>
  <x:cols>
    <x:col min="1" max="1" width="31" customWidth="1"/>
    <x:col min="2" max="2" width="14" customWidth="1"/>
    <x:col min="3" max="3" width="16" customWidth="1"/>
    <x:col min="4" max="4" width="17" customWidth="1"/>
    <x:col min="5" max="5" width="19" customWidth="1"/>
    <x:col min="6" max="6" width="17" customWidth="1"/>
    <x:col min="7" max="7" width="16" customWidth="1"/>
    <x:col min="8" max="8" width="17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</x:row>
    <x:row r="2" ht="32" customHeight="1">
      <x:c r="A2" s="106" t="str">
        <x:v>前后台联合测试执行记录 第十轮</x:v>
      </x:c>
      <x:c r="B2" s="107"/>
      <x:c r="C2" s="107"/>
      <x:c r="D2" s="107"/>
      <x:c r="E2" s="107"/>
      <x:c r="F2" s="107"/>
      <x:c r="G2" s="107"/>
      <x:c r="H2" s="107"/>
    </x:row>
    <x:row r="3" ht="16.5">
      <x:c r="A3" s="252" t="str">
        <x:v>第十轮：逐项清除过期浏览器阻塞；已修复项、未覆盖分支和真实前置条件分开记录。接口/隔离回归不等于完整业务流程通过。</x:v>
      </x:c>
      <x:c r="B3" s="15"/>
      <x:c r="C3" s="15"/>
      <x:c r="D3" s="15"/>
      <x:c r="E3" s="15"/>
      <x:c r="F3" s="15"/>
      <x:c r="G3" s="15"/>
      <x:c r="H3" s="15"/>
    </x:row>
    <x:row r="4" ht="16.5">
      <x:c r="A4" s="15"/>
      <x:c r="B4" s="15"/>
      <x:c r="C4" s="15"/>
      <x:c r="D4" s="15"/>
      <x:c r="E4" s="15"/>
      <x:c r="F4" s="15"/>
      <x:c r="G4" s="15"/>
      <x:c r="H4" s="15"/>
    </x:row>
    <x:row r="5" ht="32" customHeight="1">
      <x:c r="A5" s="18" t="s">
        <x:v>0</x:v>
      </x:c>
      <x:c r="B5" s="18" t="s">
        <x:v>1</x:v>
      </x:c>
      <x:c r="C5" s="18" t="s">
        <x:v>2</x:v>
      </x:c>
      <x:c r="D5" s="18" t="s">
        <x:v>3</x:v>
      </x:c>
      <x:c r="E5" s="18" t="s">
        <x:v>4</x:v>
      </x:c>
      <x:c r="F5" s="18" t="s">
        <x:v>5</x:v>
      </x:c>
      <x:c r="G5" s="18" t="s">
        <x:v>6</x:v>
      </x:c>
      <x:c r="H5" s="18" t="s">
        <x:v>7</x:v>
      </x:c>
    </x:row>
    <x:row r="6" ht="45" customHeight="1">
      <x:c r="A6" s="253" t="n">
        <x:f>COUNTA('测试清单'!$A$6:$A$157)</x:f>
        <x:v>152</x:v>
      </x:c>
      <x:c r="B6" s="254" t="n">
        <x:f>COUNTIF('测试清单'!$F$6:$F$157,"通过")</x:f>
        <x:v>55</x:v>
      </x:c>
      <x:c r="C6" s="255" t="n">
        <x:f>COUNTIF('测试清单'!$F$6:$F$157,"有问题")</x:f>
        <x:v>0</x:v>
      </x:c>
      <x:c r="D6" s="256" t="n">
        <x:f>COUNTIF('测试清单'!$F$6:$F$157,"暂时测不了")</x:f>
        <x:v>94</x:v>
      </x:c>
      <x:c r="E6" s="257" t="n">
        <x:f>COUNTIF('测试清单'!$F$6:$F$157,"还没测")</x:f>
        <x:v>0</x:v>
      </x:c>
      <x:c r="F6" s="258" t="n">
        <x:f>COUNTIF('测试清单'!$F$6:$F$157,"不适用")</x:f>
        <x:v>3</x:v>
      </x:c>
      <x:c r="G6" s="259" t="n">
        <x:f>IF(A6-F6=0,"不适用",(B6+C6)/(A6-F6))</x:f>
        <x:v>0.3691275167785235</x:v>
      </x:c>
      <x:c r="H6" s="260" t="n">
        <x:f>IF(B6+C6=0,"尚未执行",B6/(B6+C6))</x:f>
        <x:v>1</x:v>
      </x:c>
    </x:row>
    <x:row r="7" ht="16.5">
      <x:c r="A7" s="15"/>
      <x:c r="B7" s="15"/>
      <x:c r="C7" s="15"/>
      <x:c r="D7" s="15"/>
      <x:c r="E7" s="15"/>
      <x:c r="F7" s="15"/>
      <x:c r="G7" s="15"/>
      <x:c r="H7" s="15"/>
    </x:row>
    <x:row r="8" ht="16.5">
      <x:c r="A8" s="261" t="s">
        <x:v>8</x:v>
      </x:c>
      <x:c r="B8" s="15"/>
      <x:c r="C8" s="15"/>
      <x:c r="D8" s="15"/>
      <x:c r="E8" s="15"/>
      <x:c r="F8" s="15"/>
      <x:c r="G8" s="15"/>
      <x:c r="H8" s="15"/>
    </x:row>
    <x:row r="9" ht="95" customHeight="1">
      <x:c r="A9" s="17" t="str">
        <x:v>第十轮继续修复并补测：结果按当前表格公式汇总。通过只计已取得完整证据的行；部分覆盖仍保留未通过状态。新增设备异常恢复、统计筛选导出、PDF/大图/视频/文本、共享核实和目标直链证据。</x:v>
      </x:c>
      <x:c r="B9" s="17"/>
      <x:c r="C9" s="17"/>
      <x:c r="D9" s="17"/>
      <x:c r="E9" s="17"/>
      <x:c r="F9" s="17"/>
      <x:c r="G9" s="17"/>
      <x:c r="H9" s="17"/>
    </x:row>
    <x:row r="10" ht="95" customHeight="1">
      <x:c r="A10" s="17" t="str">
        <x:v>联合验收尚未完成。后端全量1839条0失败0错误485环境门控跳过；最终补丁另跑受影响回归。设备真实结果、角色会话、通知主体/通道、处罚接收方和完整场景样本仍有缺口，详见第十轮报告。</x:v>
      </x:c>
      <x:c r="B10" s="17"/>
      <x:c r="C10" s="17"/>
      <x:c r="D10" s="17"/>
      <x:c r="E10" s="17"/>
      <x:c r="F10" s="17"/>
      <x:c r="G10" s="17"/>
      <x:c r="H10" s="17"/>
    </x:row>
    <x:row r="11" ht="16.5">
      <x:c r="A11" s="15"/>
      <x:c r="B11" s="15"/>
      <x:c r="C11" s="15"/>
      <x:c r="D11" s="15"/>
      <x:c r="E11" s="15"/>
      <x:c r="F11" s="15"/>
      <x:c r="G11" s="15"/>
      <x:c r="H11" s="15"/>
    </x:row>
    <x:row r="12" ht="32" customHeight="1">
      <x:c r="A12" s="18" t="s">
        <x:v>9</x:v>
      </x:c>
      <x:c r="B12" s="18" t="s">
        <x:v>10</x:v>
      </x:c>
      <x:c r="C12" s="18" t="s">
        <x:v>11</x:v>
      </x:c>
      <x:c r="D12" s="18" t="s">
        <x:v>2</x:v>
      </x:c>
      <x:c r="E12" s="18" t="s">
        <x:v>3</x:v>
      </x:c>
      <x:c r="F12" s="18" t="s">
        <x:v>4</x:v>
      </x:c>
      <x:c r="G12" s="18" t="s">
        <x:v>5</x:v>
      </x:c>
      <x:c r="H12" s="18" t="s">
        <x:v>6</x:v>
      </x:c>
    </x:row>
    <x:row r="13" ht="39" customHeight="1">
      <x:c r="A13" s="19" t="s">
        <x:v>12</x:v>
      </x:c>
      <x:c r="B13" s="262" t="n">
        <x:f>COUNTIF('测试清单'!$B$6:$B$157,A13)</x:f>
        <x:v>12</x:v>
      </x:c>
      <x:c r="C13" s="262" t="n">
        <x:f>COUNTIFS('测试清单'!$B$6:$B$157,A13,'测试清单'!$F$6:$F$157,"通过")</x:f>
        <x:v>6</x:v>
      </x:c>
      <x:c r="D13" s="262" t="n">
        <x:f>COUNTIFS('测试清单'!$B$6:$B$157,A13,'测试清单'!$F$6:$F$157,"有问题")</x:f>
        <x:v>0</x:v>
      </x:c>
      <x:c r="E13" s="262" t="n">
        <x:f>COUNTIFS('测试清单'!$B$6:$B$157,A13,'测试清单'!$F$6:$F$157,"暂时测不了")</x:f>
        <x:v>5</x:v>
      </x:c>
      <x:c r="F13" s="262" t="n">
        <x:f>COUNTIFS('测试清单'!$B$6:$B$157,A13,'测试清单'!$F$6:$F$157,"还没测")</x:f>
        <x:v>0</x:v>
      </x:c>
      <x:c r="G13" s="262" t="n">
        <x:f>COUNTIFS('测试清单'!$B$6:$B$157,A13,'测试清单'!$F$6:$F$157,"不适用")</x:f>
        <x:v>1</x:v>
      </x:c>
      <x:c r="H13" s="263" t="n">
        <x:f t="shared" ref="H13:H28" si="0">IF(B13-G13=0,"不适用",(C13+D13)/(B13-G13))</x:f>
        <x:v>0.5454545454545454</x:v>
      </x:c>
    </x:row>
    <x:row r="14" ht="39" customHeight="1">
      <x:c r="A14" s="28" t="s">
        <x:v>13</x:v>
      </x:c>
      <x:c r="B14" s="264" t="n">
        <x:f>COUNTIF('测试清单'!$B$6:$B$157,A14)</x:f>
        <x:v>10</x:v>
      </x:c>
      <x:c r="C14" s="264" t="n">
        <x:f>COUNTIFS('测试清单'!$B$6:$B$157,A14,'测试清单'!$F$6:$F$157,"通过")</x:f>
        <x:v>6</x:v>
      </x:c>
      <x:c r="D14" s="264" t="n">
        <x:f>COUNTIFS('测试清单'!$B$6:$B$157,A14,'测试清单'!$F$6:$F$157,"有问题")</x:f>
        <x:v>0</x:v>
      </x:c>
      <x:c r="E14" s="264" t="n">
        <x:f>COUNTIFS('测试清单'!$B$6:$B$157,A14,'测试清单'!$F$6:$F$157,"暂时测不了")</x:f>
        <x:v>4</x:v>
      </x:c>
      <x:c r="F14" s="264" t="n">
        <x:f>COUNTIFS('测试清单'!$B$6:$B$157,A14,'测试清单'!$F$6:$F$157,"还没测")</x:f>
        <x:v>0</x:v>
      </x:c>
      <x:c r="G14" s="264" t="n">
        <x:f>COUNTIFS('测试清单'!$B$6:$B$157,A14,'测试清单'!$F$6:$F$157,"不适用")</x:f>
        <x:v>0</x:v>
      </x:c>
      <x:c r="H14" s="265">
        <x:f t="shared" si="0"/>
        <x:v>0.3</x:v>
      </x:c>
    </x:row>
    <x:row r="15" ht="39" customHeight="1">
      <x:c r="A15" s="22" t="s">
        <x:v>14</x:v>
      </x:c>
      <x:c r="B15" s="266" t="n">
        <x:f>COUNTIF('测试清单'!$B$6:$B$157,A15)</x:f>
        <x:v>10</x:v>
      </x:c>
      <x:c r="C15" s="266" t="n">
        <x:f>COUNTIFS('测试清单'!$B$6:$B$157,A15,'测试清单'!$F$6:$F$157,"通过")</x:f>
        <x:v>5</x:v>
      </x:c>
      <x:c r="D15" s="266" t="n">
        <x:f>COUNTIFS('测试清单'!$B$6:$B$157,A15,'测试清单'!$F$6:$F$157,"有问题")</x:f>
        <x:v>0</x:v>
      </x:c>
      <x:c r="E15" s="266" t="n">
        <x:f>COUNTIFS('测试清单'!$B$6:$B$157,A15,'测试清单'!$F$6:$F$157,"暂时测不了")</x:f>
        <x:v>5</x:v>
      </x:c>
      <x:c r="F15" s="266" t="n">
        <x:f>COUNTIFS('测试清单'!$B$6:$B$157,A15,'测试清单'!$F$6:$F$157,"还没测")</x:f>
        <x:v>0</x:v>
      </x:c>
      <x:c r="G15" s="266" t="n">
        <x:f>COUNTIFS('测试清单'!$B$6:$B$157,A15,'测试清单'!$F$6:$F$157,"不适用")</x:f>
        <x:v>0</x:v>
      </x:c>
      <x:c r="H15" s="267">
        <x:f t="shared" si="0"/>
        <x:v>0.4</x:v>
      </x:c>
    </x:row>
    <x:row r="16" ht="39" customHeight="1">
      <x:c r="A16" s="24" t="s">
        <x:v>15</x:v>
      </x:c>
      <x:c r="B16" s="268" t="n">
        <x:f>COUNTIF('测试清单'!$B$6:$B$157,A16)</x:f>
        <x:v>12</x:v>
      </x:c>
      <x:c r="C16" s="268" t="n">
        <x:f>COUNTIFS('测试清单'!$B$6:$B$157,A16,'测试清单'!$F$6:$F$157,"通过")</x:f>
        <x:v>7</x:v>
      </x:c>
      <x:c r="D16" s="268" t="n">
        <x:f>COUNTIFS('测试清单'!$B$6:$B$157,A16,'测试清单'!$F$6:$F$157,"有问题")</x:f>
        <x:v>0</x:v>
      </x:c>
      <x:c r="E16" s="268" t="n">
        <x:f>COUNTIFS('测试清单'!$B$6:$B$157,A16,'测试清单'!$F$6:$F$157,"暂时测不了")</x:f>
        <x:v>5</x:v>
      </x:c>
      <x:c r="F16" s="268" t="n">
        <x:f>COUNTIFS('测试清单'!$B$6:$B$157,A16,'测试清单'!$F$6:$F$157,"还没测")</x:f>
        <x:v>0</x:v>
      </x:c>
      <x:c r="G16" s="268" t="n">
        <x:f>COUNTIFS('测试清单'!$B$6:$B$157,A16,'测试清单'!$F$6:$F$157,"不适用")</x:f>
        <x:v>0</x:v>
      </x:c>
      <x:c r="H16" s="269">
        <x:f t="shared" si="0"/>
        <x:v>0.5</x:v>
      </x:c>
    </x:row>
    <x:row r="17" ht="39" customHeight="1">
      <x:c r="A17" s="161" t="s">
        <x:v>16</x:v>
      </x:c>
      <x:c r="B17" s="270" t="n">
        <x:f>COUNTIF('测试清单'!$B$6:$B$157,A17)</x:f>
        <x:v>6</x:v>
      </x:c>
      <x:c r="C17" s="270" t="n">
        <x:f>COUNTIFS('测试清单'!$B$6:$B$157,A17,'测试清单'!$F$6:$F$157,"通过")</x:f>
        <x:v>2</x:v>
      </x:c>
      <x:c r="D17" s="270" t="n">
        <x:f>COUNTIFS('测试清单'!$B$6:$B$157,A17,'测试清单'!$F$6:$F$157,"有问题")</x:f>
        <x:v>0</x:v>
      </x:c>
      <x:c r="E17" s="270" t="n">
        <x:f>COUNTIFS('测试清单'!$B$6:$B$157,A17,'测试清单'!$F$6:$F$157,"暂时测不了")</x:f>
        <x:v>4</x:v>
      </x:c>
      <x:c r="F17" s="270" t="n">
        <x:f>COUNTIFS('测试清单'!$B$6:$B$157,A17,'测试清单'!$F$6:$F$157,"还没测")</x:f>
        <x:v>0</x:v>
      </x:c>
      <x:c r="G17" s="270" t="n">
        <x:f>COUNTIFS('测试清单'!$B$6:$B$157,A17,'测试清单'!$F$6:$F$157,"不适用")</x:f>
        <x:v>0</x:v>
      </x:c>
      <x:c r="H17" s="271">
        <x:f t="shared" si="0"/>
        <x:v>0.166666666666667</x:v>
      </x:c>
    </x:row>
    <x:row r="18" ht="39" customHeight="1">
      <x:c r="A18" s="170" t="s">
        <x:v>17</x:v>
      </x:c>
      <x:c r="B18" s="272" t="n">
        <x:f>COUNTIF('测试清单'!$B$6:$B$157,A18)</x:f>
        <x:v>6</x:v>
      </x:c>
      <x:c r="C18" s="272" t="n">
        <x:f>COUNTIFS('测试清单'!$B$6:$B$157,A18,'测试清单'!$F$6:$F$157,"通过")</x:f>
        <x:v>2</x:v>
      </x:c>
      <x:c r="D18" s="272" t="n">
        <x:f>COUNTIFS('测试清单'!$B$6:$B$157,A18,'测试清单'!$F$6:$F$157,"有问题")</x:f>
        <x:v>0</x:v>
      </x:c>
      <x:c r="E18" s="272" t="n">
        <x:f>COUNTIFS('测试清单'!$B$6:$B$157,A18,'测试清单'!$F$6:$F$157,"暂时测不了")</x:f>
        <x:v>4</x:v>
      </x:c>
      <x:c r="F18" s="272" t="n">
        <x:f>COUNTIFS('测试清单'!$B$6:$B$157,A18,'测试清单'!$F$6:$F$157,"还没测")</x:f>
        <x:v>0</x:v>
      </x:c>
      <x:c r="G18" s="272" t="n">
        <x:f>COUNTIFS('测试清单'!$B$6:$B$157,A18,'测试清单'!$F$6:$F$157,"不适用")</x:f>
        <x:v>0</x:v>
      </x:c>
      <x:c r="H18" s="273">
        <x:f t="shared" si="0"/>
        <x:v>0</x:v>
      </x:c>
    </x:row>
    <x:row r="19" ht="39" customHeight="1">
      <x:c r="A19" s="26" t="s">
        <x:v>18</x:v>
      </x:c>
      <x:c r="B19" s="274" t="n">
        <x:f>COUNTIF('测试清单'!$B$6:$B$157,A19)</x:f>
        <x:v>9</x:v>
      </x:c>
      <x:c r="C19" s="274" t="n">
        <x:f>COUNTIFS('测试清单'!$B$6:$B$157,A19,'测试清单'!$F$6:$F$157,"通过")</x:f>
        <x:v>6</x:v>
      </x:c>
      <x:c r="D19" s="274" t="n">
        <x:f>COUNTIFS('测试清单'!$B$6:$B$157,A19,'测试清单'!$F$6:$F$157,"有问题")</x:f>
        <x:v>0</x:v>
      </x:c>
      <x:c r="E19" s="274" t="n">
        <x:f>COUNTIFS('测试清单'!$B$6:$B$157,A19,'测试清单'!$F$6:$F$157,"暂时测不了")</x:f>
        <x:v>3</x:v>
      </x:c>
      <x:c r="F19" s="274" t="n">
        <x:f>COUNTIFS('测试清单'!$B$6:$B$157,A19,'测试清单'!$F$6:$F$157,"还没测")</x:f>
        <x:v>0</x:v>
      </x:c>
      <x:c r="G19" s="274" t="n">
        <x:f>COUNTIFS('测试清单'!$B$6:$B$157,A19,'测试清单'!$F$6:$F$157,"不适用")</x:f>
        <x:v>0</x:v>
      </x:c>
      <x:c r="H19" s="275">
        <x:f t="shared" si="0"/>
        <x:v>0.555555555555556</x:v>
      </x:c>
    </x:row>
    <x:row r="20" ht="39" customHeight="1">
      <x:c r="A20" s="30" t="s">
        <x:v>19</x:v>
      </x:c>
      <x:c r="B20" s="276" t="n">
        <x:f>COUNTIF('测试清单'!$B$6:$B$157,A20)</x:f>
        <x:v>14</x:v>
      </x:c>
      <x:c r="C20" s="276" t="n">
        <x:f>COUNTIFS('测试清单'!$B$6:$B$157,A20,'测试清单'!$F$6:$F$157,"通过")</x:f>
        <x:v>1</x:v>
      </x:c>
      <x:c r="D20" s="276" t="n">
        <x:f>COUNTIFS('测试清单'!$B$6:$B$157,A20,'测试清单'!$F$6:$F$157,"有问题")</x:f>
        <x:v>0</x:v>
      </x:c>
      <x:c r="E20" s="276" t="n">
        <x:f>COUNTIFS('测试清单'!$B$6:$B$157,A20,'测试清单'!$F$6:$F$157,"暂时测不了")</x:f>
        <x:v>13</x:v>
      </x:c>
      <x:c r="F20" s="276" t="n">
        <x:f>COUNTIFS('测试清单'!$B$6:$B$157,A20,'测试清单'!$F$6:$F$157,"还没测")</x:f>
        <x:v>0</x:v>
      </x:c>
      <x:c r="G20" s="276" t="n">
        <x:f>COUNTIFS('测试清单'!$B$6:$B$157,A20,'测试清单'!$F$6:$F$157,"不适用")</x:f>
        <x:v>0</x:v>
      </x:c>
      <x:c r="H20" s="277">
        <x:f t="shared" si="0"/>
        <x:v>0.0714285714285714</x:v>
      </x:c>
    </x:row>
    <x:row r="21" ht="39" customHeight="1">
      <x:c r="A21" s="193" t="s">
        <x:v>20</x:v>
      </x:c>
      <x:c r="B21" s="278" t="n">
        <x:f>COUNTIF('测试清单'!$B$6:$B$157,A21)</x:f>
        <x:v>18</x:v>
      </x:c>
      <x:c r="C21" s="278" t="n">
        <x:f>COUNTIFS('测试清单'!$B$6:$B$157,A21,'测试清单'!$F$6:$F$157,"通过")</x:f>
        <x:v>1</x:v>
      </x:c>
      <x:c r="D21" s="278" t="n">
        <x:f>COUNTIFS('测试清单'!$B$6:$B$157,A21,'测试清单'!$F$6:$F$157,"有问题")</x:f>
        <x:v>0</x:v>
      </x:c>
      <x:c r="E21" s="278" t="n">
        <x:f>COUNTIFS('测试清单'!$B$6:$B$157,A21,'测试清单'!$F$6:$F$157,"暂时测不了")</x:f>
        <x:v>17</x:v>
      </x:c>
      <x:c r="F21" s="278" t="n">
        <x:f>COUNTIFS('测试清单'!$B$6:$B$157,A21,'测试清单'!$F$6:$F$157,"还没测")</x:f>
        <x:v>0</x:v>
      </x:c>
      <x:c r="G21" s="278" t="n">
        <x:f>COUNTIFS('测试清单'!$B$6:$B$157,A21,'测试清单'!$F$6:$F$157,"不适用")</x:f>
        <x:v>0</x:v>
      </x:c>
      <x:c r="H21" s="279">
        <x:f t="shared" si="0"/>
        <x:v>0.0555555555555556</x:v>
      </x:c>
    </x:row>
    <x:row r="22" ht="39" customHeight="1">
      <x:c r="A22" s="202" t="s">
        <x:v>21</x:v>
      </x:c>
      <x:c r="B22" s="280" t="n">
        <x:f>COUNTIF('测试清单'!$B$6:$B$157,A22)</x:f>
        <x:v>9</x:v>
      </x:c>
      <x:c r="C22" s="280" t="n">
        <x:f>COUNTIFS('测试清单'!$B$6:$B$157,A22,'测试清单'!$F$6:$F$157,"通过")</x:f>
        <x:v>0</x:v>
      </x:c>
      <x:c r="D22" s="280" t="n">
        <x:f>COUNTIFS('测试清单'!$B$6:$B$157,A22,'测试清单'!$F$6:$F$157,"有问题")</x:f>
        <x:v>0</x:v>
      </x:c>
      <x:c r="E22" s="280" t="n">
        <x:f>COUNTIFS('测试清单'!$B$6:$B$157,A22,'测试清单'!$F$6:$F$157,"暂时测不了")</x:f>
        <x:v>9</x:v>
      </x:c>
      <x:c r="F22" s="280" t="n">
        <x:f>COUNTIFS('测试清单'!$B$6:$B$157,A22,'测试清单'!$F$6:$F$157,"还没测")</x:f>
        <x:v>0</x:v>
      </x:c>
      <x:c r="G22" s="280" t="n">
        <x:f>COUNTIFS('测试清单'!$B$6:$B$157,A22,'测试清单'!$F$6:$F$157,"不适用")</x:f>
        <x:v>0</x:v>
      </x:c>
      <x:c r="H22" s="281">
        <x:f t="shared" si="0"/>
        <x:v>0</x:v>
      </x:c>
    </x:row>
    <x:row r="23" ht="39" customHeight="1">
      <x:c r="A23" s="211" t="s">
        <x:v>22</x:v>
      </x:c>
      <x:c r="B23" s="282" t="n">
        <x:f>COUNTIF('测试清单'!$B$6:$B$157,A23)</x:f>
        <x:v>8</x:v>
      </x:c>
      <x:c r="C23" s="282" t="n">
        <x:f>COUNTIFS('测试清单'!$B$6:$B$157,A23,'测试清单'!$F$6:$F$157,"通过")</x:f>
        <x:v>7</x:v>
      </x:c>
      <x:c r="D23" s="282" t="n">
        <x:f>COUNTIFS('测试清单'!$B$6:$B$157,A23,'测试清单'!$F$6:$F$157,"有问题")</x:f>
        <x:v>0</x:v>
      </x:c>
      <x:c r="E23" s="282" t="n">
        <x:f>COUNTIFS('测试清单'!$B$6:$B$157,A23,'测试清单'!$F$6:$F$157,"暂时测不了")</x:f>
        <x:v>1</x:v>
      </x:c>
      <x:c r="F23" s="282" t="n">
        <x:f>COUNTIFS('测试清单'!$B$6:$B$157,A23,'测试清单'!$F$6:$F$157,"还没测")</x:f>
        <x:v>0</x:v>
      </x:c>
      <x:c r="G23" s="282" t="n">
        <x:f>COUNTIFS('测试清单'!$B$6:$B$157,A23,'测试清单'!$F$6:$F$157,"不适用")</x:f>
        <x:v>0</x:v>
      </x:c>
      <x:c r="H23" s="283">
        <x:f t="shared" si="0"/>
        <x:v>0.875</x:v>
      </x:c>
    </x:row>
    <x:row r="24" ht="39" customHeight="1">
      <x:c r="A24" s="32" t="s">
        <x:v>23</x:v>
      </x:c>
      <x:c r="B24" s="284" t="n">
        <x:f>COUNTIF('测试清单'!$B$6:$B$157,A24)</x:f>
        <x:v>7</x:v>
      </x:c>
      <x:c r="C24" s="284" t="n">
        <x:f>COUNTIFS('测试清单'!$B$6:$B$157,A24,'测试清单'!$F$6:$F$157,"通过")</x:f>
        <x:v>3</x:v>
      </x:c>
      <x:c r="D24" s="284" t="n">
        <x:f>COUNTIFS('测试清单'!$B$6:$B$157,A24,'测试清单'!$F$6:$F$157,"有问题")</x:f>
        <x:v>0</x:v>
      </x:c>
      <x:c r="E24" s="284" t="n">
        <x:f>COUNTIFS('测试清单'!$B$6:$B$157,A24,'测试清单'!$F$6:$F$157,"暂时测不了")</x:f>
        <x:v>3</x:v>
      </x:c>
      <x:c r="F24" s="284" t="n">
        <x:f>COUNTIFS('测试清单'!$B$6:$B$157,A24,'测试清单'!$F$6:$F$157,"还没测")</x:f>
        <x:v>0</x:v>
      </x:c>
      <x:c r="G24" s="284" t="n">
        <x:f>COUNTIFS('测试清单'!$B$6:$B$157,A24,'测试清单'!$F$6:$F$157,"不适用")</x:f>
        <x:v>1</x:v>
      </x:c>
      <x:c r="H24" s="285">
        <x:f t="shared" si="0"/>
        <x:v>0.333333333333333</x:v>
      </x:c>
    </x:row>
    <x:row r="25" ht="39" customHeight="1">
      <x:c r="A25" s="226" t="s">
        <x:v>24</x:v>
      </x:c>
      <x:c r="B25" s="270" t="n">
        <x:f>COUNTIF('测试清单'!$B$6:$B$157,A25)</x:f>
        <x:v>9</x:v>
      </x:c>
      <x:c r="C25" s="270" t="n">
        <x:f>COUNTIFS('测试清单'!$B$6:$B$157,A25,'测试清单'!$F$6:$F$157,"通过")</x:f>
        <x:v>3</x:v>
      </x:c>
      <x:c r="D25" s="270" t="n">
        <x:f>COUNTIFS('测试清单'!$B$6:$B$157,A25,'测试清单'!$F$6:$F$157,"有问题")</x:f>
        <x:v>0</x:v>
      </x:c>
      <x:c r="E25" s="270" t="n">
        <x:f>COUNTIFS('测试清单'!$B$6:$B$157,A25,'测试清单'!$F$6:$F$157,"暂时测不了")</x:f>
        <x:v>5</x:v>
      </x:c>
      <x:c r="F25" s="270" t="n">
        <x:f>COUNTIFS('测试清单'!$B$6:$B$157,A25,'测试清单'!$F$6:$F$157,"还没测")</x:f>
        <x:v>0</x:v>
      </x:c>
      <x:c r="G25" s="270" t="n">
        <x:f>COUNTIFS('测试清单'!$B$6:$B$157,A25,'测试清单'!$F$6:$F$157,"不适用")</x:f>
        <x:v>1</x:v>
      </x:c>
      <x:c r="H25" s="271">
        <x:f t="shared" si="0"/>
        <x:v>0.25</x:v>
      </x:c>
    </x:row>
    <x:row r="26" ht="39" customHeight="1">
      <x:c r="A26" s="233" t="s">
        <x:v>25</x:v>
      </x:c>
      <x:c r="B26" s="274" t="n">
        <x:f>COUNTIF('测试清单'!$B$6:$B$157,A26)</x:f>
        <x:v>7</x:v>
      </x:c>
      <x:c r="C26" s="274" t="n">
        <x:f>COUNTIFS('测试清单'!$B$6:$B$157,A26,'测试清单'!$F$6:$F$157,"通过")</x:f>
        <x:v>2</x:v>
      </x:c>
      <x:c r="D26" s="274" t="n">
        <x:f>COUNTIFS('测试清单'!$B$6:$B$157,A26,'测试清单'!$F$6:$F$157,"有问题")</x:f>
        <x:v>0</x:v>
      </x:c>
      <x:c r="E26" s="274" t="n">
        <x:f>COUNTIFS('测试清单'!$B$6:$B$157,A26,'测试清单'!$F$6:$F$157,"暂时测不了")</x:f>
        <x:v>5</x:v>
      </x:c>
      <x:c r="F26" s="274" t="n">
        <x:f>COUNTIFS('测试清单'!$B$6:$B$157,A26,'测试清单'!$F$6:$F$157,"还没测")</x:f>
        <x:v>0</x:v>
      </x:c>
      <x:c r="G26" s="274" t="n">
        <x:f>COUNTIFS('测试清单'!$B$6:$B$157,A26,'测试清单'!$F$6:$F$157,"不适用")</x:f>
        <x:v>0</x:v>
      </x:c>
      <x:c r="H26" s="275">
        <x:f t="shared" si="0"/>
        <x:v>0.285714285714286</x:v>
      </x:c>
    </x:row>
    <x:row r="27" ht="39" customHeight="1">
      <x:c r="A27" s="241" t="s">
        <x:v>26</x:v>
      </x:c>
      <x:c r="B27" s="286" t="n">
        <x:f>COUNTIF('测试清单'!$B$6:$B$157,A27)</x:f>
        <x:v>9</x:v>
      </x:c>
      <x:c r="C27" s="286" t="n">
        <x:f>COUNTIFS('测试清单'!$B$6:$B$157,A27,'测试清单'!$F$6:$F$157,"通过")</x:f>
        <x:v>4</x:v>
      </x:c>
      <x:c r="D27" s="286" t="n">
        <x:f>COUNTIFS('测试清单'!$B$6:$B$157,A27,'测试清单'!$F$6:$F$157,"有问题")</x:f>
        <x:v>0</x:v>
      </x:c>
      <x:c r="E27" s="286" t="n">
        <x:f>COUNTIFS('测试清单'!$B$6:$B$157,A27,'测试清单'!$F$6:$F$157,"暂时测不了")</x:f>
        <x:v>5</x:v>
      </x:c>
      <x:c r="F27" s="286" t="n">
        <x:f>COUNTIFS('测试清单'!$B$6:$B$157,A27,'测试清单'!$F$6:$F$157,"还没测")</x:f>
        <x:v>0</x:v>
      </x:c>
      <x:c r="G27" s="286" t="n">
        <x:f>COUNTIFS('测试清单'!$B$6:$B$157,A27,'测试清单'!$F$6:$F$157,"不适用")</x:f>
        <x:v>0</x:v>
      </x:c>
      <x:c r="H27" s="287">
        <x:f t="shared" si="0"/>
        <x:v>0.333333333333333</x:v>
      </x:c>
    </x:row>
    <x:row r="28" ht="39" customHeight="1">
      <x:c r="A28" s="250" t="s">
        <x:v>27</x:v>
      </x:c>
      <x:c r="B28" s="288" t="n">
        <x:f>COUNTIF('测试清单'!$B$6:$B$157,A28)</x:f>
        <x:v>6</x:v>
      </x:c>
      <x:c r="C28" s="288" t="n">
        <x:f>COUNTIFS('测试清单'!$B$6:$B$157,A28,'测试清单'!$F$6:$F$157,"通过")</x:f>
        <x:v>0</x:v>
      </x:c>
      <x:c r="D28" s="288" t="n">
        <x:f>COUNTIFS('测试清单'!$B$6:$B$157,A28,'测试清单'!$F$6:$F$157,"有问题")</x:f>
        <x:v>0</x:v>
      </x:c>
      <x:c r="E28" s="288" t="n">
        <x:f>COUNTIFS('测试清单'!$B$6:$B$157,A28,'测试清单'!$F$6:$F$157,"暂时测不了")</x:f>
        <x:v>6</x:v>
      </x:c>
      <x:c r="F28" s="288" t="n">
        <x:f>COUNTIFS('测试清单'!$B$6:$B$157,A28,'测试清单'!$F$6:$F$157,"还没测")</x:f>
        <x:v>0</x:v>
      </x:c>
      <x:c r="G28" s="288" t="n">
        <x:f>COUNTIFS('测试清单'!$B$6:$B$157,A28,'测试清单'!$F$6:$F$157,"不适用")</x:f>
        <x:v>0</x:v>
      </x:c>
      <x:c r="H28" s="289">
        <x:f t="shared" si="0"/>
        <x:v>0</x:v>
      </x:c>
    </x:row>
    <x:row r="29" ht="16.5">
      <x:c r="A29" s="15"/>
      <x:c r="B29" s="15"/>
      <x:c r="C29" s="15"/>
      <x:c r="D29" s="15"/>
      <x:c r="E29" s="15"/>
      <x:c r="F29" s="15"/>
      <x:c r="G29" s="15"/>
      <x:c r="H29" s="15"/>
    </x:row>
    <x:row r="30" ht="16.5">
      <x:c r="A30" s="290" t="s">
        <x:v>28</x:v>
      </x:c>
      <x:c r="B30" s="15"/>
      <x:c r="C30" s="15"/>
      <x:c r="D30" s="15"/>
      <x:c r="E30" s="15"/>
      <x:c r="F30" s="15"/>
      <x:c r="G30" s="15"/>
      <x:c r="H30" s="15"/>
    </x:row>
    <x:row r="31" ht="32" customHeight="1">
      <x:c r="A31" s="291" t="s">
        <x:v>29</x:v>
      </x:c>
      <x:c r="B31" s="291"/>
      <x:c r="C31" s="291"/>
      <x:c r="D31" s="291"/>
      <x:c r="E31" s="291"/>
      <x:c r="F31" s="291"/>
      <x:c r="G31" s="291"/>
      <x:c r="H31" s="291"/>
    </x:row>
    <x:row r="32" ht="32" customHeight="1">
      <x:c r="A32" s="291" t="s">
        <x:v>30</x:v>
      </x:c>
      <x:c r="B32" s="291"/>
      <x:c r="C32" s="291"/>
      <x:c r="D32" s="291"/>
      <x:c r="E32" s="291"/>
      <x:c r="F32" s="291"/>
      <x:c r="G32" s="291"/>
      <x:c r="H32" s="291"/>
    </x:row>
    <x:row r="33" ht="32" customHeight="1">
      <x:c r="A33" s="291" t="s">
        <x:v>31</x:v>
      </x:c>
      <x:c r="B33" s="291"/>
      <x:c r="C33" s="291"/>
      <x:c r="D33" s="291"/>
      <x:c r="E33" s="291"/>
      <x:c r="F33" s="291"/>
      <x:c r="G33" s="291"/>
      <x:c r="H33" s="291"/>
    </x:row>
    <x:row r="34" ht="32" customHeight="1">
      <x:c r="A34" s="17" t="s">
        <x:v>32</x:v>
      </x:c>
      <x:c r="B34" s="17"/>
      <x:c r="C34" s="17"/>
      <x:c r="D34" s="17"/>
      <x:c r="E34" s="17"/>
      <x:c r="F34" s="17"/>
      <x:c r="G34" s="17"/>
      <x:c r="H34" s="17"/>
    </x:row>
    <x:row r="35" ht="32" customHeight="1">
      <x:c r="A35" s="17" t="s">
        <x:v>33</x:v>
      </x:c>
      <x:c r="B35" s="17"/>
      <x:c r="C35" s="17"/>
      <x:c r="D35" s="17"/>
      <x:c r="E35" s="17"/>
      <x:c r="F35" s="17"/>
      <x:c r="G35" s="17"/>
      <x:c r="H35" s="17"/>
    </x:row>
    <x:row r="36" ht="32" customHeight="1">
      <x:c r="A36" s="17" t="s">
        <x:v>34</x:v>
      </x:c>
      <x:c r="B36" s="17"/>
      <x:c r="C36" s="17"/>
      <x:c r="D36" s="17"/>
      <x:c r="E36" s="17"/>
      <x:c r="F36" s="17"/>
      <x:c r="G36" s="17"/>
      <x:c r="H36" s="17"/>
    </x:row>
    <x:row r="37" ht="32" customHeight="1">
      <x:c r="A37" s="17" t="s">
        <x:v>35</x:v>
      </x:c>
      <x:c r="B37" s="17"/>
      <x:c r="C37" s="17"/>
      <x:c r="D37" s="17"/>
      <x:c r="E37" s="17"/>
      <x:c r="F37" s="17"/>
      <x:c r="G37" s="17"/>
      <x:c r="H37" s="17"/>
    </x:row>
    <x:row r="38" ht="16.5">
      <x:c r="A38" s="15"/>
      <x:c r="B38" s="15"/>
      <x:c r="C38" s="15"/>
      <x:c r="D38" s="15"/>
      <x:c r="E38" s="15"/>
      <x:c r="F38" s="15"/>
      <x:c r="G38" s="15"/>
      <x:c r="H38" s="15"/>
    </x:row>
    <x:row r="39" ht="30" customHeight="1">
      <x:c r="A39" s="17" t="s">
        <x:v>36</x:v>
      </x:c>
      <x:c r="B39" s="17" t="n">
        <x:f>COUNTBLANK('测试清单'!$F$6:$F$157)</x:f>
        <x:v>0</x:v>
      </x:c>
      <x:c r="C39" s="17" t="s">
        <x:v>37</x:v>
      </x:c>
      <x:c r="D39" s="17" t="n">
        <x:f>COUNTA('测试清单'!$F$6:$F$157)-SUM(B6:F6)</x:f>
        <x:v>0</x:v>
      </x:c>
      <x:c r="E39" s="17" t="s">
        <x:v>38</x:v>
      </x:c>
      <x:c r="F39" s="17"/>
      <x:c r="G39" s="17"/>
      <x:c r="H39" s="17"/>
    </x:row>
    <x:row r="40" ht="16.5">
      <x:c r="A40" s="15"/>
      <x:c r="B40" s="15"/>
      <x:c r="C40" s="15"/>
      <x:c r="D40" s="15"/>
      <x:c r="E40" s="15"/>
      <x:c r="F40" s="15"/>
      <x:c r="G40" s="15"/>
      <x:c r="H40" s="15"/>
    </x:row>
    <x:row r="41" ht="16.5">
      <x:c r="A41" s="15"/>
      <x:c r="B41" s="15"/>
      <x:c r="C41" s="15"/>
      <x:c r="D41" s="15"/>
      <x:c r="E41" s="15"/>
      <x:c r="F41" s="15"/>
      <x:c r="G41" s="15"/>
      <x:c r="H41" s="15"/>
    </x:row>
    <x:row r="42" ht="21.5">
      <x:c r="A42" s="292" t="s">
        <x:v>39</x:v>
      </x:c>
      <x:c r="B42" s="15"/>
      <x:c r="C42" s="15"/>
      <x:c r="D42" s="15"/>
      <x:c r="E42" s="15"/>
      <x:c r="F42" s="15"/>
      <x:c r="G42" s="15"/>
      <x:c r="H42" s="15"/>
    </x:row>
    <x:row r="43" ht="16.5">
      <x:c r="A43" s="15"/>
      <x:c r="B43" s="15"/>
      <x:c r="C43" s="15"/>
      <x:c r="D43" s="15"/>
      <x:c r="E43" s="15"/>
      <x:c r="F43" s="15"/>
      <x:c r="G43" s="15"/>
      <x:c r="H43" s="15"/>
    </x:row>
    <x:row r="44" ht="32" customHeight="1">
      <x:c r="A44" s="18" t="s">
        <x:v>40</x:v>
      </x:c>
      <x:c r="B44" s="18" t="s">
        <x:v>41</x:v>
      </x:c>
      <x:c r="C44" s="18" t="s">
        <x:v>2</x:v>
      </x:c>
      <x:c r="D44" s="18" t="s">
        <x:v>3</x:v>
      </x:c>
      <x:c r="E44" s="18" t="s">
        <x:v>42</x:v>
      </x:c>
      <x:c r="F44" s="18" t="s">
        <x:v>43</x:v>
      </x:c>
      <x:c r="G44" s="18" t="s">
        <x:v>44</x:v>
      </x:c>
      <x:c r="H44" s="18" t="s">
        <x:v>45</x:v>
      </x:c>
    </x:row>
    <x:row r="45" ht="48" customHeight="1">
      <x:c r="A45" s="293" t="n">
        <x:f>COUNTA('全流程验收'!A6:A41)</x:f>
        <x:v>36</x:v>
      </x:c>
      <x:c r="B45" s="293" t="n">
        <x:f>COUNTIF('全流程验收'!G6:G41,"通过")</x:f>
        <x:v>0</x:v>
      </x:c>
      <x:c r="C45" s="293" t="n">
        <x:f>COUNTIF('全流程验收'!G6:G41,"有问题")</x:f>
        <x:v>0</x:v>
      </x:c>
      <x:c r="D45" s="293" t="n">
        <x:f>COUNTIF('全流程验收'!G6:G41,"暂时测不了")</x:f>
        <x:v>36</x:v>
      </x:c>
      <x:c r="E45" s="293" t="n">
        <x:f>COUNTIF('全流程验收'!G6:G41,"还没测")</x:f>
        <x:v>0</x:v>
      </x:c>
      <x:c r="F45" s="293" t="n">
        <x:f>COUNTIF('全流程验收'!G6:G41,"进行中")</x:f>
        <x:v>0</x:v>
      </x:c>
      <x:c r="G45" s="293" t="n">
        <x:f>COUNTBLANK('流程步骤记录'!G6:G365)</x:f>
        <x:v>0</x:v>
      </x:c>
      <x:c r="H45" s="293" t="str">
        <x:f>IF(B45=A45,"流程记录齐全","尚未全部跑通")</x:f>
        <x:v>尚未全部跑通</x:v>
      </x:c>
    </x:row>
    <x:row r="46" ht="16.5">
      <x:c r="A46" s="294"/>
      <x:c r="B46" s="294"/>
      <x:c r="C46" s="294"/>
      <x:c r="D46" s="294"/>
      <x:c r="E46" s="294"/>
      <x:c r="F46" s="294"/>
      <x:c r="G46" s="294"/>
      <x:c r="H46" s="294"/>
    </x:row>
    <x:row r="47" ht="34" customHeight="1">
      <x:c r="A47" s="295" t="s">
        <x:v>46</x:v>
      </x:c>
      <x:c r="B47" s="295"/>
      <x:c r="C47" s="295"/>
      <x:c r="D47" s="295"/>
      <x:c r="E47" s="295"/>
      <x:c r="F47" s="295"/>
      <x:c r="G47" s="295"/>
      <x:c r="H47" s="295"/>
    </x:row>
    <x:row r="48" ht="34" customHeight="1">
      <x:c r="A48" s="295" t="s">
        <x:v>47</x:v>
      </x:c>
      <x:c r="B48" s="295"/>
      <x:c r="C48" s="295"/>
      <x:c r="D48" s="295"/>
      <x:c r="E48" s="295"/>
      <x:c r="F48" s="295"/>
      <x:c r="G48" s="295"/>
      <x:c r="H48" s="295"/>
    </x:row>
    <x:row r="49" ht="34" customHeight="1">
      <x:c r="A49" s="295" t="s">
        <x:v>48</x:v>
      </x:c>
      <x:c r="B49" s="295"/>
      <x:c r="C49" s="295"/>
      <x:c r="D49" s="295"/>
      <x:c r="E49" s="295"/>
      <x:c r="F49" s="295"/>
      <x:c r="G49" s="295"/>
      <x:c r="H49" s="295"/>
    </x:row>
    <x:row r="50" ht="43" customHeight="1">
      <x:c r="A50" s="295" t="s">
        <x:v>49</x:v>
      </x:c>
      <x:c r="B50" s="295"/>
      <x:c r="C50" s="295"/>
      <x:c r="D50" s="295"/>
      <x:c r="E50" s="295"/>
      <x:c r="F50" s="295"/>
      <x:c r="G50" s="295"/>
      <x:c r="H50" s="295"/>
    </x:row>
    <x:row r="52" ht="21.5">
      <x:c r="A52" s="296" t="s">
        <x:v>50</x:v>
      </x:c>
      <x:c r="B52" s="294"/>
      <x:c r="C52" s="294"/>
      <x:c r="D52" s="294"/>
      <x:c r="E52" s="294"/>
      <x:c r="F52" s="294"/>
      <x:c r="G52" s="294"/>
      <x:c r="H52" s="294"/>
    </x:row>
    <x:row r="53" ht="16.5">
      <x:c r="A53" s="294"/>
      <x:c r="B53" s="294"/>
      <x:c r="C53" s="294"/>
      <x:c r="D53" s="294"/>
      <x:c r="E53" s="294"/>
      <x:c r="F53" s="294"/>
      <x:c r="G53" s="294"/>
      <x:c r="H53" s="294"/>
    </x:row>
    <x:row r="54" ht="34" customHeight="1">
      <x:c r="A54" s="18" t="s">
        <x:v>51</x:v>
      </x:c>
      <x:c r="B54" s="18" t="s">
        <x:v>52</x:v>
      </x:c>
      <x:c r="C54" s="18" t="s">
        <x:v>2</x:v>
      </x:c>
      <x:c r="D54" s="18" t="s">
        <x:v>3</x:v>
      </x:c>
      <x:c r="E54" s="18" t="s">
        <x:v>4</x:v>
      </x:c>
      <x:c r="F54" s="18" t="s">
        <x:v>53</x:v>
      </x:c>
      <x:c r="G54" s="18" t="s">
        <x:v>54</x:v>
      </x:c>
      <x:c r="H54" s="18" t="s">
        <x:v>55</x:v>
      </x:c>
    </x:row>
    <x:row r="55" ht="40" customHeight="1">
      <x:c r="A55" s="297" t="n">
        <x:f>COUNTA('补充测试清单'!A6:A53)</x:f>
        <x:v>48</x:v>
      </x:c>
      <x:c r="B55" s="297" t="n">
        <x:f>COUNTIF('补充测试清单'!M6:M53,"记录齐全")</x:f>
        <x:v>2</x:v>
      </x:c>
      <x:c r="C55" s="297" t="n">
        <x:f>COUNTIF('补充测试清单'!M6:M53,"有问题")</x:f>
        <x:v>1</x:v>
      </x:c>
      <x:c r="D55" s="297" t="n">
        <x:f>COUNTIF('补充测试清单'!M6:M53,"暂时测不了")</x:f>
        <x:v>45</x:v>
      </x:c>
      <x:c r="E55" s="297" t="n">
        <x:f>COUNTIF('补充测试清单'!M6:M53,"还没测")</x:f>
        <x:v>0</x:v>
      </x:c>
      <x:c r="F55" s="297" t="n">
        <x:f>COUNTIF('补充测试清单'!M6:M53,"待补证据")</x:f>
        <x:v>0</x:v>
      </x:c>
      <x:c r="G55" s="297" t="n">
        <x:f>COUNTIF('全流程验收'!G6:G41,"待补证据")</x:f>
        <x:v>0</x:v>
      </x:c>
      <x:c r="H55" s="297" t="n">
        <x:f>COUNTIFS('测试清单'!F6:F157,"通过",'测试清单'!G6:G157,"&lt;&gt;",'测试清单'!H6:H157,"&lt;&gt;",'测试清单'!I6:I157,"&lt;&gt;",'测试清单'!J6:J157,"&lt;&gt;")+COUNTIFS('测试清单'!F6:F157,"不适用",'测试清单'!G6:G157,"&lt;&gt;")</x:f>
        <x:v>58</x:v>
      </x:c>
    </x:row>
    <x:row r="56" ht="16.5">
      <x:c r="A56" s="294"/>
      <x:c r="B56" s="294"/>
      <x:c r="C56" s="294"/>
      <x:c r="D56" s="294"/>
      <x:c r="E56" s="294"/>
      <x:c r="F56" s="294"/>
      <x:c r="G56" s="294"/>
      <x:c r="H56" s="294"/>
    </x:row>
    <x:row r="57" ht="34" customHeight="1">
      <x:c r="A57" s="295" t="s">
        <x:v>56</x:v>
      </x:c>
      <x:c r="B57" s="295"/>
      <x:c r="C57" s="295"/>
      <x:c r="D57" s="295"/>
      <x:c r="E57" s="295"/>
      <x:c r="F57" s="295"/>
      <x:c r="G57" s="295"/>
      <x:c r="H57" s="295"/>
    </x:row>
    <x:row r="58" ht="16.5">
      <x:c r="A58" s="294"/>
      <x:c r="B58" s="294"/>
      <x:c r="C58" s="294"/>
      <x:c r="D58" s="294"/>
      <x:c r="E58" s="294"/>
      <x:c r="F58" s="294"/>
      <x:c r="G58" s="294"/>
      <x:c r="H58" s="294"/>
    </x:row>
    <x:row r="59" ht="34" customHeight="1">
      <x:c r="A59" s="18" t="s">
        <x:v>57</x:v>
      </x:c>
      <x:c r="B59" s="18" t="s">
        <x:v>58</x:v>
      </x:c>
      <x:c r="C59" s="18" t="s">
        <x:v>59</x:v>
      </x:c>
      <x:c r="D59" s="294"/>
      <x:c r="E59" s="294"/>
      <x:c r="F59" s="294"/>
      <x:c r="G59" s="294"/>
      <x:c r="H59" s="294"/>
    </x:row>
    <x:row r="60" ht="38" customHeight="1">
      <x:c r="A60" s="295" t="s">
        <x:v>60</x:v>
      </x:c>
      <x:c r="B60" s="298" t="s">
        <x:v>61</x:v>
      </x:c>
      <x:c r="C60" s="298" t="s">
        <x:v>62</x:v>
      </x:c>
      <x:c r="D60" s="294"/>
      <x:c r="E60" s="294"/>
      <x:c r="F60" s="294"/>
      <x:c r="G60" s="294"/>
      <x:c r="H60" s="294"/>
    </x:row>
    <x:row r="61" ht="38" customHeight="1">
      <x:c r="A61" s="295" t="s">
        <x:v>63</x:v>
      </x:c>
      <x:c r="B61" s="298" t="s">
        <x:v>61</x:v>
      </x:c>
      <x:c r="C61" s="298" t="s">
        <x:v>62</x:v>
      </x:c>
      <x:c r="D61" s="294"/>
      <x:c r="E61" s="294"/>
      <x:c r="F61" s="294"/>
      <x:c r="G61" s="294"/>
      <x:c r="H61" s="294"/>
    </x:row>
    <x:row r="62" ht="38" customHeight="1">
      <x:c r="A62" s="295" t="s">
        <x:v>64</x:v>
      </x:c>
      <x:c r="B62" s="298" t="s">
        <x:v>65</x:v>
      </x:c>
      <x:c r="C62" s="298" t="s">
        <x:v>66</x:v>
      </x:c>
      <x:c r="D62" s="294"/>
      <x:c r="E62" s="294"/>
      <x:c r="F62" s="294"/>
      <x:c r="G62" s="294"/>
      <x:c r="H62" s="294"/>
    </x:row>
    <x:row r="63" ht="38" customHeight="1">
      <x:c r="A63" s="295" t="s">
        <x:v>67</x:v>
      </x:c>
      <x:c r="B63" s="298"/>
      <x:c r="C63" s="298" t="s">
        <x:v>68</x:v>
      </x:c>
      <x:c r="D63" s="294"/>
      <x:c r="E63" s="294"/>
      <x:c r="F63" s="294"/>
      <x:c r="G63" s="294"/>
      <x:c r="H63" s="294"/>
    </x:row>
    <x:row r="64" ht="16.5">
      <x:c r="A64" s="294"/>
      <x:c r="B64" s="294"/>
      <x:c r="C64" s="294"/>
      <x:c r="D64" s="294"/>
      <x:c r="E64" s="294"/>
      <x:c r="F64" s="294"/>
      <x:c r="G64" s="294"/>
      <x:c r="H64" s="294"/>
    </x:row>
    <x:row r="65" ht="38" customHeight="1">
      <x:c r="A65" s="299" t="str">
        <x:f>IF(AND(H55=A6,B45=A45,B55=A55,B72=A72,COUNTIF(B60:B62,"已确认")=3,COUNTBLANK(C60:C62)=0,ISNUMBER(B63),B63=0),"资料可提交前后台联合验收，仍需复核证据内容","尚不具备联合验收条件，请补齐前台、运维、流程或确认记录")</x:f>
        <x:v>尚不具备联合验收条件，请补齐前台、运维、流程或确认记录</x:v>
      </x:c>
      <x:c r="B65" s="299"/>
      <x:c r="C65" s="299"/>
      <x:c r="D65" s="299"/>
      <x:c r="E65" s="299"/>
      <x:c r="F65" s="299"/>
      <x:c r="G65" s="299"/>
      <x:c r="H65" s="299"/>
    </x:row>
    <x:row r="66" ht="110" customHeight="1">
      <x:c r="A66" s="295" t="str">
        <x:v>第九轮完成21项主清单结果更新和20条执行记录。未改产品代码，未发送真实通知/反制。普通页断网成功提示、计划详情与URL错位、PDF空白仍复现。完整36条流程未取得全部步骤通过证据。证据见本轮执行记录及第九轮报告。</x:v>
      </x:c>
      <x:c r="B66" s="295"/>
      <x:c r="C66" s="295"/>
      <x:c r="D66" s="295"/>
      <x:c r="E66" s="295"/>
      <x:c r="F66" s="295"/>
      <x:c r="G66" s="295"/>
      <x:c r="H66" s="295"/>
    </x:row>
    <x:row r="69" ht="21.5">
      <x:c r="A69" s="300" t="s">
        <x:v>69</x:v>
      </x:c>
      <x:c r="B69" s="294"/>
      <x:c r="C69" s="294"/>
      <x:c r="D69" s="294"/>
      <x:c r="E69" s="294"/>
      <x:c r="F69" s="294"/>
      <x:c r="G69" s="294"/>
      <x:c r="H69" s="294"/>
    </x:row>
    <x:row r="70" ht="16.5">
      <x:c r="A70" s="294"/>
      <x:c r="B70" s="294"/>
      <x:c r="C70" s="294"/>
      <x:c r="D70" s="294"/>
      <x:c r="E70" s="294"/>
      <x:c r="F70" s="294"/>
      <x:c r="G70" s="294"/>
      <x:c r="H70" s="294"/>
    </x:row>
    <x:row r="71" ht="34" customHeight="1">
      <x:c r="A71" s="18" t="s">
        <x:v>70</x:v>
      </x:c>
      <x:c r="B71" s="18" t="s">
        <x:v>52</x:v>
      </x:c>
      <x:c r="C71" s="18" t="s">
        <x:v>2</x:v>
      </x:c>
      <x:c r="D71" s="18" t="s">
        <x:v>3</x:v>
      </x:c>
      <x:c r="E71" s="18" t="s">
        <x:v>4</x:v>
      </x:c>
      <x:c r="F71" s="18" t="s">
        <x:v>53</x:v>
      </x:c>
      <x:c r="G71" s="18" t="s">
        <x:v>71</x:v>
      </x:c>
      <x:c r="H71" s="18" t="s">
        <x:v>72</x:v>
      </x:c>
    </x:row>
    <x:row r="72" ht="42" customHeight="1">
      <x:c r="A72" s="301" t="n">
        <x:f>COUNTA('设备运维清单'!A6:A69)</x:f>
        <x:v>64</x:v>
      </x:c>
      <x:c r="B72" s="301" t="n">
        <x:f>COUNTIF('设备运维清单'!M6:M69,"记录齐全")</x:f>
        <x:v>19</x:v>
      </x:c>
      <x:c r="C72" s="301" t="n">
        <x:f>COUNTIF('设备运维清单'!M6:M69,"有问题")</x:f>
        <x:v>2</x:v>
      </x:c>
      <x:c r="D72" s="301" t="n">
        <x:f>COUNTIF('设备运维清单'!M6:M69,"暂时测不了")</x:f>
        <x:v>43</x:v>
      </x:c>
      <x:c r="E72" s="301" t="n">
        <x:f>COUNTIF('设备运维清单'!M6:M69,"还没测")</x:f>
        <x:v>0</x:v>
      </x:c>
      <x:c r="F72" s="301" t="n">
        <x:f>COUNTIF('设备运维清单'!M6:M69,"待补证据")</x:f>
        <x:v>0</x:v>
      </x:c>
      <x:c r="G72" s="301" t="n">
        <x:f>COUNTA('全流程验收'!A36:A41)</x:f>
        <x:v>6</x:v>
      </x:c>
      <x:c r="H72" s="301" t="n">
        <x:f>COUNTIF('全流程验收'!G36:G41,"通过")</x:f>
        <x:v>0</x:v>
      </x:c>
    </x:row>
    <x:row r="73" ht="16.5">
      <x:c r="A73" s="294"/>
      <x:c r="B73" s="294"/>
      <x:c r="C73" s="294"/>
      <x:c r="D73" s="294"/>
      <x:c r="E73" s="294"/>
      <x:c r="F73" s="294"/>
      <x:c r="G73" s="294"/>
      <x:c r="H73" s="294"/>
    </x:row>
    <x:row r="74" ht="38" customHeight="1">
      <x:c r="A74" s="17" t="s">
        <x:v>73</x:v>
      </x:c>
      <x:c r="B74" s="17"/>
      <x:c r="C74" s="17"/>
      <x:c r="D74" s="17"/>
      <x:c r="E74" s="17"/>
      <x:c r="F74" s="17"/>
      <x:c r="G74" s="17"/>
      <x:c r="H74" s="17"/>
    </x:row>
    <x:row r="75" ht="38" customHeight="1">
      <x:c r="A75" s="17" t="s">
        <x:v>74</x:v>
      </x:c>
      <x:c r="B75" s="17"/>
      <x:c r="C75" s="17"/>
      <x:c r="D75" s="17"/>
      <x:c r="E75" s="17"/>
      <x:c r="F75" s="17"/>
      <x:c r="G75" s="17"/>
      <x:c r="H75" s="17"/>
    </x:row>
    <x:row r="76" ht="43" customHeight="1">
      <x:c r="A76" s="17" t="str">
        <x:v>第九轮页面读取：设备35、飞行计划16；沿用现存模拟数据，未新增业务样本或启动模拟批次。第八轮设备27/计划11为当时快照，保留在原八轮文件。本轮测试网络拦截已清除，原用户表单保留。</x:v>
      </x:c>
      <x:c r="B76" s="17"/>
      <x:c r="C76" s="17"/>
      <x:c r="D76" s="17"/>
      <x:c r="E76" s="17"/>
      <x:c r="F76" s="17"/>
      <x:c r="G76" s="17"/>
      <x:c r="H76" s="17"/>
    </x:row>
  </x:sheetData>
  <x:mergeCells>
    <x:mergeCell ref="A9:H9"/>
    <x:mergeCell ref="A10:H10"/>
    <x:mergeCell ref="A31:H31"/>
    <x:mergeCell ref="A32:H32"/>
    <x:mergeCell ref="A33:H33"/>
    <x:mergeCell ref="A34:H34"/>
    <x:mergeCell ref="A35:H35"/>
    <x:mergeCell ref="A36:H36"/>
    <x:mergeCell ref="A37:H37"/>
    <x:mergeCell ref="E39:H39"/>
    <x:mergeCell ref="A47:H47"/>
    <x:mergeCell ref="A48:H48"/>
    <x:mergeCell ref="A49:H49"/>
    <x:mergeCell ref="A50:H50"/>
    <x:mergeCell ref="A57:H57"/>
    <x:mergeCell ref="A65:H65"/>
    <x:mergeCell ref="A66:H66"/>
    <x:mergeCell ref="A74:H74"/>
    <x:mergeCell ref="A75:H75"/>
    <x:mergeCell ref="A76:H76"/>
  </x:mergeCells>
  <x:conditionalFormatting sqref="B39:B39">
    <x:cfRule type="cellIs" dxfId="0" priority="1" operator="greaterThan">
      <x:formula>0</x:formula>
    </x:cfRule>
  </x:conditionalFormatting>
  <x:conditionalFormatting sqref="D39:D39">
    <x:cfRule type="cellIs" dxfId="0" priority="2" operator="greaterThan">
      <x:formula>0</x:formula>
    </x:cfRule>
  </x:conditionalFormatting>
  <x:dataValidations count="1">
    <x:dataValidation type="list" sqref="B60:B62">
      <x:formula1>"未确认,已确认"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5" topLeftCell="D6" activePane="bottomRight" state="frozen"/>
    </x:sheetView>
  </x:sheetViews>
  <x:sheetFormatPr defaultColWidth="9" defaultRowHeight="14"/>
  <x:cols>
    <x:col min="1" max="1" width="9" customWidth="1"/>
    <x:col min="2" max="2" width="23" customWidth="1"/>
    <x:col min="3" max="3" width="13" customWidth="1"/>
    <x:col min="4" max="4" width="63" customWidth="1"/>
    <x:col min="5" max="5" width="70" customWidth="1"/>
    <x:col min="6" max="6" width="16" customWidth="1"/>
    <x:col min="7" max="7" width="48" customWidth="1"/>
    <x:col min="8" max="8" width="13" customWidth="1"/>
    <x:col min="9" max="9" width="17" customWidth="1"/>
    <x:col min="10" max="10" width="35" customWidth="1"/>
    <x:col min="11" max="11" width="16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32" customHeight="1">
      <x:c r="A2" s="106" t="s">
        <x:v>75</x:v>
      </x:c>
      <x:c r="B2" s="107"/>
      <x:c r="C2" s="107"/>
      <x:c r="D2" s="107"/>
      <x:c r="E2" s="107"/>
      <x:c r="F2" s="107"/>
      <x:c r="G2" s="107"/>
      <x:c r="H2" s="107"/>
      <x:c r="I2" s="107"/>
      <x:c r="J2" s="107"/>
      <x:c r="K2" s="107"/>
    </x:row>
    <x:row r="3" ht="34" customHeight="1">
      <x:c r="A3" s="15"/>
      <x:c r="B3" s="15"/>
      <x:c r="C3" s="15"/>
      <x:c r="D3" s="17" t="s">
        <x:v>76</x:v>
      </x:c>
      <x:c r="E3" s="17"/>
      <x:c r="F3" s="15"/>
      <x:c r="G3" s="15"/>
      <x:c r="H3" s="15"/>
      <x:c r="I3" s="15"/>
      <x:c r="J3" s="15"/>
      <x:c r="K3" s="15"/>
    </x:row>
    <x:row r="4" ht="34" customHeight="1">
      <x:c r="A4" s="15"/>
      <x:c r="B4" s="15"/>
      <x:c r="C4" s="15"/>
      <x:c r="D4" s="17" t="s">
        <x:v>77</x:v>
      </x:c>
      <x:c r="E4" s="17"/>
      <x:c r="F4" s="15"/>
      <x:c r="G4" s="15"/>
      <x:c r="H4" s="15"/>
      <x:c r="I4" s="15"/>
      <x:c r="J4" s="15"/>
      <x:c r="K4" s="15"/>
    </x:row>
    <x:row r="5" ht="32" customHeight="1">
      <x:c r="A5" s="18" t="s">
        <x:v>78</x:v>
      </x:c>
      <x:c r="B5" s="18" t="s">
        <x:v>9</x:v>
      </x:c>
      <x:c r="C5" s="18" t="s">
        <x:v>79</x:v>
      </x:c>
      <x:c r="D5" s="18" t="s">
        <x:v>80</x:v>
      </x:c>
      <x:c r="E5" s="18" t="s">
        <x:v>81</x:v>
      </x:c>
      <x:c r="F5" s="18" t="s">
        <x:v>82</x:v>
      </x:c>
      <x:c r="G5" s="18" t="s">
        <x:v>83</x:v>
      </x:c>
      <x:c r="H5" s="18" t="s">
        <x:v>84</x:v>
      </x:c>
      <x:c r="I5" s="18" t="s">
        <x:v>85</x:v>
      </x:c>
      <x:c r="J5" s="18" t="s">
        <x:v>86</x:v>
      </x:c>
      <x:c r="K5" s="18" t="s">
        <x:v>87</x:v>
      </x:c>
    </x:row>
    <x:row r="6" ht="120" customHeight="1">
      <x:c r="A6" s="126">
        <x:v>1</x:v>
      </x:c>
      <x:c r="B6" s="127" t="s">
        <x:v>12</x:v>
      </x:c>
      <x:c r="C6" s="128" t="s">
        <x:v>88</x:v>
      </x:c>
      <x:c r="D6" s="129" t="s">
        <x:v>89</x:v>
      </x:c>
      <x:c r="E6" s="129" t="s">
        <x:v>90</x:v>
      </x:c>
      <x:c r="F6" s="130" t="s">
        <x:v>11</x:v>
      </x:c>
      <x:c r="G6" s="130" t="s">
        <x:v>91</x:v>
      </x:c>
      <x:c r="H6" s="130" t="s">
        <x:v>92</x:v>
      </x:c>
      <x:c r="I6" s="131">
        <x:v>46292</x:v>
      </x:c>
      <x:c r="J6" s="130" t="s">
        <x:v>93</x:v>
      </x:c>
      <x:c r="K6" s="130" t="s">
        <x:v>62</x:v>
      </x:c>
    </x:row>
    <x:row r="7" ht="160" customHeight="1">
      <x:c r="A7" s="132">
        <x:v>2</x:v>
      </x:c>
      <x:c r="B7" s="19" t="s">
        <x:v>12</x:v>
      </x:c>
      <x:c r="C7" s="5" t="s">
        <x:v>94</x:v>
      </x:c>
      <x:c r="D7" s="108" t="s">
        <x:v>95</x:v>
      </x:c>
      <x:c r="E7" s="108" t="s">
        <x:v>96</x:v>
      </x:c>
      <x:c r="F7" s="20" t="s">
        <x:v>11</x:v>
      </x:c>
      <x:c r="G7" s="20" t="s">
        <x:v>97</x:v>
      </x:c>
      <x:c r="H7" s="20" t="s">
        <x:v>92</x:v>
      </x:c>
      <x:c r="I7" s="21">
        <x:v>46293</x:v>
      </x:c>
      <x:c r="J7" s="20" t="s">
        <x:v>98</x:v>
      </x:c>
      <x:c r="K7" s="20" t="s">
        <x:v>99</x:v>
      </x:c>
    </x:row>
    <x:row r="8" ht="160" customHeight="1">
      <x:c r="A8" s="132">
        <x:v>3</x:v>
      </x:c>
      <x:c r="B8" s="19" t="s">
        <x:v>12</x:v>
      </x:c>
      <x:c r="C8" s="5" t="s">
        <x:v>88</x:v>
      </x:c>
      <x:c r="D8" s="109" t="s">
        <x:v>100</x:v>
      </x:c>
      <x:c r="E8" s="109" t="s">
        <x:v>101</x:v>
      </x:c>
      <x:c r="F8" s="303" t="str">
        <x:v>暂时测不了</x:v>
      </x:c>
      <x:c r="G8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8" s="303" t="str">
        <x:v>Codex</x:v>
      </x:c>
      <x:c r="I8" s="302" t="n">
        <x:v>46293</x:v>
      </x:c>
      <x:c r="J8" s="303" t="str">
        <x:v>本轮报告；隔离回归日志；既有第八/九轮证据保留</x:v>
      </x:c>
      <x:c r="K8" s="303" t="str">
        <x:v>前置条件未齐</x:v>
      </x:c>
    </x:row>
    <x:row r="9" ht="120" customHeight="1">
      <x:c r="A9" s="132">
        <x:v>4</x:v>
      </x:c>
      <x:c r="B9" s="19" t="s">
        <x:v>12</x:v>
      </x:c>
      <x:c r="C9" s="5" t="s">
        <x:v>88</x:v>
      </x:c>
      <x:c r="D9" s="108" t="s">
        <x:v>102</x:v>
      </x:c>
      <x:c r="E9" s="108" t="s">
        <x:v>103</x:v>
      </x:c>
      <x:c r="F9" s="20" t="s">
        <x:v>11</x:v>
      </x:c>
      <x:c r="G9" s="20" t="s">
        <x:v>104</x:v>
      </x:c>
      <x:c r="H9" s="20" t="s">
        <x:v>92</x:v>
      </x:c>
      <x:c r="I9" s="21">
        <x:v>46292</x:v>
      </x:c>
      <x:c r="J9" s="20" t="s">
        <x:v>105</x:v>
      </x:c>
      <x:c r="K9" s="20" t="s">
        <x:v>62</x:v>
      </x:c>
    </x:row>
    <x:row r="10" ht="160" customHeight="1">
      <x:c r="A10" s="132">
        <x:v>5</x:v>
      </x:c>
      <x:c r="B10" s="19" t="s">
        <x:v>12</x:v>
      </x:c>
      <x:c r="C10" s="5" t="s">
        <x:v>88</x:v>
      </x:c>
      <x:c r="D10" s="109" t="s">
        <x:v>106</x:v>
      </x:c>
      <x:c r="E10" s="109" t="s">
        <x:v>107</x:v>
      </x:c>
      <x:c r="F10" s="303" t="str">
        <x:v>暂时测不了</x:v>
      </x:c>
      <x:c r="G10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10" s="303" t="str">
        <x:v>Codex</x:v>
      </x:c>
      <x:c r="I10" s="302" t="n">
        <x:v>46293</x:v>
      </x:c>
      <x:c r="J10" s="303" t="str">
        <x:v>本轮报告；隔离回归日志；既有第八/九轮证据保留</x:v>
      </x:c>
      <x:c r="K10" s="303" t="str">
        <x:v>前置条件未齐</x:v>
      </x:c>
    </x:row>
    <x:row r="11" ht="160" customHeight="1">
      <x:c r="A11" s="132">
        <x:v>6</x:v>
      </x:c>
      <x:c r="B11" s="19" t="s">
        <x:v>12</x:v>
      </x:c>
      <x:c r="C11" s="5" t="s">
        <x:v>88</x:v>
      </x:c>
      <x:c r="D11" s="108" t="s">
        <x:v>108</x:v>
      </x:c>
      <x:c r="E11" s="108" t="s">
        <x:v>109</x:v>
      </x:c>
      <x:c r="F11" s="20" t="s">
        <x:v>5</x:v>
      </x:c>
      <x:c r="G11" s="20" t="s">
        <x:v>110</x:v>
      </x:c>
      <x:c r="H11" s="20" t="s">
        <x:v>92</x:v>
      </x:c>
      <x:c r="I11" s="21">
        <x:v>46293</x:v>
      </x:c>
      <x:c r="J11" s="20" t="s">
        <x:v>111</x:v>
      </x:c>
      <x:c r="K11" s="20" t="s">
        <x:v>99</x:v>
      </x:c>
    </x:row>
    <x:row r="12" ht="160" customHeight="1">
      <x:c r="A12" s="132">
        <x:v>7</x:v>
      </x:c>
      <x:c r="B12" s="19" t="s">
        <x:v>12</x:v>
      </x:c>
      <x:c r="C12" s="5" t="s">
        <x:v>88</x:v>
      </x:c>
      <x:c r="D12" s="109" t="s">
        <x:v>112</x:v>
      </x:c>
      <x:c r="E12" s="109" t="s">
        <x:v>113</x:v>
      </x:c>
      <x:c r="F12" s="303" t="str">
        <x:v>暂时测不了</x:v>
      </x:c>
      <x:c r="G12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12" s="303" t="str">
        <x:v>Codex</x:v>
      </x:c>
      <x:c r="I12" s="302" t="n">
        <x:v>46293</x:v>
      </x:c>
      <x:c r="J12" s="303" t="str">
        <x:v>本轮报告；隔离回归日志；既有第八/九轮证据保留</x:v>
      </x:c>
      <x:c r="K12" s="303" t="str">
        <x:v>前置条件未齐</x:v>
      </x:c>
    </x:row>
    <x:row r="13" ht="120" customHeight="1">
      <x:c r="A13" s="132">
        <x:v>8</x:v>
      </x:c>
      <x:c r="B13" s="19" t="s">
        <x:v>12</x:v>
      </x:c>
      <x:c r="C13" s="5" t="s">
        <x:v>94</x:v>
      </x:c>
      <x:c r="D13" s="108" t="s">
        <x:v>114</x:v>
      </x:c>
      <x:c r="E13" s="108" t="s">
        <x:v>115</x:v>
      </x:c>
      <x:c r="F13" s="20" t="s">
        <x:v>11</x:v>
      </x:c>
      <x:c r="G13" s="20" t="s">
        <x:v>116</x:v>
      </x:c>
      <x:c r="H13" s="20" t="s">
        <x:v>92</x:v>
      </x:c>
      <x:c r="I13" s="21">
        <x:v>46292</x:v>
      </x:c>
      <x:c r="J13" s="20" t="s">
        <x:v>117</x:v>
      </x:c>
      <x:c r="K13" s="20" t="s">
        <x:v>62</x:v>
      </x:c>
    </x:row>
    <x:row r="14" ht="160" customHeight="1">
      <x:c r="A14" s="132">
        <x:v>9</x:v>
      </x:c>
      <x:c r="B14" s="19" t="s">
        <x:v>12</x:v>
      </x:c>
      <x:c r="C14" s="5" t="s">
        <x:v>94</x:v>
      </x:c>
      <x:c r="D14" s="109" t="s">
        <x:v>118</x:v>
      </x:c>
      <x:c r="E14" s="109" t="s">
        <x:v>119</x:v>
      </x:c>
      <x:c r="F14" s="303" t="str">
        <x:v>通过</x:v>
      </x:c>
      <x:c r="G14" s="303" t="str">
        <x:v>第十轮：旧overview/workbench重定向融合感知，risk转飞行计划全部风险事件；旧授权参数进入反制办理，缺失授权明确不存在或不可见，没有串入其他记录。</x:v>
      </x:c>
      <x:c r="H14" s="303" t="str">
        <x:v>Codex</x:v>
      </x:c>
      <x:c r="I14" s="302" t="n">
        <x:v>46293</x:v>
      </x:c>
      <x:c r="J14" s="303" t="str">
        <x:v>旧路由记录；legacy-authorization-link-ui.txt</x:v>
      </x:c>
      <x:c r="K14" s="303" t="str"/>
    </x:row>
    <x:row r="15" ht="160" customHeight="1">
      <x:c r="A15" s="132">
        <x:v>10</x:v>
      </x:c>
      <x:c r="B15" s="19" t="s">
        <x:v>12</x:v>
      </x:c>
      <x:c r="C15" s="5" t="s">
        <x:v>88</x:v>
      </x:c>
      <x:c r="D15" s="108" t="s">
        <x:v>120</x:v>
      </x:c>
      <x:c r="E15" s="108" t="s">
        <x:v>121</x:v>
      </x:c>
      <x:c r="F15" s="303" t="str">
        <x:v>暂时测不了</x:v>
      </x:c>
      <x:c r="G15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15" s="303" t="str">
        <x:v>Codex</x:v>
      </x:c>
      <x:c r="I15" s="302" t="n">
        <x:v>46293</x:v>
      </x:c>
      <x:c r="J15" s="303" t="str">
        <x:v>本轮报告；隔离回归日志；既有第八/九轮证据保留</x:v>
      </x:c>
      <x:c r="K15" s="303" t="str">
        <x:v>前置条件未齐</x:v>
      </x:c>
    </x:row>
    <x:row r="16" ht="160" customHeight="1">
      <x:c r="A16" s="132">
        <x:v>11</x:v>
      </x:c>
      <x:c r="B16" s="19" t="s">
        <x:v>12</x:v>
      </x:c>
      <x:c r="C16" s="5" t="s">
        <x:v>94</x:v>
      </x:c>
      <x:c r="D16" s="109" t="s">
        <x:v>122</x:v>
      </x:c>
      <x:c r="E16" s="109" t="s">
        <x:v>123</x:v>
      </x:c>
      <x:c r="F16" s="303" t="str">
        <x:v>暂时测不了</x:v>
      </x:c>
      <x:c r="G16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16" s="303" t="str">
        <x:v>Codex</x:v>
      </x:c>
      <x:c r="I16" s="302" t="n">
        <x:v>46293</x:v>
      </x:c>
      <x:c r="J16" s="303" t="str">
        <x:v>本轮报告；隔离回归日志；既有第八/九轮证据保留</x:v>
      </x:c>
      <x:c r="K16" s="303" t="str">
        <x:v>前置条件未齐</x:v>
      </x:c>
    </x:row>
    <x:row r="17" ht="160" customHeight="1">
      <x:c r="A17" s="132">
        <x:v>12</x:v>
      </x:c>
      <x:c r="B17" s="19" t="s">
        <x:v>12</x:v>
      </x:c>
      <x:c r="C17" s="5" t="s">
        <x:v>94</x:v>
      </x:c>
      <x:c r="D17" s="108" t="s">
        <x:v>124</x:v>
      </x:c>
      <x:c r="E17" s="108" t="s">
        <x:v>125</x:v>
      </x:c>
      <x:c r="F17" s="303" t="str">
        <x:v>通过</x:v>
      </x:c>
      <x:c r="G17" s="303" t="str">
        <x:v>第十轮：计划详情选择、空列表清理和重新选择的URL一致；无效目标链接明确空态，不再残留另一目标资料。</x:v>
      </x:c>
      <x:c r="H17" s="303" t="str">
        <x:v>Codex</x:v>
      </x:c>
      <x:c r="I17" s="302" t="n">
        <x:v>46293</x:v>
      </x:c>
      <x:c r="J17" s="303" t="str">
        <x:v>plan-selected.txt；plan-empty-fixed.txt；plan-restored-fixed.txt；missing-target-deeplink.txt</x:v>
      </x:c>
      <x:c r="K17" s="303" t="str">
        <x:v>BUG-006已修复；BUG-016已修复</x:v>
      </x:c>
    </x:row>
    <x:row r="18" ht="160" customHeight="1">
      <x:c r="A18" s="133">
        <x:v>13</x:v>
      </x:c>
      <x:c r="B18" s="134" t="s">
        <x:v>13</x:v>
      </x:c>
      <x:c r="C18" s="135" t="s">
        <x:v>88</x:v>
      </x:c>
      <x:c r="D18" s="136" t="s">
        <x:v>126</x:v>
      </x:c>
      <x:c r="E18" s="136" t="s">
        <x:v>127</x:v>
      </x:c>
      <x:c r="F18" s="137" t="s">
        <x:v>11</x:v>
      </x:c>
      <x:c r="G18" s="137" t="s">
        <x:v>128</x:v>
      </x:c>
      <x:c r="H18" s="137" t="s">
        <x:v>92</x:v>
      </x:c>
      <x:c r="I18" s="138">
        <x:v>46293</x:v>
      </x:c>
      <x:c r="J18" s="137" t="s">
        <x:v>129</x:v>
      </x:c>
      <x:c r="K18" s="137" t="s">
        <x:v>130</x:v>
      </x:c>
    </x:row>
    <x:row r="19" ht="160" customHeight="1">
      <x:c r="A19" s="139">
        <x:v>14</x:v>
      </x:c>
      <x:c r="B19" s="28" t="s">
        <x:v>13</x:v>
      </x:c>
      <x:c r="C19" s="29" t="s">
        <x:v>88</x:v>
      </x:c>
      <x:c r="D19" s="108" t="s">
        <x:v>131</x:v>
      </x:c>
      <x:c r="E19" s="108" t="s">
        <x:v>132</x:v>
      </x:c>
      <x:c r="F19" s="20" t="s">
        <x:v>11</x:v>
      </x:c>
      <x:c r="G19" s="20" t="s">
        <x:v>133</x:v>
      </x:c>
      <x:c r="H19" s="20" t="s">
        <x:v>92</x:v>
      </x:c>
      <x:c r="I19" s="21">
        <x:v>46293</x:v>
      </x:c>
      <x:c r="J19" s="20" t="s">
        <x:v>134</x:v>
      </x:c>
      <x:c r="K19" s="20" t="s">
        <x:v>130</x:v>
      </x:c>
    </x:row>
    <x:row r="20" ht="160" customHeight="1">
      <x:c r="A20" s="139">
        <x:v>15</x:v>
      </x:c>
      <x:c r="B20" s="28" t="s">
        <x:v>13</x:v>
      </x:c>
      <x:c r="C20" s="29" t="s">
        <x:v>94</x:v>
      </x:c>
      <x:c r="D20" s="109" t="s">
        <x:v>135</x:v>
      </x:c>
      <x:c r="E20" s="109" t="s">
        <x:v>136</x:v>
      </x:c>
      <x:c r="F20" s="303" t="str">
        <x:v>通过</x:v>
      </x:c>
      <x:c r="G20" s="303" t="str">
        <x:v>第十轮：超过5分钟无更新的目标明确显示最后观测时间，未以设备心跳冒充实时目标；新旧目标分别检查。</x:v>
      </x:c>
      <x:c r="H20" s="303" t="str">
        <x:v>Codex</x:v>
      </x:c>
      <x:c r="I20" s="302" t="n">
        <x:v>46293</x:v>
      </x:c>
      <x:c r="J20" s="303" t="str">
        <x:v>video-target-switched.txt；scene-b-all-tracks.json</x:v>
      </x:c>
      <x:c r="K20" s="303" t="str"/>
    </x:row>
    <x:row r="21" ht="160" customHeight="1">
      <x:c r="A21" s="139">
        <x:v>16</x:v>
      </x:c>
      <x:c r="B21" s="28" t="s">
        <x:v>13</x:v>
      </x:c>
      <x:c r="C21" s="29" t="s">
        <x:v>94</x:v>
      </x:c>
      <x:c r="D21" s="108" t="s">
        <x:v>137</x:v>
      </x:c>
      <x:c r="E21" s="108" t="s">
        <x:v>138</x:v>
      </x:c>
      <x:c r="F21" s="303" t="str">
        <x:v>暂时测不了</x:v>
      </x:c>
      <x:c r="G21" s="303" t="str">
        <x:v>第十轮：尚无本轮北京时间零点前后连续真实输入；未改系统时钟或业务数据库造跨夜事实。</x:v>
      </x:c>
      <x:c r="H21" s="303" t="str">
        <x:v>Codex</x:v>
      </x:c>
      <x:c r="I21" s="302" t="n">
        <x:v>46293</x:v>
      </x:c>
      <x:c r="J21" s="303" t="str">
        <x:v>第十轮报告；本轮回放/页面/隔离回归证据</x:v>
      </x:c>
      <x:c r="K21" s="303" t="str">
        <x:v>场景或环境前置条件未齐</x:v>
      </x:c>
    </x:row>
    <x:row r="22" ht="160" customHeight="1">
      <x:c r="A22" s="139">
        <x:v>17</x:v>
      </x:c>
      <x:c r="B22" s="28" t="s">
        <x:v>13</x:v>
      </x:c>
      <x:c r="C22" s="29" t="s">
        <x:v>94</x:v>
      </x:c>
      <x:c r="D22" s="109" t="s">
        <x:v>139</x:v>
      </x:c>
      <x:c r="E22" s="109" t="s">
        <x:v>140</x:v>
      </x:c>
      <x:c r="F22" s="303" t="str">
        <x:v>通过</x:v>
      </x:c>
      <x:c r="G22" s="303" t="str">
        <x:v>第十轮：A批次采到ONLINE→OFFLINE→ONLINE；C批次真实MQTT故障ABNORMAL→ONLINE，health仍UNKNOWN；故障后断心跳转OFFLINE由H2与PostgreSQL回归覆盖。</x:v>
      </x:c>
      <x:c r="H22" s="303" t="str">
        <x:v>Codex</x:v>
      </x:c>
      <x:c r="I22" s="302" t="n">
        <x:v>46293</x:v>
      </x:c>
      <x:c r="J22" s="303" t="str">
        <x:v>scene-device-samples.jsonl；scene-c-fault-devices.json；scene-c-recovered-devices.json；mqtt-workstate-postgres.log</x:v>
      </x:c>
      <x:c r="K22" s="303" t="str">
        <x:v>BUG-015已修复</x:v>
      </x:c>
    </x:row>
    <x:row r="23" ht="160" customHeight="1">
      <x:c r="A23" s="139">
        <x:v>18</x:v>
      </x:c>
      <x:c r="B23" s="28" t="s">
        <x:v>13</x:v>
      </x:c>
      <x:c r="C23" s="29" t="s">
        <x:v>94</x:v>
      </x:c>
      <x:c r="D23" s="108" t="s">
        <x:v>141</x:v>
      </x:c>
      <x:c r="E23" s="108" t="s">
        <x:v>142</x:v>
      </x:c>
      <x:c r="F23" s="303" t="str">
        <x:v>通过</x:v>
      </x:c>
      <x:c r="G23" s="303" t="str">
        <x:v>第十轮：选择目标023风险后显示对应无人机/告警及多源链路；选择C批次雷达后切换为该设备ID、离线时间与近期事件，旧目标视频清理；详情可关闭。</x:v>
      </x:c>
      <x:c r="H23" s="303" t="str">
        <x:v>Codex</x:v>
      </x:c>
      <x:c r="I23" s="302" t="n">
        <x:v>46293</x:v>
      </x:c>
      <x:c r="J23" s="303" t="str">
        <x:v>situation-alarm-selected-ui.txt；situation-device-selected-ui.txt；situation-panels-collapsed-ui.txt</x:v>
      </x:c>
      <x:c r="K23" s="303" t="str"/>
    </x:row>
    <x:row r="24" ht="160" customHeight="1">
      <x:c r="A24" s="139">
        <x:v>19</x:v>
      </x:c>
      <x:c r="B24" s="28" t="s">
        <x:v>13</x:v>
      </x:c>
      <x:c r="C24" s="29" t="s">
        <x:v>88</x:v>
      </x:c>
      <x:c r="D24" s="109" t="s">
        <x:v>143</x:v>
      </x:c>
      <x:c r="E24" s="109" t="s">
        <x:v>144</x:v>
      </x:c>
      <x:c r="F24" s="303" t="str">
        <x:v>暂时测不了</x:v>
      </x:c>
      <x:c r="G24" s="303" t="str">
        <x:v>第十轮：双来源轨迹473点已完整加载并播放；修复同时间融合点误判倒序。原始数据含转弯、停留和暂停缺口；当前证据仍缺各类分段标记与计划比对的完整样本，不将局部播放通过当整行通过。</x:v>
      </x:c>
      <x:c r="H24" s="303" t="str">
        <x:v>Codex</x:v>
      </x:c>
      <x:c r="I24" s="302" t="n">
        <x:v>46293</x:v>
      </x:c>
      <x:c r="J24" s="303" t="str">
        <x:v>scene-b-all-tracks.json；fused-track-playing-ui.txt；track-equal-time.test.mjs</x:v>
      </x:c>
      <x:c r="K24" s="303" t="str">
        <x:v>BUG-017已修复；分段样本待补</x:v>
      </x:c>
    </x:row>
    <x:row r="25" ht="160" customHeight="1">
      <x:c r="A25" s="139">
        <x:v>20</x:v>
      </x:c>
      <x:c r="B25" s="28" t="s">
        <x:v>13</x:v>
      </x:c>
      <x:c r="C25" s="29" t="s">
        <x:v>94</x:v>
      </x:c>
      <x:c r="D25" s="108" t="s">
        <x:v>145</x:v>
      </x:c>
      <x:c r="E25" s="108" t="s">
        <x:v>146</x:v>
      </x:c>
      <x:c r="F25" s="303" t="str">
        <x:v>暂时测不了</x:v>
      </x:c>
      <x:c r="G25" s="303" t="str">
        <x:v>第十轮：本轮无与UAV航迹同批次匹配的四类计划路段（符合/偏离/未飞/依据不足）完整真值；未知保持未知。</x:v>
      </x:c>
      <x:c r="H25" s="303" t="str">
        <x:v>Codex</x:v>
      </x:c>
      <x:c r="I25" s="302" t="n">
        <x:v>46293</x:v>
      </x:c>
      <x:c r="J25" s="303" t="str">
        <x:v>第十轮报告；本轮回放/页面/隔离回归证据</x:v>
      </x:c>
      <x:c r="K25" s="303" t="str">
        <x:v>场景或环境前置条件未齐</x:v>
      </x:c>
    </x:row>
    <x:row r="26" ht="160" customHeight="1">
      <x:c r="A26" s="139">
        <x:v>21</x:v>
      </x:c>
      <x:c r="B26" s="28" t="s">
        <x:v>13</x:v>
      </x:c>
      <x:c r="C26" s="29" t="s">
        <x:v>94</x:v>
      </x:c>
      <x:c r="D26" s="109" t="s">
        <x:v>147</x:v>
      </x:c>
      <x:c r="E26" s="109" t="s">
        <x:v>148</x:v>
      </x:c>
      <x:c r="F26" s="303" t="str">
        <x:v>暂时测不了</x:v>
      </x:c>
      <x:c r="G26" s="303" t="str">
        <x:v>第十轮：收起视频、换目标和离页已实测清理关联；当前目标无有效光电任务/实时视频流，无法验真实流切换。</x:v>
      </x:c>
      <x:c r="H26" s="303" t="str">
        <x:v>Codex</x:v>
      </x:c>
      <x:c r="I26" s="302" t="n">
        <x:v>46293</x:v>
      </x:c>
      <x:c r="J26" s="303" t="str">
        <x:v>video-collapsed.txt；video-target-switched.txt</x:v>
      </x:c>
      <x:c r="K26" s="303" t="str">
        <x:v>需任务式光电测试流</x:v>
      </x:c>
    </x:row>
    <x:row r="27" ht="160" customHeight="1">
      <x:c r="A27" s="139">
        <x:v>22</x:v>
      </x:c>
      <x:c r="B27" s="28" t="s">
        <x:v>13</x:v>
      </x:c>
      <x:c r="C27" s="29" t="s">
        <x:v>94</x:v>
      </x:c>
      <x:c r="D27" s="108" t="s">
        <x:v>149</x:v>
      </x:c>
      <x:c r="E27" s="108" t="s">
        <x:v>150</x:v>
      </x:c>
      <x:c r="F27" s="303" t="str">
        <x:v>通过</x:v>
      </x:c>
      <x:c r="G27" s="303" t="str">
        <x:v>第十轮：读取失败说明持续保留，恢复后才显示成功；缺失地图纹理已补注册；实际后端重启时保留会话，重试恢复。</x:v>
      </x:c>
      <x:c r="H27" s="303" t="str">
        <x:v>Codex</x:v>
      </x:c>
      <x:c r="I27" s="302" t="n">
        <x:v>46293</x:v>
      </x:c>
      <x:c r="J27" s="303" t="str">
        <x:v>situation-error-retained.png；situation-recovered.txt；map相关回归；soak-samples.json</x:v>
      </x:c>
      <x:c r="K27" s="303" t="str">
        <x:v>BUG-003已修复</x:v>
      </x:c>
    </x:row>
    <x:row r="28" ht="120" customHeight="1">
      <x:c r="A28" s="140">
        <x:v>23</x:v>
      </x:c>
      <x:c r="B28" s="141" t="s">
        <x:v>14</x:v>
      </x:c>
      <x:c r="C28" s="142" t="s">
        <x:v>88</x:v>
      </x:c>
      <x:c r="D28" s="143" t="s">
        <x:v>151</x:v>
      </x:c>
      <x:c r="E28" s="143" t="s">
        <x:v>152</x:v>
      </x:c>
      <x:c r="F28" s="144" t="s">
        <x:v>11</x:v>
      </x:c>
      <x:c r="G28" s="144" t="s">
        <x:v>153</x:v>
      </x:c>
      <x:c r="H28" s="144" t="s">
        <x:v>92</x:v>
      </x:c>
      <x:c r="I28" s="145">
        <x:v>46292</x:v>
      </x:c>
      <x:c r="J28" s="144" t="s">
        <x:v>154</x:v>
      </x:c>
      <x:c r="K28" s="144" t="s">
        <x:v>62</x:v>
      </x:c>
    </x:row>
    <x:row r="29" ht="120" customHeight="1">
      <x:c r="A29" s="146">
        <x:v>24</x:v>
      </x:c>
      <x:c r="B29" s="22" t="s">
        <x:v>14</x:v>
      </x:c>
      <x:c r="C29" s="23" t="s">
        <x:v>94</x:v>
      </x:c>
      <x:c r="D29" s="108" t="s">
        <x:v>155</x:v>
      </x:c>
      <x:c r="E29" s="108" t="s">
        <x:v>156</x:v>
      </x:c>
      <x:c r="F29" s="20" t="s">
        <x:v>11</x:v>
      </x:c>
      <x:c r="G29" s="20" t="s">
        <x:v>157</x:v>
      </x:c>
      <x:c r="H29" s="20" t="s">
        <x:v>92</x:v>
      </x:c>
      <x:c r="I29" s="21">
        <x:v>46292</x:v>
      </x:c>
      <x:c r="J29" s="20" t="s">
        <x:v>158</x:v>
      </x:c>
      <x:c r="K29" s="20" t="s">
        <x:v>62</x:v>
      </x:c>
    </x:row>
    <x:row r="30" ht="160" customHeight="1">
      <x:c r="A30" s="146">
        <x:v>25</x:v>
      </x:c>
      <x:c r="B30" s="22" t="s">
        <x:v>14</x:v>
      </x:c>
      <x:c r="C30" s="23" t="s">
        <x:v>94</x:v>
      </x:c>
      <x:c r="D30" s="109" t="s">
        <x:v>159</x:v>
      </x:c>
      <x:c r="E30" s="109" t="s">
        <x:v>160</x:v>
      </x:c>
      <x:c r="F30" s="303" t="str">
        <x:v>通过</x:v>
      </x:c>
      <x:c r="G30" s="303" t="str">
        <x:v>第十轮：切换计划、筛选至空再恢复，航线/选择与URL同步；空列表不残留旧计划，重新选择定位正确。</x:v>
      </x:c>
      <x:c r="H30" s="303" t="str">
        <x:v>Codex</x:v>
      </x:c>
      <x:c r="I30" s="302" t="n">
        <x:v>46293</x:v>
      </x:c>
      <x:c r="J30" s="303" t="str">
        <x:v>plan-selected.txt；plan-empty-fixed.txt；plan-restored-fixed.txt；plan-restored-fixed.png</x:v>
      </x:c>
      <x:c r="K30" s="303" t="str">
        <x:v>BUG-006已修复</x:v>
      </x:c>
    </x:row>
    <x:row r="31" ht="160" customHeight="1">
      <x:c r="A31" s="146">
        <x:v>26</x:v>
      </x:c>
      <x:c r="B31" s="22" t="s">
        <x:v>14</x:v>
      </x:c>
      <x:c r="C31" s="23" t="s">
        <x:v>88</x:v>
      </x:c>
      <x:c r="D31" s="108" t="s">
        <x:v>161</x:v>
      </x:c>
      <x:c r="E31" s="108" t="s">
        <x:v>162</x:v>
      </x:c>
      <x:c r="F31" s="303" t="str">
        <x:v>暂时测不了</x:v>
      </x:c>
      <x:c r="G31" s="303" t="str">
        <x:v>第十轮：可用MQTT样本健康UNKNOWN，缺正常GOOD、异常和资料不足三组可信设备核查依据。</x:v>
      </x:c>
      <x:c r="H31" s="303" t="str">
        <x:v>Codex</x:v>
      </x:c>
      <x:c r="I31" s="302" t="n">
        <x:v>46293</x:v>
      </x:c>
      <x:c r="J31" s="303" t="str">
        <x:v>第十轮报告；本轮回放/页面/隔离回归证据</x:v>
      </x:c>
      <x:c r="K31" s="303" t="str">
        <x:v>场景或环境前置条件未齐</x:v>
      </x:c>
    </x:row>
    <x:row r="32" ht="120" customHeight="1">
      <x:c r="A32" s="146">
        <x:v>27</x:v>
      </x:c>
      <x:c r="B32" s="22" t="s">
        <x:v>14</x:v>
      </x:c>
      <x:c r="C32" s="23" t="s">
        <x:v>94</x:v>
      </x:c>
      <x:c r="D32" s="109" t="s">
        <x:v>163</x:v>
      </x:c>
      <x:c r="E32" s="109" t="s">
        <x:v>164</x:v>
      </x:c>
      <x:c r="F32" s="20" t="s">
        <x:v>11</x:v>
      </x:c>
      <x:c r="G32" s="20" t="s">
        <x:v>165</x:v>
      </x:c>
      <x:c r="H32" s="20" t="s">
        <x:v>92</x:v>
      </x:c>
      <x:c r="I32" s="21">
        <x:v>46292</x:v>
      </x:c>
      <x:c r="J32" s="20" t="s">
        <x:v>166</x:v>
      </x:c>
      <x:c r="K32" s="20" t="s">
        <x:v>62</x:v>
      </x:c>
    </x:row>
    <x:row r="33" ht="160" customHeight="1">
      <x:c r="A33" s="146">
        <x:v>28</x:v>
      </x:c>
      <x:c r="B33" s="22" t="s">
        <x:v>14</x:v>
      </x:c>
      <x:c r="C33" s="23" t="s">
        <x:v>88</x:v>
      </x:c>
      <x:c r="D33" s="108" t="s">
        <x:v>167</x:v>
      </x:c>
      <x:c r="E33" s="108" t="s">
        <x:v>168</x:v>
      </x:c>
      <x:c r="F33" s="303" t="str">
        <x:v>暂时测不了</x:v>
      </x:c>
      <x:c r="G33" s="303" t="str">
        <x:v>第十轮：缺已核实且绑定正确责任人/测试接收通道的设备异常通知完整样本，未向真实人员发送。</x:v>
      </x:c>
      <x:c r="H33" s="303" t="str">
        <x:v>Codex</x:v>
      </x:c>
      <x:c r="I33" s="302" t="n">
        <x:v>46293</x:v>
      </x:c>
      <x:c r="J33" s="303" t="str">
        <x:v>第十轮报告；本轮回放/页面/隔离回归证据</x:v>
      </x:c>
      <x:c r="K33" s="303" t="str">
        <x:v>场景或环境前置条件未齐</x:v>
      </x:c>
    </x:row>
    <x:row r="34" ht="160" customHeight="1">
      <x:c r="A34" s="146">
        <x:v>29</x:v>
      </x:c>
      <x:c r="B34" s="22" t="s">
        <x:v>14</x:v>
      </x:c>
      <x:c r="C34" s="23" t="s">
        <x:v>94</x:v>
      </x:c>
      <x:c r="D34" s="109" t="s">
        <x:v>169</x:v>
      </x:c>
      <x:c r="E34" s="109" t="s">
        <x:v>170</x:v>
      </x:c>
      <x:c r="F34" s="303" t="str">
        <x:v>暂时测不了</x:v>
      </x:c>
      <x:c r="G34" s="303" t="str">
        <x:v>第十轮：缺同一计划完整、部分、不覆盖及无时间四组天气输入配套，不能用单次天气回归代替。</x:v>
      </x:c>
      <x:c r="H34" s="303" t="str">
        <x:v>Codex</x:v>
      </x:c>
      <x:c r="I34" s="302" t="n">
        <x:v>46293</x:v>
      </x:c>
      <x:c r="J34" s="303" t="str">
        <x:v>第十轮报告；本轮回放/页面/隔离回归证据</x:v>
      </x:c>
      <x:c r="K34" s="303" t="str">
        <x:v>场景或环境前置条件未齐</x:v>
      </x:c>
    </x:row>
    <x:row r="35" ht="160" customHeight="1">
      <x:c r="A35" s="146">
        <x:v>30</x:v>
      </x:c>
      <x:c r="B35" s="22" t="s">
        <x:v>14</x:v>
      </x:c>
      <x:c r="C35" s="23" t="s">
        <x:v>94</x:v>
      </x:c>
      <x:c r="D35" s="108" t="s">
        <x:v>171</x:v>
      </x:c>
      <x:c r="E35" s="108" t="s">
        <x:v>172</x:v>
      </x:c>
      <x:c r="F35" s="20" t="s">
        <x:v>11</x:v>
      </x:c>
      <x:c r="G35" s="20" t="s">
        <x:v>173</x:v>
      </x:c>
      <x:c r="H35" s="20" t="s">
        <x:v>92</x:v>
      </x:c>
      <x:c r="I35" s="21">
        <x:v>46293</x:v>
      </x:c>
      <x:c r="J35" s="20" t="s">
        <x:v>174</x:v>
      </x:c>
      <x:c r="K35" s="20" t="s">
        <x:v>62</x:v>
      </x:c>
    </x:row>
    <x:row r="36" ht="160" customHeight="1">
      <x:c r="A36" s="146">
        <x:v>31</x:v>
      </x:c>
      <x:c r="B36" s="22" t="s">
        <x:v>14</x:v>
      </x:c>
      <x:c r="C36" s="23" t="s">
        <x:v>88</x:v>
      </x:c>
      <x:c r="D36" s="109" t="s">
        <x:v>175</x:v>
      </x:c>
      <x:c r="E36" s="109" t="s">
        <x:v>176</x:v>
      </x:c>
      <x:c r="F36" s="303" t="str">
        <x:v>暂时测不了</x:v>
      </x:c>
      <x:c r="G36" s="303" t="str">
        <x:v>第十轮：缺同一计划持续、已解除、已通知未解除及待确认四类独立风险配套。</x:v>
      </x:c>
      <x:c r="H36" s="303" t="str">
        <x:v>Codex</x:v>
      </x:c>
      <x:c r="I36" s="302" t="n">
        <x:v>46293</x:v>
      </x:c>
      <x:c r="J36" s="303" t="str">
        <x:v>第十轮报告；本轮回放/页面/隔离回归证据</x:v>
      </x:c>
      <x:c r="K36" s="303" t="str">
        <x:v>场景或环境前置条件未齐</x:v>
      </x:c>
    </x:row>
    <x:row r="37" ht="160" customHeight="1">
      <x:c r="A37" s="146">
        <x:v>32</x:v>
      </x:c>
      <x:c r="B37" s="22" t="s">
        <x:v>14</x:v>
      </x:c>
      <x:c r="C37" s="23" t="s">
        <x:v>94</x:v>
      </x:c>
      <x:c r="D37" s="108" t="s">
        <x:v>177</x:v>
      </x:c>
      <x:c r="E37" s="108" t="s">
        <x:v>178</x:v>
      </x:c>
      <x:c r="F37" s="303" t="str">
        <x:v>暂时测不了</x:v>
      </x:c>
      <x:c r="G37" s="303" t="str">
        <x:v>第十轮：现有独立计划没有同名且同时满足研判/证据关联的成对测试样本。</x:v>
      </x:c>
      <x:c r="H37" s="303" t="str">
        <x:v>Codex</x:v>
      </x:c>
      <x:c r="I37" s="302" t="n">
        <x:v>46293</x:v>
      </x:c>
      <x:c r="J37" s="303" t="str">
        <x:v>第十轮报告；本轮回放/页面/隔离回归证据</x:v>
      </x:c>
      <x:c r="K37" s="303" t="str">
        <x:v>场景或环境前置条件未齐</x:v>
      </x:c>
    </x:row>
    <x:row r="38" ht="160" customHeight="1">
      <x:c r="A38" s="147">
        <x:v>33</x:v>
      </x:c>
      <x:c r="B38" s="148" t="s">
        <x:v>15</x:v>
      </x:c>
      <x:c r="C38" s="149" t="s">
        <x:v>88</x:v>
      </x:c>
      <x:c r="D38" s="150" t="s">
        <x:v>179</x:v>
      </x:c>
      <x:c r="E38" s="150" t="s">
        <x:v>180</x:v>
      </x:c>
      <x:c r="F38" s="305" t="str">
        <x:v>通过</x:v>
      </x:c>
      <x:c r="G38" s="305" t="str">
        <x:v>第九轮独立登录页首次进入默认待处理；总数11，第一页10条、第二页1条，统计与列表一致。第二页目标001虽已确认，系统仍不可判定，符合待处理并集口径；现有11条样本未漏。</x:v>
      </x:c>
      <x:c r="H38" s="305" t="str">
        <x:v>Codex</x:v>
      </x:c>
      <x:c r="I38" s="304" t="n">
        <x:v>46293</x:v>
      </x:c>
      <x:c r="J38" s="305" t="str">
        <x:v>qa-r9/legality-default.txt；legality-page2.txt</x:v>
      </x:c>
      <x:c r="K38" s="305" t="str"/>
    </x:row>
    <x:row r="39" ht="160" customHeight="1">
      <x:c r="A39" s="153">
        <x:v>34</x:v>
      </x:c>
      <x:c r="B39" s="24" t="s">
        <x:v>15</x:v>
      </x:c>
      <x:c r="C39" s="25" t="s">
        <x:v>88</x:v>
      </x:c>
      <x:c r="D39" s="108" t="s">
        <x:v>181</x:v>
      </x:c>
      <x:c r="E39" s="108" t="s">
        <x:v>182</x:v>
      </x:c>
      <x:c r="F39" s="303" t="str">
        <x:v>暂时测不了</x:v>
      </x:c>
      <x:c r="G39" s="303" t="str">
        <x:v>第十轮：实际鸟类目标022不进入无人机研判；鸟类/缺失目标直链均无残留UAV信息。当前协议编译器未提供气球/风筝枚举，未知类全分支未具备。</x:v>
      </x:c>
      <x:c r="H39" s="303" t="str">
        <x:v>Codex</x:v>
      </x:c>
      <x:c r="I39" s="302" t="n">
        <x:v>46293</x:v>
      </x:c>
      <x:c r="J39" s="303" t="str">
        <x:v>bird-deeplink-fixed.txt；missing-target-deeplink.txt；scene-b-verify.json</x:v>
      </x:c>
      <x:c r="K39" s="303" t="str">
        <x:v>BUG-016已修复；协议样本缺口</x:v>
      </x:c>
    </x:row>
    <x:row r="40" ht="160" customHeight="1">
      <x:c r="A40" s="153">
        <x:v>35</x:v>
      </x:c>
      <x:c r="B40" s="24" t="s">
        <x:v>15</x:v>
      </x:c>
      <x:c r="C40" s="25" t="s">
        <x:v>94</x:v>
      </x:c>
      <x:c r="D40" s="109" t="s">
        <x:v>183</x:v>
      </x:c>
      <x:c r="E40" s="109" t="s">
        <x:v>184</x:v>
      </x:c>
      <x:c r="F40" s="303" t="str">
        <x:v>暂时测不了</x:v>
      </x:c>
      <x:c r="G40" s="303" t="str">
        <x:v>第十轮：核实位置从全部切至合法性页面得到13条，叠加非法为空并清详情；切至告警页面得到1条非法。无告警权限账号仍未具备，不能验该权限分支。</x:v>
      </x:c>
      <x:c r="H40" s="303" t="str">
        <x:v>Codex</x:v>
      </x:c>
      <x:c r="I40" s="302" t="n">
        <x:v>46293</x:v>
      </x:c>
      <x:c r="J40" s="303" t="str">
        <x:v>legality-location-filter-ui.txt；legality-filter-intersection-ui.txt；legality-alarm-location-ui.txt</x:v>
      </x:c>
      <x:c r="K40" s="303" t="str">
        <x:v>仅缺无告警权限会话分支</x:v>
      </x:c>
    </x:row>
    <x:row r="41" ht="160" customHeight="1">
      <x:c r="A41" s="153">
        <x:v>36</x:v>
      </x:c>
      <x:c r="B41" s="24" t="s">
        <x:v>15</x:v>
      </x:c>
      <x:c r="C41" s="25" t="s">
        <x:v>88</x:v>
      </x:c>
      <x:c r="D41" s="108" t="s">
        <x:v>185</x:v>
      </x:c>
      <x:c r="E41" s="108" t="s">
        <x:v>186</x:v>
      </x:c>
      <x:c r="F41" s="303" t="str">
        <x:v>暂时测不了</x:v>
      </x:c>
      <x:c r="G41" s="303" t="str">
        <x:v>第十轮：当前回放仍使用DEMO演示参数，缺依据充分且可明确判为合法的同批正向样本。</x:v>
      </x:c>
      <x:c r="H41" s="303" t="str">
        <x:v>Codex</x:v>
      </x:c>
      <x:c r="I41" s="302" t="n">
        <x:v>46293</x:v>
      </x:c>
      <x:c r="J41" s="303" t="str">
        <x:v>第十轮报告；本轮回放/页面/隔离回归证据</x:v>
      </x:c>
      <x:c r="K41" s="303" t="str">
        <x:v>场景或环境前置条件未齐</x:v>
      </x:c>
    </x:row>
    <x:row r="42" ht="160" customHeight="1">
      <x:c r="A42" s="153">
        <x:v>37</x:v>
      </x:c>
      <x:c r="B42" s="24" t="s">
        <x:v>15</x:v>
      </x:c>
      <x:c r="C42" s="25" t="s">
        <x:v>88</x:v>
      </x:c>
      <x:c r="D42" s="109" t="s">
        <x:v>187</x:v>
      </x:c>
      <x:c r="E42" s="109" t="s">
        <x:v>188</x:v>
      </x:c>
      <x:c r="F42" s="20" t="s">
        <x:v>11</x:v>
      </x:c>
      <x:c r="G42" s="20" t="s">
        <x:v>189</x:v>
      </x:c>
      <x:c r="H42" s="20" t="s">
        <x:v>92</x:v>
      </x:c>
      <x:c r="I42" s="21">
        <x:v>46293</x:v>
      </x:c>
      <x:c r="J42" s="20" t="s">
        <x:v>190</x:v>
      </x:c>
      <x:c r="K42" s="20" t="s">
        <x:v>130</x:v>
      </x:c>
    </x:row>
    <x:row r="43" ht="160" customHeight="1">
      <x:c r="A43" s="153">
        <x:v>38</x:v>
      </x:c>
      <x:c r="B43" s="24" t="s">
        <x:v>15</x:v>
      </x:c>
      <x:c r="C43" s="25" t="s">
        <x:v>88</x:v>
      </x:c>
      <x:c r="D43" s="108" t="s">
        <x:v>191</x:v>
      </x:c>
      <x:c r="E43" s="108" t="s">
        <x:v>192</x:v>
      </x:c>
      <x:c r="F43" s="303" t="str">
        <x:v>通过</x:v>
      </x:c>
      <x:c r="G43" s="303" t="str">
        <x:v>第十轮：目标020从研判跳到同事件告警核实，返回研判显示告警已核实，review_required=false；旧复核历史保持不变。</x:v>
      </x:c>
      <x:c r="H43" s="303" t="str">
        <x:v>Codex</x:v>
      </x:c>
      <x:c r="I43" s="302" t="n">
        <x:v>46293</x:v>
      </x:c>
      <x:c r="J43" s="303" t="str">
        <x:v>shared-current-evaluation.json；shared-verification-fixed-ui.txt；shared-verification-fixed-ui.png</x:v>
      </x:c>
      <x:c r="K43" s="303" t="str">
        <x:v>BUG-009已修复</x:v>
      </x:c>
    </x:row>
    <x:row r="44" ht="160" customHeight="1">
      <x:c r="A44" s="153">
        <x:v>39</x:v>
      </x:c>
      <x:c r="B44" s="24" t="s">
        <x:v>15</x:v>
      </x:c>
      <x:c r="C44" s="25" t="s">
        <x:v>88</x:v>
      </x:c>
      <x:c r="D44" s="109" t="s">
        <x:v>193</x:v>
      </x:c>
      <x:c r="E44" s="109" t="s">
        <x:v>194</x:v>
      </x:c>
      <x:c r="F44" s="20" t="s">
        <x:v>11</x:v>
      </x:c>
      <x:c r="G44" s="20" t="s">
        <x:v>195</x:v>
      </x:c>
      <x:c r="H44" s="20" t="s">
        <x:v>92</x:v>
      </x:c>
      <x:c r="I44" s="21">
        <x:v>46293</x:v>
      </x:c>
      <x:c r="J44" s="20" t="s">
        <x:v>196</x:v>
      </x:c>
      <x:c r="K44" s="20" t="s">
        <x:v>130</x:v>
      </x:c>
    </x:row>
    <x:row r="45" ht="160" customHeight="1">
      <x:c r="A45" s="153">
        <x:v>40</x:v>
      </x:c>
      <x:c r="B45" s="24" t="s">
        <x:v>15</x:v>
      </x:c>
      <x:c r="C45" s="25" t="s">
        <x:v>94</x:v>
      </x:c>
      <x:c r="D45" s="108" t="s">
        <x:v>197</x:v>
      </x:c>
      <x:c r="E45" s="108" t="s">
        <x:v>198</x:v>
      </x:c>
      <x:c r="F45" s="303" t="str">
        <x:v>暂时测不了</x:v>
      </x:c>
      <x:c r="G45" s="303" t="str">
        <x:v>第十轮：缺已确认、已驳回、已改判全部状态的当前可用研判样本及相应复核账号。</x:v>
      </x:c>
      <x:c r="H45" s="303" t="str">
        <x:v>Codex</x:v>
      </x:c>
      <x:c r="I45" s="302" t="n">
        <x:v>46293</x:v>
      </x:c>
      <x:c r="J45" s="303" t="str">
        <x:v>第十轮报告；本轮回放/页面/隔离回归证据</x:v>
      </x:c>
      <x:c r="K45" s="303" t="str">
        <x:v>场景或环境前置条件未齐</x:v>
      </x:c>
    </x:row>
    <x:row r="46" ht="160" customHeight="1">
      <x:c r="A46" s="153">
        <x:v>41</x:v>
      </x:c>
      <x:c r="B46" s="24" t="s">
        <x:v>15</x:v>
      </x:c>
      <x:c r="C46" s="25" t="s">
        <x:v>88</x:v>
      </x:c>
      <x:c r="D46" s="109" t="s">
        <x:v>199</x:v>
      </x:c>
      <x:c r="E46" s="109" t="s">
        <x:v>200</x:v>
      </x:c>
      <x:c r="F46" s="20" t="s">
        <x:v>11</x:v>
      </x:c>
      <x:c r="G46" s="20" t="s">
        <x:v>189</x:v>
      </x:c>
      <x:c r="H46" s="20" t="s">
        <x:v>92</x:v>
      </x:c>
      <x:c r="I46" s="21">
        <x:v>46293</x:v>
      </x:c>
      <x:c r="J46" s="20" t="s">
        <x:v>190</x:v>
      </x:c>
      <x:c r="K46" s="20" t="s">
        <x:v>99</x:v>
      </x:c>
    </x:row>
    <x:row r="47" ht="160" customHeight="1">
      <x:c r="A47" s="153">
        <x:v>42</x:v>
      </x:c>
      <x:c r="B47" s="24" t="s">
        <x:v>15</x:v>
      </x:c>
      <x:c r="C47" s="25" t="s">
        <x:v>94</x:v>
      </x:c>
      <x:c r="D47" s="108" t="s">
        <x:v>201</x:v>
      </x:c>
      <x:c r="E47" s="108" t="s">
        <x:v>202</x:v>
      </x:c>
      <x:c r="F47" s="20" t="s">
        <x:v>11</x:v>
      </x:c>
      <x:c r="G47" s="20" t="s">
        <x:v>203</x:v>
      </x:c>
      <x:c r="H47" s="20" t="s">
        <x:v>92</x:v>
      </x:c>
      <x:c r="I47" s="21">
        <x:v>46293</x:v>
      </x:c>
      <x:c r="J47" s="20" t="s">
        <x:v>204</x:v>
      </x:c>
      <x:c r="K47" s="20" t="s">
        <x:v>130</x:v>
      </x:c>
    </x:row>
    <x:row r="48" ht="160" customHeight="1">
      <x:c r="A48" s="153">
        <x:v>43</x:v>
      </x:c>
      <x:c r="B48" s="24" t="s">
        <x:v>15</x:v>
      </x:c>
      <x:c r="C48" s="25" t="s">
        <x:v>94</x:v>
      </x:c>
      <x:c r="D48" s="109" t="s">
        <x:v>205</x:v>
      </x:c>
      <x:c r="E48" s="109" t="s">
        <x:v>206</x:v>
      </x:c>
      <x:c r="F48" s="20" t="s">
        <x:v>11</x:v>
      </x:c>
      <x:c r="G48" s="20" t="s">
        <x:v>207</x:v>
      </x:c>
      <x:c r="H48" s="20" t="s">
        <x:v>92</x:v>
      </x:c>
      <x:c r="I48" s="21">
        <x:v>46293</x:v>
      </x:c>
      <x:c r="J48" s="20" t="s">
        <x:v>208</x:v>
      </x:c>
      <x:c r="K48" s="20" t="s">
        <x:v>209</x:v>
      </x:c>
    </x:row>
    <x:row r="49" ht="160" customHeight="1">
      <x:c r="A49" s="153">
        <x:v>44</x:v>
      </x:c>
      <x:c r="B49" s="24" t="s">
        <x:v>15</x:v>
      </x:c>
      <x:c r="C49" s="25" t="s">
        <x:v>88</x:v>
      </x:c>
      <x:c r="D49" s="108" t="s">
        <x:v>210</x:v>
      </x:c>
      <x:c r="E49" s="108" t="s">
        <x:v>211</x:v>
      </x:c>
      <x:c r="F49" s="303" t="str">
        <x:v>暂时测不了</x:v>
      </x:c>
      <x:c r="G49" s="303" t="str">
        <x:v>第十轮：缺授权的动态分类修订样本及无告警读取权限会话；已测BIRD/缺失目标直链不串详情。</x:v>
      </x:c>
      <x:c r="H49" s="303" t="str">
        <x:v>Codex</x:v>
      </x:c>
      <x:c r="I49" s="302" t="n">
        <x:v>46293</x:v>
      </x:c>
      <x:c r="J49" s="303" t="str">
        <x:v>第十轮报告；本轮回放/页面/隔离回归证据</x:v>
      </x:c>
      <x:c r="K49" s="303" t="str">
        <x:v>场景或环境前置条件未齐</x:v>
      </x:c>
    </x:row>
    <x:row r="50" ht="120" customHeight="1">
      <x:c r="A50" s="154">
        <x:v>45</x:v>
      </x:c>
      <x:c r="B50" s="155" t="s">
        <x:v>16</x:v>
      </x:c>
      <x:c r="C50" s="156" t="s">
        <x:v>94</x:v>
      </x:c>
      <x:c r="D50" s="157" t="s">
        <x:v>212</x:v>
      </x:c>
      <x:c r="E50" s="157" t="s">
        <x:v>213</x:v>
      </x:c>
      <x:c r="F50" s="158" t="s">
        <x:v>11</x:v>
      </x:c>
      <x:c r="G50" s="158" t="s">
        <x:v>214</x:v>
      </x:c>
      <x:c r="H50" s="158" t="s">
        <x:v>92</x:v>
      </x:c>
      <x:c r="I50" s="159">
        <x:v>46292</x:v>
      </x:c>
      <x:c r="J50" s="158" t="s">
        <x:v>215</x:v>
      </x:c>
      <x:c r="K50" s="158" t="s">
        <x:v>62</x:v>
      </x:c>
    </x:row>
    <x:row r="51" ht="160" customHeight="1">
      <x:c r="A51" s="160">
        <x:v>46</x:v>
      </x:c>
      <x:c r="B51" s="161" t="s">
        <x:v>16</x:v>
      </x:c>
      <x:c r="C51" s="162" t="s">
        <x:v>88</x:v>
      </x:c>
      <x:c r="D51" s="108" t="s">
        <x:v>216</x:v>
      </x:c>
      <x:c r="E51" s="108" t="s">
        <x:v>217</x:v>
      </x:c>
      <x:c r="F51" s="303" t="str">
        <x:v>暂时测不了</x:v>
      </x:c>
      <x:c r="G51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51" s="303" t="str">
        <x:v>Codex</x:v>
      </x:c>
      <x:c r="I51" s="302" t="n">
        <x:v>46293</x:v>
      </x:c>
      <x:c r="J51" s="303" t="str">
        <x:v>本轮报告；隔离回归日志；既有第八/九轮证据保留</x:v>
      </x:c>
      <x:c r="K51" s="303" t="str">
        <x:v>前置条件未齐</x:v>
      </x:c>
    </x:row>
    <x:row r="52" ht="160" customHeight="1">
      <x:c r="A52" s="160">
        <x:v>47</x:v>
      </x:c>
      <x:c r="B52" s="161" t="s">
        <x:v>16</x:v>
      </x:c>
      <x:c r="C52" s="162" t="s">
        <x:v>94</x:v>
      </x:c>
      <x:c r="D52" s="109" t="s">
        <x:v>218</x:v>
      </x:c>
      <x:c r="E52" s="109" t="s">
        <x:v>219</x:v>
      </x:c>
      <x:c r="F52" s="303" t="str">
        <x:v>暂时测不了</x:v>
      </x:c>
      <x:c r="G52" s="303" t="str">
        <x:v>第十轮：缺同批次持续风险和已解除历史风险成对样本；现有状态不人工改写。</x:v>
      </x:c>
      <x:c r="H52" s="303" t="str">
        <x:v>Codex</x:v>
      </x:c>
      <x:c r="I52" s="302" t="n">
        <x:v>46293</x:v>
      </x:c>
      <x:c r="J52" s="303" t="str">
        <x:v>第十轮报告；本轮回放/页面/隔离回归证据</x:v>
      </x:c>
      <x:c r="K52" s="303" t="str">
        <x:v>场景或环境前置条件未齐</x:v>
      </x:c>
    </x:row>
    <x:row r="53" ht="160" customHeight="1">
      <x:c r="A53" s="160">
        <x:v>48</x:v>
      </x:c>
      <x:c r="B53" s="161" t="s">
        <x:v>16</x:v>
      </x:c>
      <x:c r="C53" s="162" t="s">
        <x:v>94</x:v>
      </x:c>
      <x:c r="D53" s="108" t="s">
        <x:v>220</x:v>
      </x:c>
      <x:c r="E53" s="108" t="s">
        <x:v>221</x:v>
      </x:c>
      <x:c r="F53" s="303" t="str">
        <x:v>暂时测不了</x:v>
      </x:c>
      <x:c r="G53" s="303" t="str">
        <x:v>第十轮：缺与本事件对应的可控反制/干扰/光电测试设备及可信最终回执；MQTT工参只证明连接和工作状态，健康UNKNOWN不能当GOOD，不能伪造实机收令或停机核查。</x:v>
      </x:c>
      <x:c r="H53" s="303" t="str">
        <x:v>Codex</x:v>
      </x:c>
      <x:c r="I53" s="302" t="n">
        <x:v>46293</x:v>
      </x:c>
      <x:c r="J53" s="303" t="str">
        <x:v>本轮报告；隔离回归日志；既有第八/九轮证据保留</x:v>
      </x:c>
      <x:c r="K53" s="303" t="str">
        <x:v>前置条件未齐</x:v>
      </x:c>
    </x:row>
    <x:row r="54" ht="160" customHeight="1">
      <x:c r="A54" s="160">
        <x:v>49</x:v>
      </x:c>
      <x:c r="B54" s="161" t="s">
        <x:v>16</x:v>
      </x:c>
      <x:c r="C54" s="162" t="s">
        <x:v>88</x:v>
      </x:c>
      <x:c r="D54" s="109" t="s">
        <x:v>222</x:v>
      </x:c>
      <x:c r="E54" s="109" t="s">
        <x:v>223</x:v>
      </x:c>
      <x:c r="F54" s="303" t="str">
        <x:v>暂时测不了</x:v>
      </x:c>
      <x:c r="G54" s="303" t="str">
        <x:v>第十轮：缺与本事件对应的可控反制/干扰/光电测试设备及可信最终回执；MQTT工参只证明连接和工作状态，健康UNKNOWN不能当GOOD，不能伪造实机收令或停机核查。</x:v>
      </x:c>
      <x:c r="H54" s="303" t="str">
        <x:v>Codex</x:v>
      </x:c>
      <x:c r="I54" s="302" t="n">
        <x:v>46293</x:v>
      </x:c>
      <x:c r="J54" s="303" t="str">
        <x:v>本轮报告；隔离回归日志；既有第八/九轮证据保留</x:v>
      </x:c>
      <x:c r="K54" s="303" t="str">
        <x:v>前置条件未齐</x:v>
      </x:c>
    </x:row>
    <x:row r="55" ht="160" customHeight="1">
      <x:c r="A55" s="160">
        <x:v>50</x:v>
      </x:c>
      <x:c r="B55" s="161" t="s">
        <x:v>16</x:v>
      </x:c>
      <x:c r="C55" s="162" t="s">
        <x:v>94</x:v>
      </x:c>
      <x:c r="D55" s="108" t="s">
        <x:v>224</x:v>
      </x:c>
      <x:c r="E55" s="108" t="s">
        <x:v>225</x:v>
      </x:c>
      <x:c r="F55" s="303" t="str">
        <x:v>通过</x:v>
      </x:c>
      <x:c r="G55" s="303" t="str">
        <x:v>第九轮查看QA第五轮允许区详情：仅空域资料及范围内风险，无关联规则详情/规则编辑入口。名称中的&lt;b&gt;文字和&amp;按普通文本显示；可进入范围内风险监测，原有模拟模式明确标示。</x:v>
      </x:c>
      <x:c r="H55" s="303" t="str">
        <x:v>Codex</x:v>
      </x:c>
      <x:c r="I55" s="302" t="n">
        <x:v>46293</x:v>
      </x:c>
      <x:c r="J55" s="303" t="str">
        <x:v>qa-r9/airspace-detail.txt；airspace-risk.txt</x:v>
      </x:c>
      <x:c r="K55" s="303" t="str"/>
    </x:row>
    <x:row r="56" ht="160" customHeight="1">
      <x:c r="A56" s="163">
        <x:v>51</x:v>
      </x:c>
      <x:c r="B56" s="164" t="s">
        <x:v>17</x:v>
      </x:c>
      <x:c r="C56" s="165" t="s">
        <x:v>88</x:v>
      </x:c>
      <x:c r="D56" s="166" t="s">
        <x:v>226</x:v>
      </x:c>
      <x:c r="E56" s="166" t="s">
        <x:v>227</x:v>
      </x:c>
      <x:c r="F56" s="307" t="str">
        <x:v>通过</x:v>
      </x:c>
      <x:c r="G56" s="307" t="str">
        <x:v>承接第八轮通过正式API分别核实/排除及历史、409/403/400验证；第九轮补齐页面：风险003核验通过、待核验→待通知历史1条，风险002已排除及历史1条；已排除详情不再提供重复核验或通知操作。</x:v>
      </x:c>
      <x:c r="H56" s="307" t="str">
        <x:v>Codex</x:v>
      </x:c>
      <x:c r="I56" s="306" t="n">
        <x:v>46293</x:v>
      </x:c>
      <x:c r="J56" s="307" t="str">
        <x:v>第八轮r8-risk-final.json；qa-r9/risk-notified-detail.txt；risk-excluded-detail.txt</x:v>
      </x:c>
      <x:c r="K56" s="307" t="str"/>
    </x:row>
    <x:row r="57" ht="160" customHeight="1">
      <x:c r="A57" s="169">
        <x:v>52</x:v>
      </x:c>
      <x:c r="B57" s="170" t="s">
        <x:v>17</x:v>
      </x:c>
      <x:c r="C57" s="171" t="s">
        <x:v>88</x:v>
      </x:c>
      <x:c r="D57" s="108" t="s">
        <x:v>228</x:v>
      </x:c>
      <x:c r="E57" s="108" t="s">
        <x:v>229</x:v>
      </x:c>
      <x:c r="F57" s="303" t="str">
        <x:v>暂时测不了</x:v>
      </x:c>
      <x:c r="G57" s="303" t="str">
        <x:v>第十轮：缺本次已核验风险及获准测试接收对象的完整通知链。</x:v>
      </x:c>
      <x:c r="H57" s="303" t="str">
        <x:v>Codex</x:v>
      </x:c>
      <x:c r="I57" s="302" t="n">
        <x:v>46293</x:v>
      </x:c>
      <x:c r="J57" s="303" t="str">
        <x:v>第十轮报告；本轮回放/页面/隔离回归证据</x:v>
      </x:c>
      <x:c r="K57" s="303" t="str">
        <x:v>场景或环境前置条件未齐</x:v>
      </x:c>
    </x:row>
    <x:row r="58" ht="160" customHeight="1">
      <x:c r="A58" s="169">
        <x:v>53</x:v>
      </x:c>
      <x:c r="B58" s="170" t="s">
        <x:v>17</x:v>
      </x:c>
      <x:c r="C58" s="171" t="s">
        <x:v>94</x:v>
      </x:c>
      <x:c r="D58" s="109" t="s">
        <x:v>230</x:v>
      </x:c>
      <x:c r="E58" s="109" t="s">
        <x:v>231</x:v>
      </x:c>
      <x:c r="F58" s="303" t="str">
        <x:v>通过</x:v>
      </x:c>
      <x:c r="G58" s="303" t="str">
        <x:v>第九轮在全部风险事件打开风险003通知与回执：仅通知上级记录、等待发送、回复与未完成原因；无核验/改判按钮，处理历史保留在风险详情。提示通知配置尚未启用；本项通过仅指页签职责边界，不代表通知已送达。</x:v>
      </x:c>
      <x:c r="H58" s="303" t="str">
        <x:v>Codex</x:v>
      </x:c>
      <x:c r="I58" s="302" t="n">
        <x:v>46293</x:v>
      </x:c>
      <x:c r="J58" s="303" t="str">
        <x:v>qa-r9/risk-notice-tab.txt；risk-notified-detail.txt</x:v>
      </x:c>
      <x:c r="K58" s="303" t="str"/>
    </x:row>
    <x:row r="59" ht="160" customHeight="1">
      <x:c r="A59" s="169">
        <x:v>54</x:v>
      </x:c>
      <x:c r="B59" s="170" t="s">
        <x:v>17</x:v>
      </x:c>
      <x:c r="C59" s="171" t="s">
        <x:v>88</x:v>
      </x:c>
      <x:c r="D59" s="108" t="s">
        <x:v>232</x:v>
      </x:c>
      <x:c r="E59" s="108" t="s">
        <x:v>233</x:v>
      </x:c>
      <x:c r="F59" s="303" t="str">
        <x:v>暂时测不了</x:v>
      </x:c>
      <x:c r="G59" s="303" t="str">
        <x:v>第十轮：缺独立失败、等待、送达、超时四类本次投递回执，不能以空收件箱代替。</x:v>
      </x:c>
      <x:c r="H59" s="303" t="str">
        <x:v>Codex</x:v>
      </x:c>
      <x:c r="I59" s="302" t="n">
        <x:v>46293</x:v>
      </x:c>
      <x:c r="J59" s="303" t="str">
        <x:v>第十轮报告；本轮回放/页面/隔离回归证据</x:v>
      </x:c>
      <x:c r="K59" s="303" t="str">
        <x:v>场景或环境前置条件未齐</x:v>
      </x:c>
    </x:row>
    <x:row r="60" ht="160" customHeight="1">
      <x:c r="A60" s="169">
        <x:v>55</x:v>
      </x:c>
      <x:c r="B60" s="170" t="s">
        <x:v>17</x:v>
      </x:c>
      <x:c r="C60" s="171" t="s">
        <x:v>88</x:v>
      </x:c>
      <x:c r="D60" s="109" t="s">
        <x:v>234</x:v>
      </x:c>
      <x:c r="E60" s="109" t="s">
        <x:v>235</x:v>
      </x:c>
      <x:c r="F60" s="303" t="str">
        <x:v>暂时测不了</x:v>
      </x:c>
      <x:c r="G60" s="303" t="str">
        <x:v>第十轮：缺对应风险的上级签收及之后有效解除依据；不能把签收直接当解除。</x:v>
      </x:c>
      <x:c r="H60" s="303" t="str">
        <x:v>Codex</x:v>
      </x:c>
      <x:c r="I60" s="302" t="n">
        <x:v>46293</x:v>
      </x:c>
      <x:c r="J60" s="303" t="str">
        <x:v>第十轮报告；本轮回放/页面/隔离回归证据</x:v>
      </x:c>
      <x:c r="K60" s="303" t="str">
        <x:v>场景或环境前置条件未齐</x:v>
      </x:c>
    </x:row>
    <x:row r="61" ht="160" customHeight="1">
      <x:c r="A61" s="169">
        <x:v>56</x:v>
      </x:c>
      <x:c r="B61" s="170" t="s">
        <x:v>17</x:v>
      </x:c>
      <x:c r="C61" s="171" t="s">
        <x:v>94</x:v>
      </x:c>
      <x:c r="D61" s="108" t="s">
        <x:v>236</x:v>
      </x:c>
      <x:c r="E61" s="108" t="s">
        <x:v>237</x:v>
      </x:c>
      <x:c r="F61" s="303" t="str">
        <x:v>暂时测不了</x:v>
      </x:c>
      <x:c r="G61" s="303" t="str">
        <x:v>第十轮：缺同一风险过期天气和新鲜解除依据的独立边界样本。</x:v>
      </x:c>
      <x:c r="H61" s="303" t="str">
        <x:v>Codex</x:v>
      </x:c>
      <x:c r="I61" s="302" t="n">
        <x:v>46293</x:v>
      </x:c>
      <x:c r="J61" s="303" t="str">
        <x:v>第十轮报告；本轮回放/页面/隔离回归证据</x:v>
      </x:c>
      <x:c r="K61" s="303" t="str">
        <x:v>场景或环境前置条件未齐</x:v>
      </x:c>
    </x:row>
    <x:row r="62" ht="145" customHeight="1">
      <x:c r="A62" s="172">
        <x:v>57</x:v>
      </x:c>
      <x:c r="B62" s="173" t="s">
        <x:v>18</x:v>
      </x:c>
      <x:c r="C62" s="174" t="s">
        <x:v>88</x:v>
      </x:c>
      <x:c r="D62" s="175" t="s">
        <x:v>238</x:v>
      </x:c>
      <x:c r="E62" s="175" t="s">
        <x:v>239</x:v>
      </x:c>
      <x:c r="F62" s="176" t="s">
        <x:v>11</x:v>
      </x:c>
      <x:c r="G62" s="176" t="s">
        <x:v>240</x:v>
      </x:c>
      <x:c r="H62" s="176" t="s">
        <x:v>92</x:v>
      </x:c>
      <x:c r="I62" s="177">
        <x:v>46293</x:v>
      </x:c>
      <x:c r="J62" s="176" t="s">
        <x:v>241</x:v>
      </x:c>
      <x:c r="K62" s="176" t="s">
        <x:v>62</x:v>
      </x:c>
    </x:row>
    <x:row r="63" ht="160" customHeight="1">
      <x:c r="A63" s="178">
        <x:v>58</x:v>
      </x:c>
      <x:c r="B63" s="26" t="s">
        <x:v>18</x:v>
      </x:c>
      <x:c r="C63" s="27" t="s">
        <x:v>88</x:v>
      </x:c>
      <x:c r="D63" s="108" t="s">
        <x:v>242</x:v>
      </x:c>
      <x:c r="E63" s="108" t="s">
        <x:v>243</x:v>
      </x:c>
      <x:c r="F63" s="20" t="s">
        <x:v>11</x:v>
      </x:c>
      <x:c r="G63" s="20" t="s">
        <x:v>244</x:v>
      </x:c>
      <x:c r="H63" s="20" t="s">
        <x:v>92</x:v>
      </x:c>
      <x:c r="I63" s="21">
        <x:v>46293</x:v>
      </x:c>
      <x:c r="J63" s="20" t="s">
        <x:v>245</x:v>
      </x:c>
      <x:c r="K63" s="20" t="s">
        <x:v>130</x:v>
      </x:c>
    </x:row>
    <x:row r="64" ht="160" customHeight="1">
      <x:c r="A64" s="178">
        <x:v>59</x:v>
      </x:c>
      <x:c r="B64" s="26" t="s">
        <x:v>18</x:v>
      </x:c>
      <x:c r="C64" s="27" t="s">
        <x:v>88</x:v>
      </x:c>
      <x:c r="D64" s="109" t="s">
        <x:v>246</x:v>
      </x:c>
      <x:c r="E64" s="109" t="s">
        <x:v>247</x:v>
      </x:c>
      <x:c r="F64" s="20" t="s">
        <x:v>11</x:v>
      </x:c>
      <x:c r="G64" s="20" t="s">
        <x:v>248</x:v>
      </x:c>
      <x:c r="H64" s="20" t="s">
        <x:v>92</x:v>
      </x:c>
      <x:c r="I64" s="21">
        <x:v>46293</x:v>
      </x:c>
      <x:c r="J64" s="20" t="s">
        <x:v>249</x:v>
      </x:c>
      <x:c r="K64" s="20" t="s">
        <x:v>130</x:v>
      </x:c>
    </x:row>
    <x:row r="65" ht="160" customHeight="1">
      <x:c r="A65" s="178">
        <x:v>60</x:v>
      </x:c>
      <x:c r="B65" s="26" t="s">
        <x:v>18</x:v>
      </x:c>
      <x:c r="C65" s="27" t="s">
        <x:v>94</x:v>
      </x:c>
      <x:c r="D65" s="108" t="s">
        <x:v>250</x:v>
      </x:c>
      <x:c r="E65" s="108" t="s">
        <x:v>251</x:v>
      </x:c>
      <x:c r="F65" s="303" t="str">
        <x:v>通过</x:v>
      </x:c>
      <x:c r="G65" s="303" t="str">
        <x:v>第十轮：可见菜单叠加等级中与已确认状态得到7条，接口同为7；清筛选为13条，第二页3条；反制/告警页签往返正常，六张顶部卡片均约261.66×99.99，大小一致。</x:v>
      </x:c>
      <x:c r="H65" s="303" t="str">
        <x:v>Codex</x:v>
      </x:c>
      <x:c r="I65" s="302" t="n">
        <x:v>46293</x:v>
      </x:c>
      <x:c r="J65" s="303" t="str">
        <x:v>alarm-combined-final-ui.txt；alarm-page2-ui.txt；alarm-tab-return-ui.txt</x:v>
      </x:c>
      <x:c r="K65" s="303" t="str"/>
    </x:row>
    <x:row r="66" ht="160" customHeight="1">
      <x:c r="A66" s="178">
        <x:v>61</x:v>
      </x:c>
      <x:c r="B66" s="26" t="s">
        <x:v>18</x:v>
      </x:c>
      <x:c r="C66" s="27" t="s">
        <x:v>88</x:v>
      </x:c>
      <x:c r="D66" s="109" t="s">
        <x:v>252</x:v>
      </x:c>
      <x:c r="E66" s="109" t="s">
        <x:v>253</x:v>
      </x:c>
      <x:c r="F66" s="303" t="str">
        <x:v>暂时测不了</x:v>
      </x:c>
      <x:c r="G66" s="303" t="str">
        <x:v>第十轮：当前取消现场观察写入按基线生效；尚缺本业务库可定位的旧现场冻结记录供页面只读对照。</x:v>
      </x:c>
      <x:c r="H66" s="303" t="str">
        <x:v>Codex</x:v>
      </x:c>
      <x:c r="I66" s="302" t="n">
        <x:v>46293</x:v>
      </x:c>
      <x:c r="J66" s="303" t="str">
        <x:v>第十轮报告；本轮回放/页面/隔离回归证据</x:v>
      </x:c>
      <x:c r="K66" s="303" t="str">
        <x:v>场景或环境前置条件未齐</x:v>
      </x:c>
    </x:row>
    <x:row r="67" ht="160" customHeight="1">
      <x:c r="A67" s="178">
        <x:v>62</x:v>
      </x:c>
      <x:c r="B67" s="26" t="s">
        <x:v>18</x:v>
      </x:c>
      <x:c r="C67" s="27" t="s">
        <x:v>94</x:v>
      </x:c>
      <x:c r="D67" s="108" t="s">
        <x:v>254</x:v>
      </x:c>
      <x:c r="E67" s="108" t="s">
        <x:v>255</x:v>
      </x:c>
      <x:c r="F67" s="20" t="s">
        <x:v>11</x:v>
      </x:c>
      <x:c r="G67" s="20" t="s">
        <x:v>256</x:v>
      </x:c>
      <x:c r="H67" s="20" t="s">
        <x:v>92</x:v>
      </x:c>
      <x:c r="I67" s="21">
        <x:v>46293</x:v>
      </x:c>
      <x:c r="J67" s="20" t="s">
        <x:v>257</x:v>
      </x:c>
      <x:c r="K67" s="20" t="s">
        <x:v>130</x:v>
      </x:c>
    </x:row>
    <x:row r="68" ht="160" customHeight="1">
      <x:c r="A68" s="178">
        <x:v>63</x:v>
      </x:c>
      <x:c r="B68" s="26" t="s">
        <x:v>18</x:v>
      </x:c>
      <x:c r="C68" s="27" t="s">
        <x:v>88</x:v>
      </x:c>
      <x:c r="D68" s="109" t="s">
        <x:v>258</x:v>
      </x:c>
      <x:c r="E68" s="109" t="s">
        <x:v>259</x:v>
      </x:c>
      <x:c r="F68" s="20" t="s">
        <x:v>11</x:v>
      </x:c>
      <x:c r="G68" s="20" t="s">
        <x:v>244</x:v>
      </x:c>
      <x:c r="H68" s="20" t="s">
        <x:v>92</x:v>
      </x:c>
      <x:c r="I68" s="21">
        <x:v>46293</x:v>
      </x:c>
      <x:c r="J68" s="20" t="s">
        <x:v>245</x:v>
      </x:c>
      <x:c r="K68" s="20" t="s">
        <x:v>130</x:v>
      </x:c>
    </x:row>
    <x:row r="69" ht="160" customHeight="1">
      <x:c r="A69" s="178">
        <x:v>64</x:v>
      </x:c>
      <x:c r="B69" s="26" t="s">
        <x:v>18</x:v>
      </x:c>
      <x:c r="C69" s="27" t="s">
        <x:v>88</x:v>
      </x:c>
      <x:c r="D69" s="108" t="s">
        <x:v>260</x:v>
      </x:c>
      <x:c r="E69" s="108" t="s">
        <x:v>261</x:v>
      </x:c>
      <x:c r="F69" s="303" t="str">
        <x:v>暂时测不了</x:v>
      </x:c>
      <x:c r="G69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69" s="303" t="str">
        <x:v>Codex</x:v>
      </x:c>
      <x:c r="I69" s="302" t="n">
        <x:v>46293</x:v>
      </x:c>
      <x:c r="J69" s="303" t="str">
        <x:v>本轮报告；隔离回归日志；既有第八/九轮证据保留</x:v>
      </x:c>
      <x:c r="K69" s="303" t="str">
        <x:v>前置条件未齐</x:v>
      </x:c>
    </x:row>
    <x:row r="70" ht="160" customHeight="1">
      <x:c r="A70" s="178">
        <x:v>65</x:v>
      </x:c>
      <x:c r="B70" s="26" t="s">
        <x:v>18</x:v>
      </x:c>
      <x:c r="C70" s="27" t="s">
        <x:v>94</x:v>
      </x:c>
      <x:c r="D70" s="109" t="s">
        <x:v>262</x:v>
      </x:c>
      <x:c r="E70" s="109" t="s">
        <x:v>263</x:v>
      </x:c>
      <x:c r="F70" s="303" t="str">
        <x:v>暂时测不了</x:v>
      </x:c>
      <x:c r="G70" s="303" t="str">
        <x:v>第十轮：告警视频收起展开分支已检查，无有效光电任务提示明确；反制授权及真实视频流未具备。</x:v>
      </x:c>
      <x:c r="H70" s="303" t="str">
        <x:v>Codex</x:v>
      </x:c>
      <x:c r="I70" s="302" t="n">
        <x:v>46293</x:v>
      </x:c>
      <x:c r="J70" s="303" t="str">
        <x:v>video-collapsed.txt</x:v>
      </x:c>
      <x:c r="K70" s="303" t="str">
        <x:v>反制与光电前置条件</x:v>
      </x:c>
    </x:row>
    <x:row r="71" ht="160" customHeight="1">
      <x:c r="A71" s="179">
        <x:v>66</x:v>
      </x:c>
      <x:c r="B71" s="180" t="s">
        <x:v>19</x:v>
      </x:c>
      <x:c r="C71" s="181" t="s">
        <x:v>88</x:v>
      </x:c>
      <x:c r="D71" s="182" t="s">
        <x:v>264</x:v>
      </x:c>
      <x:c r="E71" s="182" t="s">
        <x:v>265</x:v>
      </x:c>
      <x:c r="F71" s="316" t="str">
        <x:v>暂时测不了</x:v>
      </x:c>
      <x:c r="G71" s="316" t="str">
        <x:v>第十轮：当前QA短信/电话未启用，且缺本批次核验飞手和完整送达/播放/持续位置链；现有隔离回归通过，但不能当作现场通知闭环。</x:v>
      </x:c>
      <x:c r="H71" s="316" t="str">
        <x:v>Codex</x:v>
      </x:c>
      <x:c r="I71" s="315" t="n">
        <x:v>46293</x:v>
      </x:c>
      <x:c r="J71" s="316" t="str">
        <x:v>本轮报告；隔离回归日志；既有第八/九轮证据保留</x:v>
      </x:c>
      <x:c r="K71" s="316" t="str">
        <x:v>前置条件未齐</x:v>
      </x:c>
    </x:row>
    <x:row r="72" ht="160" customHeight="1">
      <x:c r="A72" s="185">
        <x:v>67</x:v>
      </x:c>
      <x:c r="B72" s="30" t="s">
        <x:v>19</x:v>
      </x:c>
      <x:c r="C72" s="31" t="s">
        <x:v>88</x:v>
      </x:c>
      <x:c r="D72" s="109" t="s">
        <x:v>266</x:v>
      </x:c>
      <x:c r="E72" s="109" t="s">
        <x:v>267</x:v>
      </x:c>
      <x:c r="F72" s="20" t="s">
        <x:v>11</x:v>
      </x:c>
      <x:c r="G72" s="20" t="s">
        <x:v>244</x:v>
      </x:c>
      <x:c r="H72" s="20" t="s">
        <x:v>92</x:v>
      </x:c>
      <x:c r="I72" s="21">
        <x:v>46293</x:v>
      </x:c>
      <x:c r="J72" s="20" t="s">
        <x:v>245</x:v>
      </x:c>
      <x:c r="K72" s="20" t="s">
        <x:v>130</x:v>
      </x:c>
    </x:row>
    <x:row r="73" ht="160" customHeight="1">
      <x:c r="A73" s="185">
        <x:v>68</x:v>
      </x:c>
      <x:c r="B73" s="30" t="s">
        <x:v>19</x:v>
      </x:c>
      <x:c r="C73" s="31" t="s">
        <x:v>88</x:v>
      </x:c>
      <x:c r="D73" s="108" t="s">
        <x:v>268</x:v>
      </x:c>
      <x:c r="E73" s="108" t="s">
        <x:v>269</x:v>
      </x:c>
      <x:c r="F73" s="303" t="str">
        <x:v>暂时测不了</x:v>
      </x:c>
      <x:c r="G73" s="303" t="str">
        <x:v>第十轮：当前QA短信/电话未启用，且缺本批次核验飞手和完整送达/播放/持续位置链；现有隔离回归通过，但不能当作现场通知闭环。</x:v>
      </x:c>
      <x:c r="H73" s="303" t="str">
        <x:v>Codex</x:v>
      </x:c>
      <x:c r="I73" s="302" t="n">
        <x:v>46293</x:v>
      </x:c>
      <x:c r="J73" s="303" t="str">
        <x:v>本轮报告；隔离回归日志；既有第八/九轮证据保留</x:v>
      </x:c>
      <x:c r="K73" s="303" t="str">
        <x:v>前置条件未齐</x:v>
      </x:c>
    </x:row>
    <x:row r="74" ht="160" customHeight="1">
      <x:c r="A74" s="185">
        <x:v>69</x:v>
      </x:c>
      <x:c r="B74" s="30" t="s">
        <x:v>19</x:v>
      </x:c>
      <x:c r="C74" s="31" t="s">
        <x:v>88</x:v>
      </x:c>
      <x:c r="D74" s="109" t="s">
        <x:v>270</x:v>
      </x:c>
      <x:c r="E74" s="109" t="s">
        <x:v>271</x:v>
      </x:c>
      <x:c r="F74" s="303" t="str">
        <x:v>暂时测不了</x:v>
      </x:c>
      <x:c r="G74" s="303" t="str">
        <x:v>第十轮：当前QA短信/电话未启用，且缺本批次核验飞手和完整送达/播放/持续位置链；现有隔离回归通过，但不能当作现场通知闭环。</x:v>
      </x:c>
      <x:c r="H74" s="303" t="str">
        <x:v>Codex</x:v>
      </x:c>
      <x:c r="I74" s="302" t="n">
        <x:v>46293</x:v>
      </x:c>
      <x:c r="J74" s="303" t="str">
        <x:v>本轮报告；隔离回归日志；既有第八/九轮证据保留</x:v>
      </x:c>
      <x:c r="K74" s="303" t="str">
        <x:v>前置条件未齐</x:v>
      </x:c>
    </x:row>
    <x:row r="75" ht="160" customHeight="1">
      <x:c r="A75" s="185">
        <x:v>70</x:v>
      </x:c>
      <x:c r="B75" s="30" t="s">
        <x:v>19</x:v>
      </x:c>
      <x:c r="C75" s="31" t="s">
        <x:v>88</x:v>
      </x:c>
      <x:c r="D75" s="108" t="s">
        <x:v>272</x:v>
      </x:c>
      <x:c r="E75" s="108" t="s">
        <x:v>273</x:v>
      </x:c>
      <x:c r="F75" s="303" t="str">
        <x:v>暂时测不了</x:v>
      </x:c>
      <x:c r="G75" s="303" t="str">
        <x:v>第十轮：当前QA短信/电话未启用，且缺本批次核验飞手和完整送达/播放/持续位置链；现有隔离回归通过，但不能当作现场通知闭环。</x:v>
      </x:c>
      <x:c r="H75" s="303" t="str">
        <x:v>Codex</x:v>
      </x:c>
      <x:c r="I75" s="302" t="n">
        <x:v>46293</x:v>
      </x:c>
      <x:c r="J75" s="303" t="str">
        <x:v>本轮报告；隔离回归日志；既有第八/九轮证据保留</x:v>
      </x:c>
      <x:c r="K75" s="303" t="str">
        <x:v>前置条件未齐</x:v>
      </x:c>
    </x:row>
    <x:row r="76" ht="160" customHeight="1">
      <x:c r="A76" s="185">
        <x:v>71</x:v>
      </x:c>
      <x:c r="B76" s="30" t="s">
        <x:v>19</x:v>
      </x:c>
      <x:c r="C76" s="31" t="s">
        <x:v>88</x:v>
      </x:c>
      <x:c r="D76" s="109" t="s">
        <x:v>274</x:v>
      </x:c>
      <x:c r="E76" s="109" t="s">
        <x:v>275</x:v>
      </x:c>
      <x:c r="F76" s="303" t="str">
        <x:v>暂时测不了</x:v>
      </x:c>
      <x:c r="G76" s="303" t="str">
        <x:v>第十轮：当前QA短信/电话未启用，且缺本批次核验飞手和完整送达/播放/持续位置链；现有隔离回归通过，但不能当作现场通知闭环。</x:v>
      </x:c>
      <x:c r="H76" s="303" t="str">
        <x:v>Codex</x:v>
      </x:c>
      <x:c r="I76" s="302" t="n">
        <x:v>46293</x:v>
      </x:c>
      <x:c r="J76" s="303" t="str">
        <x:v>本轮报告；隔离回归日志；既有第八/九轮证据保留</x:v>
      </x:c>
      <x:c r="K76" s="303" t="str">
        <x:v>前置条件未齐</x:v>
      </x:c>
    </x:row>
    <x:row r="77" ht="160" customHeight="1">
      <x:c r="A77" s="185">
        <x:v>72</x:v>
      </x:c>
      <x:c r="B77" s="30" t="s">
        <x:v>19</x:v>
      </x:c>
      <x:c r="C77" s="31" t="s">
        <x:v>88</x:v>
      </x:c>
      <x:c r="D77" s="108" t="s">
        <x:v>276</x:v>
      </x:c>
      <x:c r="E77" s="108" t="s">
        <x:v>277</x:v>
      </x:c>
      <x:c r="F77" s="303" t="str">
        <x:v>暂时测不了</x:v>
      </x:c>
      <x:c r="G77" s="303" t="str">
        <x:v>第十轮：当前QA短信/电话未启用，且缺本批次核验飞手和完整送达/播放/持续位置链；现有隔离回归通过，但不能当作现场通知闭环。</x:v>
      </x:c>
      <x:c r="H77" s="303" t="str">
        <x:v>Codex</x:v>
      </x:c>
      <x:c r="I77" s="302" t="n">
        <x:v>46293</x:v>
      </x:c>
      <x:c r="J77" s="303" t="str">
        <x:v>本轮报告；隔离回归日志；既有第八/九轮证据保留</x:v>
      </x:c>
      <x:c r="K77" s="303" t="str">
        <x:v>前置条件未齐</x:v>
      </x:c>
    </x:row>
    <x:row r="78" ht="160" customHeight="1">
      <x:c r="A78" s="185">
        <x:v>73</x:v>
      </x:c>
      <x:c r="B78" s="30" t="s">
        <x:v>19</x:v>
      </x:c>
      <x:c r="C78" s="31" t="s">
        <x:v>88</x:v>
      </x:c>
      <x:c r="D78" s="109" t="s">
        <x:v>278</x:v>
      </x:c>
      <x:c r="E78" s="109" t="s">
        <x:v>279</x:v>
      </x:c>
      <x:c r="F78" s="303" t="str">
        <x:v>暂时测不了</x:v>
      </x:c>
      <x:c r="G78" s="303" t="str">
        <x:v>第十轮：当前QA短信/电话未启用，且缺本批次核验飞手和完整送达/播放/持续位置链；现有隔离回归通过，但不能当作现场通知闭环。</x:v>
      </x:c>
      <x:c r="H78" s="303" t="str">
        <x:v>Codex</x:v>
      </x:c>
      <x:c r="I78" s="302" t="n">
        <x:v>46293</x:v>
      </x:c>
      <x:c r="J78" s="303" t="str">
        <x:v>本轮报告；隔离回归日志；既有第八/九轮证据保留</x:v>
      </x:c>
      <x:c r="K78" s="303" t="str">
        <x:v>前置条件未齐</x:v>
      </x:c>
    </x:row>
    <x:row r="79" ht="160" customHeight="1">
      <x:c r="A79" s="185">
        <x:v>74</x:v>
      </x:c>
      <x:c r="B79" s="30" t="s">
        <x:v>19</x:v>
      </x:c>
      <x:c r="C79" s="31" t="s">
        <x:v>88</x:v>
      </x:c>
      <x:c r="D79" s="108" t="s">
        <x:v>280</x:v>
      </x:c>
      <x:c r="E79" s="108" t="s">
        <x:v>281</x:v>
      </x:c>
      <x:c r="F79" s="303" t="str">
        <x:v>暂时测不了</x:v>
      </x:c>
      <x:c r="G79" s="303" t="str">
        <x:v>第十轮：当前QA短信/电话未启用，且缺本批次核验飞手和完整送达/播放/持续位置链；现有隔离回归通过，但不能当作现场通知闭环。</x:v>
      </x:c>
      <x:c r="H79" s="303" t="str">
        <x:v>Codex</x:v>
      </x:c>
      <x:c r="I79" s="302" t="n">
        <x:v>46293</x:v>
      </x:c>
      <x:c r="J79" s="303" t="str">
        <x:v>本轮报告；隔离回归日志；既有第八/九轮证据保留</x:v>
      </x:c>
      <x:c r="K79" s="303" t="str">
        <x:v>前置条件未齐</x:v>
      </x:c>
    </x:row>
    <x:row r="80" ht="160" customHeight="1">
      <x:c r="A80" s="185">
        <x:v>75</x:v>
      </x:c>
      <x:c r="B80" s="30" t="s">
        <x:v>19</x:v>
      </x:c>
      <x:c r="C80" s="31" t="s">
        <x:v>88</x:v>
      </x:c>
      <x:c r="D80" s="109" t="s">
        <x:v>282</x:v>
      </x:c>
      <x:c r="E80" s="109" t="s">
        <x:v>283</x:v>
      </x:c>
      <x:c r="F80" s="303" t="str">
        <x:v>暂时测不了</x:v>
      </x:c>
      <x:c r="G80" s="303" t="str">
        <x:v>第十轮：当前QA短信/电话未启用，且缺本批次核验飞手和完整送达/播放/持续位置链；现有隔离回归通过，但不能当作现场通知闭环。</x:v>
      </x:c>
      <x:c r="H80" s="303" t="str">
        <x:v>Codex</x:v>
      </x:c>
      <x:c r="I80" s="302" t="n">
        <x:v>46293</x:v>
      </x:c>
      <x:c r="J80" s="303" t="str">
        <x:v>本轮报告；隔离回归日志；既有第八/九轮证据保留</x:v>
      </x:c>
      <x:c r="K80" s="303" t="str">
        <x:v>前置条件未齐</x:v>
      </x:c>
    </x:row>
    <x:row r="81" ht="160" customHeight="1">
      <x:c r="A81" s="185">
        <x:v>76</x:v>
      </x:c>
      <x:c r="B81" s="30" t="s">
        <x:v>19</x:v>
      </x:c>
      <x:c r="C81" s="31" t="s">
        <x:v>88</x:v>
      </x:c>
      <x:c r="D81" s="108" t="s">
        <x:v>284</x:v>
      </x:c>
      <x:c r="E81" s="108" t="s">
        <x:v>285</x:v>
      </x:c>
      <x:c r="F81" s="303" t="str">
        <x:v>暂时测不了</x:v>
      </x:c>
      <x:c r="G81" s="303" t="str">
        <x:v>第十轮：当前QA短信/电话未启用，且缺本批次核验飞手和完整送达/播放/持续位置链；现有隔离回归通过，但不能当作现场通知闭环。</x:v>
      </x:c>
      <x:c r="H81" s="303" t="str">
        <x:v>Codex</x:v>
      </x:c>
      <x:c r="I81" s="302" t="n">
        <x:v>46293</x:v>
      </x:c>
      <x:c r="J81" s="303" t="str">
        <x:v>本轮报告；隔离回归日志；既有第八/九轮证据保留</x:v>
      </x:c>
      <x:c r="K81" s="303" t="str">
        <x:v>前置条件未齐</x:v>
      </x:c>
    </x:row>
    <x:row r="82" ht="160" customHeight="1">
      <x:c r="A82" s="185">
        <x:v>77</x:v>
      </x:c>
      <x:c r="B82" s="30" t="s">
        <x:v>19</x:v>
      </x:c>
      <x:c r="C82" s="31" t="s">
        <x:v>94</x:v>
      </x:c>
      <x:c r="D82" s="109" t="s">
        <x:v>286</x:v>
      </x:c>
      <x:c r="E82" s="109" t="s">
        <x:v>287</x:v>
      </x:c>
      <x:c r="F82" s="303" t="str">
        <x:v>暂时测不了</x:v>
      </x:c>
      <x:c r="G82" s="303" t="str">
        <x:v>第十轮：当前QA短信/电话未启用，且缺本批次核验飞手和完整送达/播放/持续位置链；现有隔离回归通过，但不能当作现场通知闭环。</x:v>
      </x:c>
      <x:c r="H82" s="303" t="str">
        <x:v>Codex</x:v>
      </x:c>
      <x:c r="I82" s="302" t="n">
        <x:v>46293</x:v>
      </x:c>
      <x:c r="J82" s="303" t="str">
        <x:v>本轮报告；隔离回归日志；既有第八/九轮证据保留</x:v>
      </x:c>
      <x:c r="K82" s="303" t="str">
        <x:v>前置条件未齐</x:v>
      </x:c>
    </x:row>
    <x:row r="83" ht="160" customHeight="1">
      <x:c r="A83" s="185">
        <x:v>78</x:v>
      </x:c>
      <x:c r="B83" s="30" t="s">
        <x:v>19</x:v>
      </x:c>
      <x:c r="C83" s="31" t="s">
        <x:v>88</x:v>
      </x:c>
      <x:c r="D83" s="108" t="s">
        <x:v>288</x:v>
      </x:c>
      <x:c r="E83" s="108" t="s">
        <x:v>289</x:v>
      </x:c>
      <x:c r="F83" s="303" t="str">
        <x:v>暂时测不了</x:v>
      </x:c>
      <x:c r="G83" s="303" t="str">
        <x:v>第十轮：当前QA短信/电话未启用，且缺本批次核验飞手和完整送达/播放/持续位置链；现有隔离回归通过，但不能当作现场通知闭环。</x:v>
      </x:c>
      <x:c r="H83" s="303" t="str">
        <x:v>Codex</x:v>
      </x:c>
      <x:c r="I83" s="302" t="n">
        <x:v>46293</x:v>
      </x:c>
      <x:c r="J83" s="303" t="str">
        <x:v>本轮报告；隔离回归日志；既有第八/九轮证据保留</x:v>
      </x:c>
      <x:c r="K83" s="303" t="str">
        <x:v>前置条件未齐</x:v>
      </x:c>
    </x:row>
    <x:row r="84" ht="160" customHeight="1">
      <x:c r="A84" s="185">
        <x:v>79</x:v>
      </x:c>
      <x:c r="B84" s="30" t="s">
        <x:v>19</x:v>
      </x:c>
      <x:c r="C84" s="31" t="s">
        <x:v>88</x:v>
      </x:c>
      <x:c r="D84" s="109" t="s">
        <x:v>290</x:v>
      </x:c>
      <x:c r="E84" s="109" t="s">
        <x:v>291</x:v>
      </x:c>
      <x:c r="F84" s="303" t="str">
        <x:v>暂时测不了</x:v>
      </x:c>
      <x:c r="G84" s="303" t="str">
        <x:v>第十轮：当前QA短信/电话未启用，且缺本批次核验飞手和完整送达/播放/持续位置链；现有隔离回归通过，但不能当作现场通知闭环。</x:v>
      </x:c>
      <x:c r="H84" s="303" t="str">
        <x:v>Codex</x:v>
      </x:c>
      <x:c r="I84" s="302" t="n">
        <x:v>46293</x:v>
      </x:c>
      <x:c r="J84" s="303" t="str">
        <x:v>本轮报告；隔离回归日志；既有第八/九轮证据保留</x:v>
      </x:c>
      <x:c r="K84" s="303" t="str">
        <x:v>前置条件未齐</x:v>
      </x:c>
    </x:row>
    <x:row r="85" ht="160" customHeight="1">
      <x:c r="A85" s="186">
        <x:v>80</x:v>
      </x:c>
      <x:c r="B85" s="187" t="s">
        <x:v>20</x:v>
      </x:c>
      <x:c r="C85" s="188" t="s">
        <x:v>88</x:v>
      </x:c>
      <x:c r="D85" s="189" t="s">
        <x:v>292</x:v>
      </x:c>
      <x:c r="E85" s="189" t="s">
        <x:v>293</x:v>
      </x:c>
      <x:c r="F85" s="318" t="str">
        <x:v>暂时测不了</x:v>
      </x:c>
      <x:c r="G85" s="318" t="str">
        <x:v>第十轮：缺与本事件对应的可控反制/干扰/光电测试设备及可信最终回执；MQTT工参只证明连接和工作状态，健康UNKNOWN不能当GOOD，不能伪造实机收令或停机核查。</x:v>
      </x:c>
      <x:c r="H85" s="318" t="str">
        <x:v>Codex</x:v>
      </x:c>
      <x:c r="I85" s="317" t="n">
        <x:v>46293</x:v>
      </x:c>
      <x:c r="J85" s="318" t="str">
        <x:v>本轮报告；隔离回归日志；既有第八/九轮证据保留</x:v>
      </x:c>
      <x:c r="K85" s="318" t="str">
        <x:v>前置条件未齐</x:v>
      </x:c>
    </x:row>
    <x:row r="86" ht="160" customHeight="1">
      <x:c r="A86" s="192">
        <x:v>81</x:v>
      </x:c>
      <x:c r="B86" s="193" t="s">
        <x:v>20</x:v>
      </x:c>
      <x:c r="C86" s="194" t="s">
        <x:v>88</x:v>
      </x:c>
      <x:c r="D86" s="109" t="s">
        <x:v>294</x:v>
      </x:c>
      <x:c r="E86" s="109" t="s">
        <x:v>295</x:v>
      </x:c>
      <x:c r="F86" s="303" t="str">
        <x:v>暂时测不了</x:v>
      </x:c>
      <x:c r="G86" s="303" t="str">
        <x:v>第十轮：缺与本事件对应的可控反制/干扰/光电测试设备及可信最终回执；MQTT工参只证明连接和工作状态，健康UNKNOWN不能当GOOD，不能伪造实机收令或停机核查。</x:v>
      </x:c>
      <x:c r="H86" s="303" t="str">
        <x:v>Codex</x:v>
      </x:c>
      <x:c r="I86" s="302" t="n">
        <x:v>46293</x:v>
      </x:c>
      <x:c r="J86" s="303" t="str">
        <x:v>本轮报告；隔离回归日志；既有第八/九轮证据保留</x:v>
      </x:c>
      <x:c r="K86" s="303" t="str">
        <x:v>前置条件未齐</x:v>
      </x:c>
    </x:row>
    <x:row r="87" ht="160" customHeight="1">
      <x:c r="A87" s="192">
        <x:v>82</x:v>
      </x:c>
      <x:c r="B87" s="193" t="s">
        <x:v>20</x:v>
      </x:c>
      <x:c r="C87" s="194" t="s">
        <x:v>88</x:v>
      </x:c>
      <x:c r="D87" s="108" t="s">
        <x:v>296</x:v>
      </x:c>
      <x:c r="E87" s="108" t="s">
        <x:v>297</x:v>
      </x:c>
      <x:c r="F87" s="303" t="str">
        <x:v>暂时测不了</x:v>
      </x:c>
      <x:c r="G87" s="303" t="str">
        <x:v>第十轮：缺与本事件对应的可控反制/干扰/光电测试设备及可信最终回执；MQTT工参只证明连接和工作状态，健康UNKNOWN不能当GOOD，不能伪造实机收令或停机核查。</x:v>
      </x:c>
      <x:c r="H87" s="303" t="str">
        <x:v>Codex</x:v>
      </x:c>
      <x:c r="I87" s="302" t="n">
        <x:v>46293</x:v>
      </x:c>
      <x:c r="J87" s="303" t="str">
        <x:v>本轮报告；隔离回归日志；既有第八/九轮证据保留</x:v>
      </x:c>
      <x:c r="K87" s="303" t="str">
        <x:v>前置条件未齐</x:v>
      </x:c>
    </x:row>
    <x:row r="88" ht="160" customHeight="1">
      <x:c r="A88" s="192">
        <x:v>83</x:v>
      </x:c>
      <x:c r="B88" s="193" t="s">
        <x:v>20</x:v>
      </x:c>
      <x:c r="C88" s="194" t="s">
        <x:v>88</x:v>
      </x:c>
      <x:c r="D88" s="109" t="s">
        <x:v>298</x:v>
      </x:c>
      <x:c r="E88" s="109" t="s">
        <x:v>299</x:v>
      </x:c>
      <x:c r="F88" s="303" t="str">
        <x:v>暂时测不了</x:v>
      </x:c>
      <x:c r="G88" s="303" t="str">
        <x:v>第十轮：缺与本事件对应的可控反制/干扰/光电测试设备及可信最终回执；MQTT工参只证明连接和工作状态，健康UNKNOWN不能当GOOD，不能伪造实机收令或停机核查。</x:v>
      </x:c>
      <x:c r="H88" s="303" t="str">
        <x:v>Codex</x:v>
      </x:c>
      <x:c r="I88" s="302" t="n">
        <x:v>46293</x:v>
      </x:c>
      <x:c r="J88" s="303" t="str">
        <x:v>本轮报告；隔离回归日志；既有第八/九轮证据保留</x:v>
      </x:c>
      <x:c r="K88" s="303" t="str">
        <x:v>前置条件未齐</x:v>
      </x:c>
    </x:row>
    <x:row r="89" ht="160" customHeight="1">
      <x:c r="A89" s="192">
        <x:v>84</x:v>
      </x:c>
      <x:c r="B89" s="193" t="s">
        <x:v>20</x:v>
      </x:c>
      <x:c r="C89" s="194" t="s">
        <x:v>88</x:v>
      </x:c>
      <x:c r="D89" s="108" t="s">
        <x:v>300</x:v>
      </x:c>
      <x:c r="E89" s="108" t="s">
        <x:v>301</x:v>
      </x:c>
      <x:c r="F89" s="303" t="str">
        <x:v>暂时测不了</x:v>
      </x:c>
      <x:c r="G89" s="303" t="str">
        <x:v>第十轮：缺与本事件对应的可控反制/干扰/光电测试设备及可信最终回执；MQTT工参只证明连接和工作状态，健康UNKNOWN不能当GOOD，不能伪造实机收令或停机核查。</x:v>
      </x:c>
      <x:c r="H89" s="303" t="str">
        <x:v>Codex</x:v>
      </x:c>
      <x:c r="I89" s="302" t="n">
        <x:v>46293</x:v>
      </x:c>
      <x:c r="J89" s="303" t="str">
        <x:v>本轮报告；隔离回归日志；既有第八/九轮证据保留</x:v>
      </x:c>
      <x:c r="K89" s="303" t="str">
        <x:v>前置条件未齐</x:v>
      </x:c>
    </x:row>
    <x:row r="90" ht="160" customHeight="1">
      <x:c r="A90" s="192">
        <x:v>85</x:v>
      </x:c>
      <x:c r="B90" s="193" t="s">
        <x:v>20</x:v>
      </x:c>
      <x:c r="C90" s="194" t="s">
        <x:v>88</x:v>
      </x:c>
      <x:c r="D90" s="109" t="s">
        <x:v>302</x:v>
      </x:c>
      <x:c r="E90" s="109" t="s">
        <x:v>303</x:v>
      </x:c>
      <x:c r="F90" s="20" t="s">
        <x:v>11</x:v>
      </x:c>
      <x:c r="G90" s="20" t="s">
        <x:v>304</x:v>
      </x:c>
      <x:c r="H90" s="20" t="s">
        <x:v>92</x:v>
      </x:c>
      <x:c r="I90" s="21">
        <x:v>46293</x:v>
      </x:c>
      <x:c r="J90" s="20" t="s">
        <x:v>305</x:v>
      </x:c>
      <x:c r="K90" s="20" t="s">
        <x:v>99</x:v>
      </x:c>
    </x:row>
    <x:row r="91" ht="160" customHeight="1">
      <x:c r="A91" s="192">
        <x:v>86</x:v>
      </x:c>
      <x:c r="B91" s="193" t="s">
        <x:v>20</x:v>
      </x:c>
      <x:c r="C91" s="194" t="s">
        <x:v>88</x:v>
      </x:c>
      <x:c r="D91" s="108" t="s">
        <x:v>306</x:v>
      </x:c>
      <x:c r="E91" s="108" t="s">
        <x:v>307</x:v>
      </x:c>
      <x:c r="F91" s="303" t="str">
        <x:v>暂时测不了</x:v>
      </x:c>
      <x:c r="G91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1" s="303" t="str">
        <x:v>Codex</x:v>
      </x:c>
      <x:c r="I91" s="302" t="n">
        <x:v>46293</x:v>
      </x:c>
      <x:c r="J91" s="303" t="str">
        <x:v>本轮报告；隔离回归日志；既有第八/九轮证据保留</x:v>
      </x:c>
      <x:c r="K91" s="303" t="str">
        <x:v>前置条件未齐</x:v>
      </x:c>
    </x:row>
    <x:row r="92" ht="160" customHeight="1">
      <x:c r="A92" s="192">
        <x:v>87</x:v>
      </x:c>
      <x:c r="B92" s="193" t="s">
        <x:v>20</x:v>
      </x:c>
      <x:c r="C92" s="194" t="s">
        <x:v>88</x:v>
      </x:c>
      <x:c r="D92" s="109" t="s">
        <x:v>308</x:v>
      </x:c>
      <x:c r="E92" s="109" t="s">
        <x:v>309</x:v>
      </x:c>
      <x:c r="F92" s="303" t="str">
        <x:v>暂时测不了</x:v>
      </x:c>
      <x:c r="G92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2" s="303" t="str">
        <x:v>Codex</x:v>
      </x:c>
      <x:c r="I92" s="302" t="n">
        <x:v>46293</x:v>
      </x:c>
      <x:c r="J92" s="303" t="str">
        <x:v>本轮报告；隔离回归日志；既有第八/九轮证据保留</x:v>
      </x:c>
      <x:c r="K92" s="303" t="str">
        <x:v>前置条件未齐</x:v>
      </x:c>
    </x:row>
    <x:row r="93" ht="160" customHeight="1">
      <x:c r="A93" s="192">
        <x:v>88</x:v>
      </x:c>
      <x:c r="B93" s="193" t="s">
        <x:v>20</x:v>
      </x:c>
      <x:c r="C93" s="194" t="s">
        <x:v>88</x:v>
      </x:c>
      <x:c r="D93" s="108" t="s">
        <x:v>310</x:v>
      </x:c>
      <x:c r="E93" s="108" t="s">
        <x:v>311</x:v>
      </x:c>
      <x:c r="F93" s="303" t="str">
        <x:v>暂时测不了</x:v>
      </x:c>
      <x:c r="G93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3" s="303" t="str">
        <x:v>Codex</x:v>
      </x:c>
      <x:c r="I93" s="302" t="n">
        <x:v>46293</x:v>
      </x:c>
      <x:c r="J93" s="303" t="str">
        <x:v>本轮报告；隔离回归日志；既有第八/九轮证据保留</x:v>
      </x:c>
      <x:c r="K93" s="303" t="str">
        <x:v>前置条件未齐</x:v>
      </x:c>
    </x:row>
    <x:row r="94" ht="160" customHeight="1">
      <x:c r="A94" s="192">
        <x:v>89</x:v>
      </x:c>
      <x:c r="B94" s="193" t="s">
        <x:v>20</x:v>
      </x:c>
      <x:c r="C94" s="194" t="s">
        <x:v>88</x:v>
      </x:c>
      <x:c r="D94" s="109" t="s">
        <x:v>312</x:v>
      </x:c>
      <x:c r="E94" s="109" t="s">
        <x:v>313</x:v>
      </x:c>
      <x:c r="F94" s="303" t="str">
        <x:v>暂时测不了</x:v>
      </x:c>
      <x:c r="G94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4" s="303" t="str">
        <x:v>Codex</x:v>
      </x:c>
      <x:c r="I94" s="302" t="n">
        <x:v>46293</x:v>
      </x:c>
      <x:c r="J94" s="303" t="str">
        <x:v>本轮报告；隔离回归日志；既有第八/九轮证据保留</x:v>
      </x:c>
      <x:c r="K94" s="303" t="str">
        <x:v>前置条件未齐</x:v>
      </x:c>
    </x:row>
    <x:row r="95" ht="160" customHeight="1">
      <x:c r="A95" s="192">
        <x:v>90</x:v>
      </x:c>
      <x:c r="B95" s="193" t="s">
        <x:v>20</x:v>
      </x:c>
      <x:c r="C95" s="194" t="s">
        <x:v>88</x:v>
      </x:c>
      <x:c r="D95" s="108" t="s">
        <x:v>314</x:v>
      </x:c>
      <x:c r="E95" s="108" t="s">
        <x:v>315</x:v>
      </x:c>
      <x:c r="F95" s="303" t="str">
        <x:v>暂时测不了</x:v>
      </x:c>
      <x:c r="G95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5" s="303" t="str">
        <x:v>Codex</x:v>
      </x:c>
      <x:c r="I95" s="302" t="n">
        <x:v>46293</x:v>
      </x:c>
      <x:c r="J95" s="303" t="str">
        <x:v>本轮报告；隔离回归日志；既有第八/九轮证据保留</x:v>
      </x:c>
      <x:c r="K95" s="303" t="str">
        <x:v>前置条件未齐</x:v>
      </x:c>
    </x:row>
    <x:row r="96" ht="160" customHeight="1">
      <x:c r="A96" s="192">
        <x:v>91</x:v>
      </x:c>
      <x:c r="B96" s="193" t="s">
        <x:v>20</x:v>
      </x:c>
      <x:c r="C96" s="194" t="s">
        <x:v>88</x:v>
      </x:c>
      <x:c r="D96" s="109" t="s">
        <x:v>316</x:v>
      </x:c>
      <x:c r="E96" s="109" t="s">
        <x:v>317</x:v>
      </x:c>
      <x:c r="F96" s="303" t="str">
        <x:v>暂时测不了</x:v>
      </x:c>
      <x:c r="G96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6" s="303" t="str">
        <x:v>Codex</x:v>
      </x:c>
      <x:c r="I96" s="302" t="n">
        <x:v>46293</x:v>
      </x:c>
      <x:c r="J96" s="303" t="str">
        <x:v>本轮报告；隔离回归日志；既有第八/九轮证据保留</x:v>
      </x:c>
      <x:c r="K96" s="303" t="str">
        <x:v>前置条件未齐</x:v>
      </x:c>
    </x:row>
    <x:row r="97" ht="160" customHeight="1">
      <x:c r="A97" s="192">
        <x:v>92</x:v>
      </x:c>
      <x:c r="B97" s="193" t="s">
        <x:v>20</x:v>
      </x:c>
      <x:c r="C97" s="194" t="s">
        <x:v>88</x:v>
      </x:c>
      <x:c r="D97" s="108" t="s">
        <x:v>318</x:v>
      </x:c>
      <x:c r="E97" s="108" t="s">
        <x:v>319</x:v>
      </x:c>
      <x:c r="F97" s="303" t="str">
        <x:v>暂时测不了</x:v>
      </x:c>
      <x:c r="G97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7" s="303" t="str">
        <x:v>Codex</x:v>
      </x:c>
      <x:c r="I97" s="302" t="n">
        <x:v>46293</x:v>
      </x:c>
      <x:c r="J97" s="303" t="str">
        <x:v>本轮报告；隔离回归日志；既有第八/九轮证据保留</x:v>
      </x:c>
      <x:c r="K97" s="303" t="str">
        <x:v>前置条件未齐</x:v>
      </x:c>
    </x:row>
    <x:row r="98" ht="160" customHeight="1">
      <x:c r="A98" s="192">
        <x:v>93</x:v>
      </x:c>
      <x:c r="B98" s="193" t="s">
        <x:v>20</x:v>
      </x:c>
      <x:c r="C98" s="194" t="s">
        <x:v>88</x:v>
      </x:c>
      <x:c r="D98" s="109" t="s">
        <x:v>320</x:v>
      </x:c>
      <x:c r="E98" s="109" t="s">
        <x:v>321</x:v>
      </x:c>
      <x:c r="F98" s="303" t="str">
        <x:v>暂时测不了</x:v>
      </x:c>
      <x:c r="G98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8" s="303" t="str">
        <x:v>Codex</x:v>
      </x:c>
      <x:c r="I98" s="302" t="n">
        <x:v>46293</x:v>
      </x:c>
      <x:c r="J98" s="303" t="str">
        <x:v>本轮报告；隔离回归日志；既有第八/九轮证据保留</x:v>
      </x:c>
      <x:c r="K98" s="303" t="str">
        <x:v>前置条件未齐</x:v>
      </x:c>
    </x:row>
    <x:row r="99" ht="160" customHeight="1">
      <x:c r="A99" s="192">
        <x:v>94</x:v>
      </x:c>
      <x:c r="B99" s="193" t="s">
        <x:v>20</x:v>
      </x:c>
      <x:c r="C99" s="194" t="s">
        <x:v>88</x:v>
      </x:c>
      <x:c r="D99" s="108" t="s">
        <x:v>322</x:v>
      </x:c>
      <x:c r="E99" s="108" t="s">
        <x:v>323</x:v>
      </x:c>
      <x:c r="F99" s="303" t="str">
        <x:v>暂时测不了</x:v>
      </x:c>
      <x:c r="G99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9" s="303" t="str">
        <x:v>Codex</x:v>
      </x:c>
      <x:c r="I99" s="302" t="n">
        <x:v>46293</x:v>
      </x:c>
      <x:c r="J99" s="303" t="str">
        <x:v>本轮报告；隔离回归日志；既有第八/九轮证据保留</x:v>
      </x:c>
      <x:c r="K99" s="303" t="str">
        <x:v>前置条件未齐</x:v>
      </x:c>
    </x:row>
    <x:row r="100" ht="160" customHeight="1">
      <x:c r="A100" s="192">
        <x:v>95</x:v>
      </x:c>
      <x:c r="B100" s="193" t="s">
        <x:v>20</x:v>
      </x:c>
      <x:c r="C100" s="194" t="s">
        <x:v>88</x:v>
      </x:c>
      <x:c r="D100" s="109" t="s">
        <x:v>324</x:v>
      </x:c>
      <x:c r="E100" s="109" t="s">
        <x:v>325</x:v>
      </x:c>
      <x:c r="F100" s="303" t="str">
        <x:v>暂时测不了</x:v>
      </x:c>
      <x:c r="G100" s="303" t="str">
        <x:v>第十轮：缺与本事件对应的可控反制/干扰/光电测试设备及可信最终回执；MQTT工参只证明连接和工作状态，健康UNKNOWN不能当GOOD，不能伪造实机收令或停机核查。</x:v>
      </x:c>
      <x:c r="H100" s="303" t="str">
        <x:v>Codex</x:v>
      </x:c>
      <x:c r="I100" s="302" t="n">
        <x:v>46293</x:v>
      </x:c>
      <x:c r="J100" s="303" t="str">
        <x:v>本轮报告；隔离回归日志；既有第八/九轮证据保留</x:v>
      </x:c>
      <x:c r="K100" s="303" t="str">
        <x:v>前置条件未齐</x:v>
      </x:c>
    </x:row>
    <x:row r="101" ht="160" customHeight="1">
      <x:c r="A101" s="192">
        <x:v>96</x:v>
      </x:c>
      <x:c r="B101" s="193" t="s">
        <x:v>20</x:v>
      </x:c>
      <x:c r="C101" s="194" t="s">
        <x:v>94</x:v>
      </x:c>
      <x:c r="D101" s="108" t="s">
        <x:v>326</x:v>
      </x:c>
      <x:c r="E101" s="108" t="s">
        <x:v>327</x:v>
      </x:c>
      <x:c r="F101" s="303" t="str">
        <x:v>暂时测不了</x:v>
      </x:c>
      <x:c r="G101" s="303" t="str">
        <x:v>第十轮：缺与本事件对应的可控反制/干扰/光电测试设备及可信最终回执；MQTT工参只证明连接和工作状态，健康UNKNOWN不能当GOOD，不能伪造实机收令或停机核查。</x:v>
      </x:c>
      <x:c r="H101" s="303" t="str">
        <x:v>Codex</x:v>
      </x:c>
      <x:c r="I101" s="302" t="n">
        <x:v>46293</x:v>
      </x:c>
      <x:c r="J101" s="303" t="str">
        <x:v>本轮报告；隔离回归日志；既有第八/九轮证据保留</x:v>
      </x:c>
      <x:c r="K101" s="303" t="str">
        <x:v>前置条件未齐</x:v>
      </x:c>
    </x:row>
    <x:row r="102" ht="160" customHeight="1">
      <x:c r="A102" s="192">
        <x:v>97</x:v>
      </x:c>
      <x:c r="B102" s="193" t="s">
        <x:v>20</x:v>
      </x:c>
      <x:c r="C102" s="194" t="s">
        <x:v>88</x:v>
      </x:c>
      <x:c r="D102" s="109" t="s">
        <x:v>328</x:v>
      </x:c>
      <x:c r="E102" s="109" t="s">
        <x:v>329</x:v>
      </x:c>
      <x:c r="F102" s="303" t="str">
        <x:v>暂时测不了</x:v>
      </x:c>
      <x:c r="G102" s="303" t="str">
        <x:v>第十轮：缺与本事件对应的可控反制/干扰/光电测试设备及可信最终回执；MQTT工参只证明连接和工作状态，健康UNKNOWN不能当GOOD，不能伪造实机收令或停机核查。</x:v>
      </x:c>
      <x:c r="H102" s="303" t="str">
        <x:v>Codex</x:v>
      </x:c>
      <x:c r="I102" s="302" t="n">
        <x:v>46293</x:v>
      </x:c>
      <x:c r="J102" s="303" t="str">
        <x:v>本轮报告；隔离回归日志；既有第八/九轮证据保留</x:v>
      </x:c>
      <x:c r="K102" s="303" t="str">
        <x:v>前置条件未齐</x:v>
      </x:c>
    </x:row>
    <x:row r="103" ht="160" customHeight="1">
      <x:c r="A103" s="195">
        <x:v>98</x:v>
      </x:c>
      <x:c r="B103" s="196" t="s">
        <x:v>21</x:v>
      </x:c>
      <x:c r="C103" s="197" t="s">
        <x:v>88</x:v>
      </x:c>
      <x:c r="D103" s="198" t="s">
        <x:v>330</x:v>
      </x:c>
      <x:c r="E103" s="198" t="s">
        <x:v>331</x:v>
      </x:c>
      <x:c r="F103" s="320" t="str">
        <x:v>暂时测不了</x:v>
      </x:c>
      <x:c r="G103" s="320" t="str">
        <x:v>第十轮：当前接收方接口仅返回风险通知“上级”，没有处罚接收方；未取得对应交接投递、签收和正式办理结果，无法验完整处罚闭环。</x:v>
      </x:c>
      <x:c r="H103" s="320" t="str">
        <x:v>Codex</x:v>
      </x:c>
      <x:c r="I103" s="319" t="n">
        <x:v>46293</x:v>
      </x:c>
      <x:c r="J103" s="320" t="str">
        <x:v>本轮报告；隔离回归日志；既有第八/九轮证据保留</x:v>
      </x:c>
      <x:c r="K103" s="320" t="str">
        <x:v>前置条件未齐</x:v>
      </x:c>
    </x:row>
    <x:row r="104" ht="160" customHeight="1">
      <x:c r="A104" s="201">
        <x:v>99</x:v>
      </x:c>
      <x:c r="B104" s="202" t="s">
        <x:v>21</x:v>
      </x:c>
      <x:c r="C104" s="203" t="s">
        <x:v>88</x:v>
      </x:c>
      <x:c r="D104" s="109" t="s">
        <x:v>332</x:v>
      </x:c>
      <x:c r="E104" s="109" t="s">
        <x:v>333</x:v>
      </x:c>
      <x:c r="F104" s="303" t="str">
        <x:v>暂时测不了</x:v>
      </x:c>
      <x:c r="G104" s="303" t="str">
        <x:v>第十轮：当前接收方接口仅返回风险通知“上级”，没有处罚接收方；未取得对应交接投递、签收和正式办理结果，无法验完整处罚闭环。</x:v>
      </x:c>
      <x:c r="H104" s="303" t="str">
        <x:v>Codex</x:v>
      </x:c>
      <x:c r="I104" s="302" t="n">
        <x:v>46293</x:v>
      </x:c>
      <x:c r="J104" s="303" t="str">
        <x:v>本轮报告；隔离回归日志；既有第八/九轮证据保留</x:v>
      </x:c>
      <x:c r="K104" s="303" t="str">
        <x:v>前置条件未齐</x:v>
      </x:c>
    </x:row>
    <x:row r="105" ht="160" customHeight="1">
      <x:c r="A105" s="201">
        <x:v>100</x:v>
      </x:c>
      <x:c r="B105" s="202" t="s">
        <x:v>21</x:v>
      </x:c>
      <x:c r="C105" s="203" t="s">
        <x:v>88</x:v>
      </x:c>
      <x:c r="D105" s="108" t="s">
        <x:v>334</x:v>
      </x:c>
      <x:c r="E105" s="108" t="s">
        <x:v>335</x:v>
      </x:c>
      <x:c r="F105" s="303" t="str">
        <x:v>暂时测不了</x:v>
      </x:c>
      <x:c r="G105" s="303" t="str">
        <x:v>第十轮：当前接收方接口仅返回风险通知“上级”，没有处罚接收方；未取得对应交接投递、签收和正式办理结果，无法验完整处罚闭环。</x:v>
      </x:c>
      <x:c r="H105" s="303" t="str">
        <x:v>Codex</x:v>
      </x:c>
      <x:c r="I105" s="302" t="n">
        <x:v>46293</x:v>
      </x:c>
      <x:c r="J105" s="303" t="str">
        <x:v>本轮报告；隔离回归日志；既有第八/九轮证据保留</x:v>
      </x:c>
      <x:c r="K105" s="303" t="str">
        <x:v>前置条件未齐</x:v>
      </x:c>
    </x:row>
    <x:row r="106" ht="160" customHeight="1">
      <x:c r="A106" s="201">
        <x:v>101</x:v>
      </x:c>
      <x:c r="B106" s="202" t="s">
        <x:v>21</x:v>
      </x:c>
      <x:c r="C106" s="203" t="s">
        <x:v>88</x:v>
      </x:c>
      <x:c r="D106" s="109" t="s">
        <x:v>336</x:v>
      </x:c>
      <x:c r="E106" s="109" t="s">
        <x:v>337</x:v>
      </x:c>
      <x:c r="F106" s="303" t="str">
        <x:v>暂时测不了</x:v>
      </x:c>
      <x:c r="G106" s="303" t="str">
        <x:v>第十轮：当前接收方接口仅返回风险通知“上级”，没有处罚接收方；未取得对应交接投递、签收和正式办理结果，无法验完整处罚闭环。</x:v>
      </x:c>
      <x:c r="H106" s="303" t="str">
        <x:v>Codex</x:v>
      </x:c>
      <x:c r="I106" s="302" t="n">
        <x:v>46293</x:v>
      </x:c>
      <x:c r="J106" s="303" t="str">
        <x:v>本轮报告；隔离回归日志；既有第八/九轮证据保留</x:v>
      </x:c>
      <x:c r="K106" s="303" t="str">
        <x:v>前置条件未齐</x:v>
      </x:c>
    </x:row>
    <x:row r="107" ht="160" customHeight="1">
      <x:c r="A107" s="201">
        <x:v>102</x:v>
      </x:c>
      <x:c r="B107" s="202" t="s">
        <x:v>21</x:v>
      </x:c>
      <x:c r="C107" s="203" t="s">
        <x:v>88</x:v>
      </x:c>
      <x:c r="D107" s="108" t="s">
        <x:v>338</x:v>
      </x:c>
      <x:c r="E107" s="108" t="s">
        <x:v>339</x:v>
      </x:c>
      <x:c r="F107" s="303" t="str">
        <x:v>暂时测不了</x:v>
      </x:c>
      <x:c r="G107" s="303" t="str">
        <x:v>第十轮：当前接收方接口仅返回风险通知“上级”，没有处罚接收方；未取得对应交接投递、签收和正式办理结果，无法验完整处罚闭环。</x:v>
      </x:c>
      <x:c r="H107" s="303" t="str">
        <x:v>Codex</x:v>
      </x:c>
      <x:c r="I107" s="302" t="n">
        <x:v>46293</x:v>
      </x:c>
      <x:c r="J107" s="303" t="str">
        <x:v>本轮报告；隔离回归日志；既有第八/九轮证据保留</x:v>
      </x:c>
      <x:c r="K107" s="303" t="str">
        <x:v>前置条件未齐</x:v>
      </x:c>
    </x:row>
    <x:row r="108" ht="160" customHeight="1">
      <x:c r="A108" s="201">
        <x:v>103</x:v>
      </x:c>
      <x:c r="B108" s="202" t="s">
        <x:v>21</x:v>
      </x:c>
      <x:c r="C108" s="203" t="s">
        <x:v>88</x:v>
      </x:c>
      <x:c r="D108" s="109" t="s">
        <x:v>340</x:v>
      </x:c>
      <x:c r="E108" s="109" t="s">
        <x:v>341</x:v>
      </x:c>
      <x:c r="F108" s="303" t="str">
        <x:v>暂时测不了</x:v>
      </x:c>
      <x:c r="G108" s="303" t="str">
        <x:v>第十轮：当前接收方接口仅返回风险通知“上级”，没有处罚接收方；未取得对应交接投递、签收和正式办理结果，无法验完整处罚闭环。</x:v>
      </x:c>
      <x:c r="H108" s="303" t="str">
        <x:v>Codex</x:v>
      </x:c>
      <x:c r="I108" s="302" t="n">
        <x:v>46293</x:v>
      </x:c>
      <x:c r="J108" s="303" t="str">
        <x:v>本轮报告；隔离回归日志；既有第八/九轮证据保留</x:v>
      </x:c>
      <x:c r="K108" s="303" t="str">
        <x:v>前置条件未齐</x:v>
      </x:c>
    </x:row>
    <x:row r="109" ht="160" customHeight="1">
      <x:c r="A109" s="201">
        <x:v>104</x:v>
      </x:c>
      <x:c r="B109" s="202" t="s">
        <x:v>21</x:v>
      </x:c>
      <x:c r="C109" s="203" t="s">
        <x:v>94</x:v>
      </x:c>
      <x:c r="D109" s="108" t="s">
        <x:v>342</x:v>
      </x:c>
      <x:c r="E109" s="108" t="s">
        <x:v>343</x:v>
      </x:c>
      <x:c r="F109" s="303" t="str">
        <x:v>暂时测不了</x:v>
      </x:c>
      <x:c r="G109" s="303" t="str">
        <x:v>第十轮：当前接收方接口仅返回风险通知“上级”，没有处罚接收方；未取得对应交接投递、签收和正式办理结果，无法验完整处罚闭环。</x:v>
      </x:c>
      <x:c r="H109" s="303" t="str">
        <x:v>Codex</x:v>
      </x:c>
      <x:c r="I109" s="302" t="n">
        <x:v>46293</x:v>
      </x:c>
      <x:c r="J109" s="303" t="str">
        <x:v>本轮报告；隔离回归日志；既有第八/九轮证据保留</x:v>
      </x:c>
      <x:c r="K109" s="303" t="str">
        <x:v>前置条件未齐</x:v>
      </x:c>
    </x:row>
    <x:row r="110" ht="160" customHeight="1">
      <x:c r="A110" s="201">
        <x:v>105</x:v>
      </x:c>
      <x:c r="B110" s="202" t="s">
        <x:v>21</x:v>
      </x:c>
      <x:c r="C110" s="203" t="s">
        <x:v>88</x:v>
      </x:c>
      <x:c r="D110" s="109" t="s">
        <x:v>344</x:v>
      </x:c>
      <x:c r="E110" s="109" t="s">
        <x:v>345</x:v>
      </x:c>
      <x:c r="F110" s="303" t="str">
        <x:v>暂时测不了</x:v>
      </x:c>
      <x:c r="G110" s="303" t="str">
        <x:v>第十轮：当前接收方接口仅返回风险通知“上级”，没有处罚接收方；未取得对应交接投递、签收和正式办理结果，无法验完整处罚闭环。</x:v>
      </x:c>
      <x:c r="H110" s="303" t="str">
        <x:v>Codex</x:v>
      </x:c>
      <x:c r="I110" s="302" t="n">
        <x:v>46293</x:v>
      </x:c>
      <x:c r="J110" s="303" t="str">
        <x:v>本轮报告；隔离回归日志；既有第八/九轮证据保留</x:v>
      </x:c>
      <x:c r="K110" s="303" t="str">
        <x:v>前置条件未齐</x:v>
      </x:c>
    </x:row>
    <x:row r="111" ht="160" customHeight="1">
      <x:c r="A111" s="201">
        <x:v>106</x:v>
      </x:c>
      <x:c r="B111" s="202" t="s">
        <x:v>21</x:v>
      </x:c>
      <x:c r="C111" s="203" t="s">
        <x:v>88</x:v>
      </x:c>
      <x:c r="D111" s="108" t="s">
        <x:v>346</x:v>
      </x:c>
      <x:c r="E111" s="108" t="s">
        <x:v>347</x:v>
      </x:c>
      <x:c r="F111" s="303" t="str">
        <x:v>暂时测不了</x:v>
      </x:c>
      <x:c r="G111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111" s="303" t="str">
        <x:v>Codex</x:v>
      </x:c>
      <x:c r="I111" s="302" t="n">
        <x:v>46293</x:v>
      </x:c>
      <x:c r="J111" s="303" t="str">
        <x:v>本轮报告；隔离回归日志；既有第八/九轮证据保留</x:v>
      </x:c>
      <x:c r="K111" s="303" t="str">
        <x:v>前置条件未齐</x:v>
      </x:c>
    </x:row>
    <x:row r="112" ht="160" customHeight="1">
      <x:c r="A112" s="204">
        <x:v>107</x:v>
      </x:c>
      <x:c r="B112" s="205" t="s">
        <x:v>22</x:v>
      </x:c>
      <x:c r="C112" s="206" t="s">
        <x:v>94</x:v>
      </x:c>
      <x:c r="D112" s="207" t="s">
        <x:v>348</x:v>
      </x:c>
      <x:c r="E112" s="207" t="s">
        <x:v>349</x:v>
      </x:c>
      <x:c r="F112" s="309" t="str">
        <x:v>通过</x:v>
      </x:c>
      <x:c r="G112" s="309" t="str">
        <x:v>第十轮：PDF分页图片实际可读；有效大图1813×826、视频readyState=4、文本均显示采集时间及模拟标记。旧PNG样本实际为JPEG且声明PNG，按类型不一致拒绝预览属正确防护。</x:v>
      </x:c>
      <x:c r="H112" s="309" t="str">
        <x:v>Codex</x:v>
      </x:c>
      <x:c r="I112" s="308" t="n">
        <x:v>46293</x:v>
      </x:c>
      <x:c r="J112" s="309" t="str">
        <x:v>pdf-final.png；large-image-final.png；video-evidence-ui.txt；text-evidence-ui.txt</x:v>
      </x:c>
      <x:c r="K112" s="309" t="str">
        <x:v>BUG-010已修复</x:v>
      </x:c>
    </x:row>
    <x:row r="113" ht="160" customHeight="1">
      <x:c r="A113" s="210">
        <x:v>108</x:v>
      </x:c>
      <x:c r="B113" s="211" t="s">
        <x:v>22</x:v>
      </x:c>
      <x:c r="C113" s="212" t="s">
        <x:v>88</x:v>
      </x:c>
      <x:c r="D113" s="108" t="s">
        <x:v>350</x:v>
      </x:c>
      <x:c r="E113" s="108" t="s">
        <x:v>351</x:v>
      </x:c>
      <x:c r="F113" s="20" t="s">
        <x:v>11</x:v>
      </x:c>
      <x:c r="G113" s="20" t="s">
        <x:v>352</x:v>
      </x:c>
      <x:c r="H113" s="20" t="s">
        <x:v>92</x:v>
      </x:c>
      <x:c r="I113" s="21">
        <x:v>46293</x:v>
      </x:c>
      <x:c r="J113" s="20" t="s">
        <x:v>353</x:v>
      </x:c>
      <x:c r="K113" s="20" t="s">
        <x:v>354</x:v>
      </x:c>
    </x:row>
    <x:row r="114" ht="160" customHeight="1">
      <x:c r="A114" s="210">
        <x:v>109</x:v>
      </x:c>
      <x:c r="B114" s="211" t="s">
        <x:v>22</x:v>
      </x:c>
      <x:c r="C114" s="212" t="s">
        <x:v>88</x:v>
      </x:c>
      <x:c r="D114" s="109" t="s">
        <x:v>355</x:v>
      </x:c>
      <x:c r="E114" s="109" t="s">
        <x:v>356</x:v>
      </x:c>
      <x:c r="F114" s="303" t="str">
        <x:v>通过</x:v>
      </x:c>
      <x:c r="G114" s="303" t="str">
        <x:v>第九轮复测通过：告警010三条轨迹中切到第二条原始轨迹86b63f1b，点击证据链接携带track与原EVENT上下文；目标页显示88点及1处中断，刷新仍定位同一条，无串成第一条。</x:v>
      </x:c>
      <x:c r="H114" s="303" t="str">
        <x:v>Codex</x:v>
      </x:c>
      <x:c r="I114" s="302" t="n">
        <x:v>46293</x:v>
      </x:c>
      <x:c r="J114" s="303" t="str">
        <x:v>qa-r9/track-second-source.txt；track-second-destination.txt；track-second-refresh.txt；track-second.png</x:v>
      </x:c>
      <x:c r="K114" s="303" t="str"/>
    </x:row>
    <x:row r="115" ht="160" customHeight="1">
      <x:c r="A115" s="210">
        <x:v>110</x:v>
      </x:c>
      <x:c r="B115" s="211" t="s">
        <x:v>22</x:v>
      </x:c>
      <x:c r="C115" s="212" t="s">
        <x:v>94</x:v>
      </x:c>
      <x:c r="D115" s="108" t="s">
        <x:v>357</x:v>
      </x:c>
      <x:c r="E115" s="108" t="s">
        <x:v>358</x:v>
      </x:c>
      <x:c r="F115" s="20" t="s">
        <x:v>11</x:v>
      </x:c>
      <x:c r="G115" s="20" t="s">
        <x:v>359</x:v>
      </x:c>
      <x:c r="H115" s="20" t="s">
        <x:v>92</x:v>
      </x:c>
      <x:c r="I115" s="21">
        <x:v>46293</x:v>
      </x:c>
      <x:c r="J115" s="20" t="s">
        <x:v>360</x:v>
      </x:c>
      <x:c r="K115" s="20" t="s">
        <x:v>354</x:v>
      </x:c>
    </x:row>
    <x:row r="116" ht="160" customHeight="1">
      <x:c r="A116" s="210">
        <x:v>111</x:v>
      </x:c>
      <x:c r="B116" s="211" t="s">
        <x:v>22</x:v>
      </x:c>
      <x:c r="C116" s="212" t="s">
        <x:v>88</x:v>
      </x:c>
      <x:c r="D116" s="109" t="s">
        <x:v>361</x:v>
      </x:c>
      <x:c r="E116" s="109" t="s">
        <x:v>362</x:v>
      </x:c>
      <x:c r="F116" s="20" t="s">
        <x:v>11</x:v>
      </x:c>
      <x:c r="G116" s="20" t="s">
        <x:v>363</x:v>
      </x:c>
      <x:c r="H116" s="20" t="s">
        <x:v>92</x:v>
      </x:c>
      <x:c r="I116" s="21">
        <x:v>46293</x:v>
      </x:c>
      <x:c r="J116" s="20" t="s">
        <x:v>364</x:v>
      </x:c>
      <x:c r="K116" s="20" t="s">
        <x:v>99</x:v>
      </x:c>
    </x:row>
    <x:row r="117" ht="160" customHeight="1">
      <x:c r="A117" s="210">
        <x:v>112</x:v>
      </x:c>
      <x:c r="B117" s="211" t="s">
        <x:v>22</x:v>
      </x:c>
      <x:c r="C117" s="212" t="s">
        <x:v>94</x:v>
      </x:c>
      <x:c r="D117" s="108" t="s">
        <x:v>365</x:v>
      </x:c>
      <x:c r="E117" s="108" t="s">
        <x:v>366</x:v>
      </x:c>
      <x:c r="F117" s="20" t="s">
        <x:v>11</x:v>
      </x:c>
      <x:c r="G117" s="20" t="s">
        <x:v>367</x:v>
      </x:c>
      <x:c r="H117" s="20" t="s">
        <x:v>92</x:v>
      </x:c>
      <x:c r="I117" s="21">
        <x:v>46293</x:v>
      </x:c>
      <x:c r="J117" s="20" t="s">
        <x:v>368</x:v>
      </x:c>
      <x:c r="K117" s="20" t="s">
        <x:v>354</x:v>
      </x:c>
    </x:row>
    <x:row r="118" ht="160" customHeight="1">
      <x:c r="A118" s="210">
        <x:v>113</x:v>
      </x:c>
      <x:c r="B118" s="211" t="s">
        <x:v>22</x:v>
      </x:c>
      <x:c r="C118" s="212" t="s">
        <x:v>88</x:v>
      </x:c>
      <x:c r="D118" s="109" t="s">
        <x:v>369</x:v>
      </x:c>
      <x:c r="E118" s="109" t="s">
        <x:v>370</x:v>
      </x:c>
      <x:c r="F118" s="303" t="str">
        <x:v>暂时测不了</x:v>
      </x:c>
      <x:c r="G118" s="303" t="str">
        <x:v>第十轮：缺告警、研判、反制三处对应的有效任务式光电流；仅无任务提示和静态视频预览已验。</x:v>
      </x:c>
      <x:c r="H118" s="303" t="str">
        <x:v>Codex</x:v>
      </x:c>
      <x:c r="I118" s="302" t="n">
        <x:v>46293</x:v>
      </x:c>
      <x:c r="J118" s="303" t="str">
        <x:v>第十轮报告；本轮回放/页面/隔离回归证据</x:v>
      </x:c>
      <x:c r="K118" s="303" t="str">
        <x:v>场景或环境前置条件未齐</x:v>
      </x:c>
    </x:row>
    <x:row r="119" ht="160" customHeight="1">
      <x:c r="A119" s="210">
        <x:v>114</x:v>
      </x:c>
      <x:c r="B119" s="211" t="s">
        <x:v>22</x:v>
      </x:c>
      <x:c r="C119" s="212" t="s">
        <x:v>94</x:v>
      </x:c>
      <x:c r="D119" s="108" t="s">
        <x:v>371</x:v>
      </x:c>
      <x:c r="E119" s="108" t="s">
        <x:v>372</x:v>
      </x:c>
      <x:c r="F119" s="303" t="str">
        <x:v>通过</x:v>
      </x:c>
      <x:c r="G119" s="303" t="str">
        <x:v>第十轮：长文件名已换行，大图可读；连续切换PDF/文本/视频/图片没有残留上一份内容；结合前轮冻结与原件哈希不变证据。</x:v>
      </x:c>
      <x:c r="H119" s="303" t="str">
        <x:v>Codex</x:v>
      </x:c>
      <x:c r="I119" s="302" t="n">
        <x:v>46293</x:v>
      </x:c>
      <x:c r="J119" s="303" t="str">
        <x:v>large-image-final-ui.txt；pdf-final.png；第八轮冻结哈希记录</x:v>
      </x:c>
      <x:c r="K119" s="303" t="str">
        <x:v>BUG-011已修复</x:v>
      </x:c>
    </x:row>
    <x:row r="120" ht="160" customHeight="1">
      <x:c r="A120" s="213">
        <x:v>115</x:v>
      </x:c>
      <x:c r="B120" s="214" t="s">
        <x:v>23</x:v>
      </x:c>
      <x:c r="C120" s="215" t="s">
        <x:v>88</x:v>
      </x:c>
      <x:c r="D120" s="216" t="s">
        <x:v>373</x:v>
      </x:c>
      <x:c r="E120" s="216" t="s">
        <x:v>374</x:v>
      </x:c>
      <x:c r="F120" s="322" t="str">
        <x:v>暂时测不了</x:v>
      </x:c>
      <x:c r="G120" s="322" t="str">
        <x:v>第十轮：当前无本轮正式立案及处罚结果，无法将目标/案件/决定逐笔对账。</x:v>
      </x:c>
      <x:c r="H120" s="322" t="str">
        <x:v>Codex</x:v>
      </x:c>
      <x:c r="I120" s="321" t="n">
        <x:v>46293</x:v>
      </x:c>
      <x:c r="J120" s="322" t="str">
        <x:v>第十轮报告；本轮回放/页面/隔离回归证据</x:v>
      </x:c>
      <x:c r="K120" s="322" t="str">
        <x:v>场景或环境前置条件未齐</x:v>
      </x:c>
    </x:row>
    <x:row r="121" ht="160" customHeight="1">
      <x:c r="A121" s="219">
        <x:v>116</x:v>
      </x:c>
      <x:c r="B121" s="32" t="s">
        <x:v>23</x:v>
      </x:c>
      <x:c r="C121" s="33" t="s">
        <x:v>94</x:v>
      </x:c>
      <x:c r="D121" s="108" t="s">
        <x:v>375</x:v>
      </x:c>
      <x:c r="E121" s="108" t="s">
        <x:v>376</x:v>
      </x:c>
      <x:c r="F121" s="303" t="str">
        <x:v>通过</x:v>
      </x:c>
      <x:c r="G121" s="303" t="str">
        <x:v>第十轮：日期与单位均可选择；日期改变统计值18/45，测试单位1目标0/设备1；请求序号阻止旧结果覆盖，前后端回归通过。</x:v>
      </x:c>
      <x:c r="H121" s="303" t="str">
        <x:v>Codex</x:v>
      </x:c>
      <x:c r="I121" s="302" t="n">
        <x:v>46293</x:v>
      </x:c>
      <x:c r="J121" s="303" t="str">
        <x:v>stats-date.png；stats-org-filter.png；stats-org-filter-ui.txt；ReportingApiTest</x:v>
      </x:c>
      <x:c r="K121" s="303" t="str">
        <x:v>BUG-012已修复</x:v>
      </x:c>
    </x:row>
    <x:row r="122" ht="160" customHeight="1">
      <x:c r="A122" s="219">
        <x:v>117</x:v>
      </x:c>
      <x:c r="B122" s="32" t="s">
        <x:v>23</x:v>
      </x:c>
      <x:c r="C122" s="33" t="s">
        <x:v>88</x:v>
      </x:c>
      <x:c r="D122" s="109" t="s">
        <x:v>377</x:v>
      </x:c>
      <x:c r="E122" s="109" t="s">
        <x:v>378</x:v>
      </x:c>
      <x:c r="F122" s="303" t="str">
        <x:v>通过</x:v>
      </x:c>
      <x:c r="G122" s="303" t="str">
        <x:v>第九轮复测通过：页面处罚0及海拔不可统计区分；阻断stats/operations后显示连接失败、区间—、导出禁用，无全补0。解除阻断点重试恢复正常。</x:v>
      </x:c>
      <x:c r="H122" s="303" t="str">
        <x:v>Codex</x:v>
      </x:c>
      <x:c r="I122" s="302" t="n">
        <x:v>46293</x:v>
      </x:c>
      <x:c r="J122" s="303" t="str">
        <x:v>qa-r9/stats-before-export.txt；stats-failed.txt/png；stats-restored.txt</x:v>
      </x:c>
      <x:c r="K122" s="303" t="str"/>
    </x:row>
    <x:row r="123" ht="160" customHeight="1">
      <x:c r="A123" s="219">
        <x:v>118</x:v>
      </x:c>
      <x:c r="B123" s="32" t="s">
        <x:v>23</x:v>
      </x:c>
      <x:c r="C123" s="33" t="s">
        <x:v>94</x:v>
      </x:c>
      <x:c r="D123" s="108" t="s">
        <x:v>379</x:v>
      </x:c>
      <x:c r="E123" s="108" t="s">
        <x:v>380</x:v>
      </x:c>
      <x:c r="F123" s="303" t="str">
        <x:v>通过</x:v>
      </x:c>
      <x:c r="G123" s="303" t="str">
        <x:v>第十轮：真实页面点击下载，CSV 8547字节，UTF-8中文正常，日期08-30至09-28和选中单位ID一致，指标对应目标0/设备1，包含完整汇总。</x:v>
      </x:c>
      <x:c r="H123" s="303" t="str">
        <x:v>Codex</x:v>
      </x:c>
      <x:c r="I123" s="302" t="n">
        <x:v>46293</x:v>
      </x:c>
      <x:c r="J123" s="303" t="str">
        <x:v>stats-filtered-ui-download.csv；stats-org-filter-ui.txt</x:v>
      </x:c>
      <x:c r="K123" s="303" t="str">
        <x:v>BUG-012已修复</x:v>
      </x:c>
    </x:row>
    <x:row r="124" ht="160" customHeight="1">
      <x:c r="A124" s="219">
        <x:v>119</x:v>
      </x:c>
      <x:c r="B124" s="32" t="s">
        <x:v>23</x:v>
      </x:c>
      <x:c r="C124" s="33" t="s">
        <x:v>94</x:v>
      </x:c>
      <x:c r="D124" s="109" t="s">
        <x:v>381</x:v>
      </x:c>
      <x:c r="E124" s="109" t="s">
        <x:v>382</x:v>
      </x:c>
      <x:c r="F124" s="303" t="str">
        <x:v>暂时测不了</x:v>
      </x:c>
      <x:c r="G124" s="303" t="str">
        <x:v>第十轮：缺统计边界前后独立观测/案件样本；现有日期筛选与导出一致，不替代边界真值。</x:v>
      </x:c>
      <x:c r="H124" s="303" t="str">
        <x:v>Codex</x:v>
      </x:c>
      <x:c r="I124" s="302" t="n">
        <x:v>46293</x:v>
      </x:c>
      <x:c r="J124" s="303" t="str">
        <x:v>第十轮报告；本轮回放/页面/隔离回归证据</x:v>
      </x:c>
      <x:c r="K124" s="303" t="str">
        <x:v>场景或环境前置条件未齐</x:v>
      </x:c>
    </x:row>
    <x:row r="125" ht="160" customHeight="1">
      <x:c r="A125" s="219">
        <x:v>120</x:v>
      </x:c>
      <x:c r="B125" s="32" t="s">
        <x:v>23</x:v>
      </x:c>
      <x:c r="C125" s="33" t="s">
        <x:v>88</x:v>
      </x:c>
      <x:c r="D125" s="108" t="s">
        <x:v>383</x:v>
      </x:c>
      <x:c r="E125" s="108" t="s">
        <x:v>384</x:v>
      </x:c>
      <x:c r="F125" s="20" t="s">
        <x:v>5</x:v>
      </x:c>
      <x:c r="G125" s="20" t="s">
        <x:v>110</x:v>
      </x:c>
      <x:c r="H125" s="20" t="s">
        <x:v>92</x:v>
      </x:c>
      <x:c r="I125" s="21">
        <x:v>46293</x:v>
      </x:c>
      <x:c r="J125" s="20" t="s">
        <x:v>111</x:v>
      </x:c>
      <x:c r="K125" s="20" t="s">
        <x:v>99</x:v>
      </x:c>
    </x:row>
    <x:row r="126" ht="160" customHeight="1">
      <x:c r="A126" s="219">
        <x:v>121</x:v>
      </x:c>
      <x:c r="B126" s="32" t="s">
        <x:v>23</x:v>
      </x:c>
      <x:c r="C126" s="33" t="s">
        <x:v>94</x:v>
      </x:c>
      <x:c r="D126" s="109" t="s">
        <x:v>385</x:v>
      </x:c>
      <x:c r="E126" s="109" t="s">
        <x:v>386</x:v>
      </x:c>
      <x:c r="F126" s="303" t="str">
        <x:v>暂时测不了</x:v>
      </x:c>
      <x:c r="G126" s="303" t="str">
        <x:v>第十轮：空图/全零图已验；缺合法长分类名称样本，未改业务枚举凑长名称。</x:v>
      </x:c>
      <x:c r="H126" s="303" t="str">
        <x:v>Codex</x:v>
      </x:c>
      <x:c r="I126" s="302" t="n">
        <x:v>46293</x:v>
      </x:c>
      <x:c r="J126" s="303" t="str">
        <x:v>第十轮报告；本轮回放/页面/隔离回归证据</x:v>
      </x:c>
      <x:c r="K126" s="303" t="str">
        <x:v>场景或环境前置条件未齐</x:v>
      </x:c>
    </x:row>
    <x:row r="127" ht="160" customHeight="1">
      <x:c r="A127" s="220">
        <x:v>122</x:v>
      </x:c>
      <x:c r="B127" s="221" t="s">
        <x:v>24</x:v>
      </x:c>
      <x:c r="C127" s="222" t="s">
        <x:v>94</x:v>
      </x:c>
      <x:c r="D127" s="223" t="s">
        <x:v>387</x:v>
      </x:c>
      <x:c r="E127" s="223" t="s">
        <x:v>388</x:v>
      </x:c>
      <x:c r="F127" s="312" t="str">
        <x:v>通过</x:v>
      </x:c>
      <x:c r="G127" s="312" t="str">
        <x:v>第十轮：空域页在1000/1280/1366/1440 CSS宽度关键按钮均在视口内；长文件名可换行。保留此前其他业务页检查证据。</x:v>
      </x:c>
      <x:c r="H127" s="312" t="str">
        <x:v>Codex</x:v>
      </x:c>
      <x:c r="I127" s="311" t="n">
        <x:v>46293</x:v>
      </x:c>
      <x:c r="J127" s="312" t="str">
        <x:v>airspace-layout-fixed.json；airspace-small-fixed.png；large-image-final.png</x:v>
      </x:c>
      <x:c r="K127" s="312" t="str">
        <x:v>BUG-005已修复</x:v>
      </x:c>
    </x:row>
    <x:row r="128" ht="160" customHeight="1">
      <x:c r="A128" s="160">
        <x:v>123</x:v>
      </x:c>
      <x:c r="B128" s="226" t="s">
        <x:v>24</x:v>
      </x:c>
      <x:c r="C128" s="162" t="s">
        <x:v>94</x:v>
      </x:c>
      <x:c r="D128" s="109" t="s">
        <x:v>389</x:v>
      </x:c>
      <x:c r="E128" s="109" t="s">
        <x:v>390</x:v>
      </x:c>
      <x:c r="F128" s="20" t="s">
        <x:v>5</x:v>
      </x:c>
      <x:c r="G128" s="20" t="s">
        <x:v>391</x:v>
      </x:c>
      <x:c r="H128" s="20" t="s">
        <x:v>92</x:v>
      </x:c>
      <x:c r="I128" s="21">
        <x:v>46293</x:v>
      </x:c>
      <x:c r="J128" s="20" t="s">
        <x:v>392</x:v>
      </x:c>
      <x:c r="K128" s="20" t="s">
        <x:v>62</x:v>
      </x:c>
    </x:row>
    <x:row r="129" ht="160" customHeight="1">
      <x:c r="A129" s="160">
        <x:v>124</x:v>
      </x:c>
      <x:c r="B129" s="226" t="s">
        <x:v>24</x:v>
      </x:c>
      <x:c r="C129" s="162" t="s">
        <x:v>94</x:v>
      </x:c>
      <x:c r="D129" s="108" t="s">
        <x:v>393</x:v>
      </x:c>
      <x:c r="E129" s="108" t="s">
        <x:v>394</x:v>
      </x:c>
      <x:c r="F129" s="303" t="str">
        <x:v>暂时测不了</x:v>
      </x:c>
      <x:c r="G129" s="303" t="str">
        <x:v>第十轮：当前浏览器接口不控制操作系统减少动态效果设置；异常→恢复API已验，但不能冒充系统设置生效。</x:v>
      </x:c>
      <x:c r="H129" s="303" t="str">
        <x:v>Codex</x:v>
      </x:c>
      <x:c r="I129" s="302" t="n">
        <x:v>46293</x:v>
      </x:c>
      <x:c r="J129" s="303" t="str">
        <x:v>第十轮报告；本轮回放/页面/隔离回归证据</x:v>
      </x:c>
      <x:c r="K129" s="303" t="str">
        <x:v>场景或环境前置条件未齐</x:v>
      </x:c>
    </x:row>
    <x:row r="130" ht="160" customHeight="1">
      <x:c r="A130" s="160">
        <x:v>125</x:v>
      </x:c>
      <x:c r="B130" s="226" t="s">
        <x:v>24</x:v>
      </x:c>
      <x:c r="C130" s="162" t="s">
        <x:v>94</x:v>
      </x:c>
      <x:c r="D130" s="109" t="s">
        <x:v>395</x:v>
      </x:c>
      <x:c r="E130" s="109" t="s">
        <x:v>396</x:v>
      </x:c>
      <x:c r="F130" s="303" t="str">
        <x:v>通过</x:v>
      </x:c>
      <x:c r="G130" s="303" t="str">
        <x:v>第十轮：告警尾页选择后详情独立滚动，地图保持可见；页签往返、目标/设备详情关闭、两侧栏收起均正常，定位与地图控件可见。</x:v>
      </x:c>
      <x:c r="H130" s="303" t="str">
        <x:v>Codex</x:v>
      </x:c>
      <x:c r="I130" s="302" t="n">
        <x:v>46293</x:v>
      </x:c>
      <x:c r="J130" s="303" t="str">
        <x:v>alarm-detail-scroll.png；alarm-tab-return-ui.txt；situation-panels-final.png</x:v>
      </x:c>
      <x:c r="K130" s="303" t="str"/>
    </x:row>
    <x:row r="131" ht="160" customHeight="1">
      <x:c r="A131" s="160">
        <x:v>126</x:v>
      </x:c>
      <x:c r="B131" s="226" t="s">
        <x:v>24</x:v>
      </x:c>
      <x:c r="C131" s="162" t="s">
        <x:v>94</x:v>
      </x:c>
      <x:c r="D131" s="108" t="s">
        <x:v>397</x:v>
      </x:c>
      <x:c r="E131" s="108" t="s">
        <x:v>398</x:v>
      </x:c>
      <x:c r="F131" s="303" t="str">
        <x:v>暂时测不了</x:v>
      </x:c>
      <x:c r="G131" s="303" t="str">
        <x:v>第十轮：加载、空态和读取失败已验；无权限账号不可登录，完整权限错误组合未齐。</x:v>
      </x:c>
      <x:c r="H131" s="303" t="str">
        <x:v>Codex</x:v>
      </x:c>
      <x:c r="I131" s="302" t="n">
        <x:v>46293</x:v>
      </x:c>
      <x:c r="J131" s="303" t="str">
        <x:v>第十轮报告；本轮回放/页面/隔离回归证据</x:v>
      </x:c>
      <x:c r="K131" s="303" t="str">
        <x:v>场景或环境前置条件未齐</x:v>
      </x:c>
    </x:row>
    <x:row r="132" ht="160" customHeight="1">
      <x:c r="A132" s="160">
        <x:v>127</x:v>
      </x:c>
      <x:c r="B132" s="226" t="s">
        <x:v>24</x:v>
      </x:c>
      <x:c r="C132" s="162" t="s">
        <x:v>94</x:v>
      </x:c>
      <x:c r="D132" s="109" t="s">
        <x:v>399</x:v>
      </x:c>
      <x:c r="E132" s="109" t="s">
        <x:v>400</x:v>
      </x:c>
      <x:c r="F132" s="303" t="str">
        <x:v>暂时测不了</x:v>
      </x:c>
      <x:c r="G132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132" s="303" t="str">
        <x:v>Codex</x:v>
      </x:c>
      <x:c r="I132" s="302" t="n">
        <x:v>46293</x:v>
      </x:c>
      <x:c r="J132" s="303" t="str">
        <x:v>本轮报告；隔离回归日志；既有第八/九轮证据保留</x:v>
      </x:c>
      <x:c r="K132" s="303" t="str">
        <x:v>前置条件未齐</x:v>
      </x:c>
    </x:row>
    <x:row r="133" ht="160" customHeight="1">
      <x:c r="A133" s="160">
        <x:v>128</x:v>
      </x:c>
      <x:c r="B133" s="226" t="s">
        <x:v>24</x:v>
      </x:c>
      <x:c r="C133" s="162" t="s">
        <x:v>94</x:v>
      </x:c>
      <x:c r="D133" s="108" t="s">
        <x:v>401</x:v>
      </x:c>
      <x:c r="E133" s="108" t="s">
        <x:v>402</x:v>
      </x:c>
      <x:c r="F133" s="303" t="str">
        <x:v>暂时测不了</x:v>
      </x:c>
      <x:c r="G133" s="303" t="str">
        <x:v>第十轮：键盘缩放组合未使实际CSS视口/像素比例变化，不能声称200%已验；需要能控制浏览器原生缩放的环境。</x:v>
      </x:c>
      <x:c r="H133" s="303" t="str">
        <x:v>Codex</x:v>
      </x:c>
      <x:c r="I133" s="302" t="n">
        <x:v>46293</x:v>
      </x:c>
      <x:c r="J133" s="303" t="str">
        <x:v>视口观察记录</x:v>
      </x:c>
      <x:c r="K133" s="303" t="str">
        <x:v>200%缩放尚未生效</x:v>
      </x:c>
    </x:row>
    <x:row r="134" ht="160" customHeight="1">
      <x:c r="A134" s="160">
        <x:v>129</x:v>
      </x:c>
      <x:c r="B134" s="226" t="s">
        <x:v>24</x:v>
      </x:c>
      <x:c r="C134" s="162" t="s">
        <x:v>403</x:v>
      </x:c>
      <x:c r="D134" s="109" t="s">
        <x:v>404</x:v>
      </x:c>
      <x:c r="E134" s="109" t="s">
        <x:v>405</x:v>
      </x:c>
      <x:c r="F134" s="303" t="str">
        <x:v>通过</x:v>
      </x:c>
      <x:c r="G134" s="303" t="str">
        <x:v>第十轮：普通页15:42:47、大屏15:43:14起连续保留至17:44:57，均超过2小时；期间受控网络/部署中断有明确提示，重试后会话保留并恢复当前数据，最终两页控制台错误为空。为周期采样，不是恒定构建或全程高频性能监控。</x:v>
      </x:c>
      <x:c r="H134" s="303" t="str">
        <x:v>Codex</x:v>
      </x:c>
      <x:c r="I134" s="302" t="n">
        <x:v>46293</x:v>
      </x:c>
      <x:c r="J134" s="303" t="str">
        <x:v>soak-samples.json；soak-normal-final.png；soak-bigscreen-final.png</x:v>
      </x:c>
      <x:c r="K134" s="303" t="str">
        <x:v>BUG-003已修复；本轮独立两小时完成</x:v>
      </x:c>
    </x:row>
    <x:row r="135" ht="160" customHeight="1">
      <x:c r="A135" s="160">
        <x:v>130</x:v>
      </x:c>
      <x:c r="B135" s="226" t="s">
        <x:v>24</x:v>
      </x:c>
      <x:c r="C135" s="162" t="s">
        <x:v>94</x:v>
      </x:c>
      <x:c r="D135" s="108" t="s">
        <x:v>406</x:v>
      </x:c>
      <x:c r="E135" s="108" t="s">
        <x:v>407</x:v>
      </x:c>
      <x:c r="F135" s="303" t="str">
        <x:v>暂时测不了</x:v>
      </x:c>
      <x:c r="G135" s="303" t="str">
        <x:v>第十轮：Edge已完成关键路径；当前自动化连接仅Edge和内置浏览器，没有可控Chrome连接，未将Edge结果冒充Chrome。</x:v>
      </x:c>
      <x:c r="H135" s="303" t="str">
        <x:v>Codex</x:v>
      </x:c>
      <x:c r="I135" s="302" t="n">
        <x:v>46293</x:v>
      </x:c>
      <x:c r="J135" s="303" t="str">
        <x:v>浏览器可用连接清单</x:v>
      </x:c>
      <x:c r="K135" s="303" t="str">
        <x:v>需Chrome连接</x:v>
      </x:c>
    </x:row>
    <x:row r="136" ht="160" customHeight="1">
      <x:c r="A136" s="227">
        <x:v>131</x:v>
      </x:c>
      <x:c r="B136" s="228" t="s">
        <x:v>25</x:v>
      </x:c>
      <x:c r="C136" s="229" t="s">
        <x:v>88</x:v>
      </x:c>
      <x:c r="D136" s="230" t="s">
        <x:v>408</x:v>
      </x:c>
      <x:c r="E136" s="230" t="s">
        <x:v>409</x:v>
      </x:c>
      <x:c r="F136" s="314" t="str">
        <x:v>通过</x:v>
      </x:c>
      <x:c r="G136" s="314" t="str">
        <x:v>第十轮：三批独立replay场景分别1269/714/252条，平台目标019/020及鸟类022/023、轨迹与告警均回读；不以发送成功代替平台入库。</x:v>
      </x:c>
      <x:c r="H136" s="314" t="str">
        <x:v>Codex</x:v>
      </x:c>
      <x:c r="I136" s="313" t="n">
        <x:v>46293</x:v>
      </x:c>
      <x:c r="J136" s="314" t="str">
        <x:v>scene-final.json；scene-b-final.json；scene-c-final.json；scene-b-verify.json</x:v>
      </x:c>
      <x:c r="K136" s="314" t="str"/>
    </x:row>
    <x:row r="137" ht="160" customHeight="1">
      <x:c r="A137" s="178">
        <x:v>132</x:v>
      </x:c>
      <x:c r="B137" s="233" t="s">
        <x:v>25</x:v>
      </x:c>
      <x:c r="C137" s="27" t="s">
        <x:v>88</x:v>
      </x:c>
      <x:c r="D137" s="108" t="s">
        <x:v>410</x:v>
      </x:c>
      <x:c r="E137" s="108" t="s">
        <x:v>411</x:v>
      </x:c>
      <x:c r="F137" s="303" t="str">
        <x:v>暂时测不了</x:v>
      </x:c>
      <x:c r="G137" s="303" t="str">
        <x:v>第十轮：已跑无计划UAV、鸟类、故障/离线；缺正常报备、偏航与限飞区同批有效计划/区域配套。</x:v>
      </x:c>
      <x:c r="H137" s="303" t="str">
        <x:v>Codex</x:v>
      </x:c>
      <x:c r="I137" s="302" t="n">
        <x:v>46293</x:v>
      </x:c>
      <x:c r="J137" s="303" t="str">
        <x:v>第十轮报告；本轮回放/页面/隔离回归证据</x:v>
      </x:c>
      <x:c r="K137" s="303" t="str">
        <x:v>场景或环境前置条件未齐</x:v>
      </x:c>
    </x:row>
    <x:row r="138" ht="160" customHeight="1">
      <x:c r="A138" s="178">
        <x:v>133</x:v>
      </x:c>
      <x:c r="B138" s="233" t="s">
        <x:v>25</x:v>
      </x:c>
      <x:c r="C138" s="27" t="s">
        <x:v>94</x:v>
      </x:c>
      <x:c r="D138" s="109" t="s">
        <x:v>412</x:v>
      </x:c>
      <x:c r="E138" s="109" t="s">
        <x:v>413</x:v>
      </x:c>
      <x:c r="F138" s="303" t="str">
        <x:v>暂时测不了</x:v>
      </x:c>
      <x:c r="G138" s="303" t="str">
        <x:v>第十轮：设备和目标ID已前后回读；独立回放无同批计划/区域，无法完成四对象对应。</x:v>
      </x:c>
      <x:c r="H138" s="303" t="str">
        <x:v>Codex</x:v>
      </x:c>
      <x:c r="I138" s="302" t="n">
        <x:v>46293</x:v>
      </x:c>
      <x:c r="J138" s="303" t="str">
        <x:v>第十轮报告；本轮回放/页面/隔离回归证据</x:v>
      </x:c>
      <x:c r="K138" s="303" t="str">
        <x:v>场景或环境前置条件未齐</x:v>
      </x:c>
    </x:row>
    <x:row r="139" ht="160" customHeight="1">
      <x:c r="A139" s="178">
        <x:v>134</x:v>
      </x:c>
      <x:c r="B139" s="233" t="s">
        <x:v>25</x:v>
      </x:c>
      <x:c r="C139" s="27" t="s">
        <x:v>88</x:v>
      </x:c>
      <x:c r="D139" s="108" t="s">
        <x:v>414</x:v>
      </x:c>
      <x:c r="E139" s="108" t="s">
        <x:v>415</x:v>
      </x:c>
      <x:c r="F139" s="303" t="str">
        <x:v>暂时测不了</x:v>
      </x:c>
      <x:c r="G139" s="303" t="str">
        <x:v>第十轮：四种撤离/停报策略需核验飞手与测试短信/电话回执，当前通道未启用。</x:v>
      </x:c>
      <x:c r="H139" s="303" t="str">
        <x:v>Codex</x:v>
      </x:c>
      <x:c r="I139" s="302" t="n">
        <x:v>46293</x:v>
      </x:c>
      <x:c r="J139" s="303" t="str">
        <x:v>第十轮报告；本轮回放/页面/隔离回归证据</x:v>
      </x:c>
      <x:c r="K139" s="303" t="str">
        <x:v>场景或环境前置条件未齐</x:v>
      </x:c>
    </x:row>
    <x:row r="140" ht="160" customHeight="1">
      <x:c r="A140" s="178">
        <x:v>135</x:v>
      </x:c>
      <x:c r="B140" s="233" t="s">
        <x:v>25</x:v>
      </x:c>
      <x:c r="C140" s="27" t="s">
        <x:v>88</x:v>
      </x:c>
      <x:c r="D140" s="109" t="s">
        <x:v>416</x:v>
      </x:c>
      <x:c r="E140" s="109" t="s">
        <x:v>417</x:v>
      </x:c>
      <x:c r="F140" s="303" t="str">
        <x:v>暂时测不了</x:v>
      </x:c>
      <x:c r="G140" s="303" t="str">
        <x:v>第十轮：短信/电话/风险/处罚四收件箱均已打开刷新；风险已有1条，其余为空。分页按钮正确，缺超过一页的合法投递样本，不能验证正向多页。</x:v>
      </x:c>
      <x:c r="H140" s="303" t="str">
        <x:v>Codex</x:v>
      </x:c>
      <x:c r="I140" s="302" t="n">
        <x:v>46293</x:v>
      </x:c>
      <x:c r="J140" s="303" t="str">
        <x:v>inbox-four-channels.json</x:v>
      </x:c>
      <x:c r="K140" s="303" t="str">
        <x:v>投递样本不足</x:v>
      </x:c>
    </x:row>
    <x:row r="141" ht="120" customHeight="1">
      <x:c r="A141" s="178">
        <x:v>136</x:v>
      </x:c>
      <x:c r="B141" s="233" t="s">
        <x:v>25</x:v>
      </x:c>
      <x:c r="C141" s="27" t="s">
        <x:v>94</x:v>
      </x:c>
      <x:c r="D141" s="108" t="s">
        <x:v>418</x:v>
      </x:c>
      <x:c r="E141" s="108" t="s">
        <x:v>419</x:v>
      </x:c>
      <x:c r="F141" s="20" t="s">
        <x:v>11</x:v>
      </x:c>
      <x:c r="G141" s="20" t="s">
        <x:v>420</x:v>
      </x:c>
      <x:c r="H141" s="20" t="s">
        <x:v>92</x:v>
      </x:c>
      <x:c r="I141" s="21">
        <x:v>46292</x:v>
      </x:c>
      <x:c r="J141" s="20" t="s">
        <x:v>421</x:v>
      </x:c>
      <x:c r="K141" s="20" t="s">
        <x:v>62</x:v>
      </x:c>
    </x:row>
    <x:row r="142" ht="160" customHeight="1">
      <x:c r="A142" s="178">
        <x:v>137</x:v>
      </x:c>
      <x:c r="B142" s="233" t="s">
        <x:v>25</x:v>
      </x:c>
      <x:c r="C142" s="27" t="s">
        <x:v>88</x:v>
      </x:c>
      <x:c r="D142" s="109" t="s">
        <x:v>422</x:v>
      </x:c>
      <x:c r="E142" s="109" t="s">
        <x:v>423</x:v>
      </x:c>
      <x:c r="F142" s="303" t="str">
        <x:v>暂时测不了</x:v>
      </x:c>
      <x:c r="G142" s="303" t="str">
        <x:v>第十轮：B批次暂停后发送计数不增长、恢复后完成714条；模拟器重启未自动恢复发送。登录失效/停止途中所有组合未完整验证。</x:v>
      </x:c>
      <x:c r="H142" s="303" t="str">
        <x:v>Codex</x:v>
      </x:c>
      <x:c r="I142" s="302" t="n">
        <x:v>46293</x:v>
      </x:c>
      <x:c r="J142" s="303" t="str">
        <x:v>scene-b-paused.json；scene-b-pause-confirm.json；scene-b-final.json</x:v>
      </x:c>
      <x:c r="K142" s="303" t="str">
        <x:v>缺失效会话场景</x:v>
      </x:c>
    </x:row>
    <x:row r="143" ht="160" customHeight="1">
      <x:c r="A143" s="234">
        <x:v>138</x:v>
      </x:c>
      <x:c r="B143" s="235" t="s">
        <x:v>26</x:v>
      </x:c>
      <x:c r="C143" s="236" t="s">
        <x:v>88</x:v>
      </x:c>
      <x:c r="D143" s="237" t="s">
        <x:v>424</x:v>
      </x:c>
      <x:c r="E143" s="237" t="s">
        <x:v>425</x:v>
      </x:c>
      <x:c r="F143" s="324" t="str">
        <x:v>暂时测不了</x:v>
      </x:c>
      <x:c r="G143" s="324" t="str">
        <x:v>第十轮：服务中断与恢复已验；缺可用低权限/失效会话账号，未覆盖所有页面错误组合。</x:v>
      </x:c>
      <x:c r="H143" s="324" t="str">
        <x:v>Codex</x:v>
      </x:c>
      <x:c r="I143" s="323" t="n">
        <x:v>46293</x:v>
      </x:c>
      <x:c r="J143" s="324" t="str">
        <x:v>第十轮报告；本轮回放/页面/隔离回归证据</x:v>
      </x:c>
      <x:c r="K143" s="324" t="str">
        <x:v>场景或环境前置条件未齐</x:v>
      </x:c>
    </x:row>
    <x:row r="144" ht="160" customHeight="1">
      <x:c r="A144" s="240">
        <x:v>139</x:v>
      </x:c>
      <x:c r="B144" s="241" t="s">
        <x:v>26</x:v>
      </x:c>
      <x:c r="C144" s="242" t="s">
        <x:v>88</x:v>
      </x:c>
      <x:c r="D144" s="109" t="s">
        <x:v>426</x:v>
      </x:c>
      <x:c r="E144" s="109" t="s">
        <x:v>427</x:v>
      </x:c>
      <x:c r="F144" s="20" t="s">
        <x:v>11</x:v>
      </x:c>
      <x:c r="G144" s="20" t="s">
        <x:v>428</x:v>
      </x:c>
      <x:c r="H144" s="20" t="s">
        <x:v>92</x:v>
      </x:c>
      <x:c r="I144" s="21">
        <x:v>46293</x:v>
      </x:c>
      <x:c r="J144" s="20" t="s">
        <x:v>429</x:v>
      </x:c>
      <x:c r="K144" s="20" t="s">
        <x:v>430</x:v>
      </x:c>
    </x:row>
    <x:row r="145" ht="160" customHeight="1">
      <x:c r="A145" s="240">
        <x:v>140</x:v>
      </x:c>
      <x:c r="B145" s="241" t="s">
        <x:v>26</x:v>
      </x:c>
      <x:c r="C145" s="242" t="s">
        <x:v>88</x:v>
      </x:c>
      <x:c r="D145" s="108" t="s">
        <x:v>431</x:v>
      </x:c>
      <x:c r="E145" s="108" t="s">
        <x:v>432</x:v>
      </x:c>
      <x:c r="F145" s="303" t="str">
        <x:v>通过</x:v>
      </x:c>
      <x:c r="G145" s="303" t="str">
        <x:v>第十轮：浏览器实际扣住测试单位1响应，后发东营中心请求先返回50个目标；再释放旧响应，页面仍保留东营中心及50，未被旧单位0覆盖。所有Fetch拦截已清除。</x:v>
      </x:c>
      <x:c r="H145" s="303" t="str">
        <x:v>Codex</x:v>
      </x:c>
      <x:c r="I145" s="302" t="n">
        <x:v>46293</x:v>
      </x:c>
      <x:c r="J145" s="303" t="str">
        <x:v>stats-race-proof.json；stats-race-old-last-ui.txt</x:v>
      </x:c>
      <x:c r="K145" s="303" t="str"/>
    </x:row>
    <x:row r="146" ht="160" customHeight="1">
      <x:c r="A146" s="240">
        <x:v>141</x:v>
      </x:c>
      <x:c r="B146" s="241" t="s">
        <x:v>26</x:v>
      </x:c>
      <x:c r="C146" s="242" t="s">
        <x:v>88</x:v>
      </x:c>
      <x:c r="D146" s="109" t="s">
        <x:v>433</x:v>
      </x:c>
      <x:c r="E146" s="109" t="s">
        <x:v>434</x:v>
      </x:c>
      <x:c r="F146" s="303" t="str">
        <x:v>暂时测不了</x:v>
      </x:c>
      <x:c r="G146" s="303" t="str">
        <x:v>第十轮：缺两个可用且权限符合本行的独立人员会话与同一可执行业务对象；隔离并发测试通过不替代双人页面联测。</x:v>
      </x:c>
      <x:c r="H146" s="303" t="str">
        <x:v>Codex</x:v>
      </x:c>
      <x:c r="I146" s="302" t="n">
        <x:v>46293</x:v>
      </x:c>
      <x:c r="J146" s="303" t="str">
        <x:v>本轮报告；隔离回归日志；既有第八/九轮证据保留</x:v>
      </x:c>
      <x:c r="K146" s="303" t="str">
        <x:v>前置条件未齐</x:v>
      </x:c>
    </x:row>
    <x:row r="147" ht="160" customHeight="1">
      <x:c r="A147" s="240">
        <x:v>142</x:v>
      </x:c>
      <x:c r="B147" s="241" t="s">
        <x:v>26</x:v>
      </x:c>
      <x:c r="C147" s="242" t="s">
        <x:v>94</x:v>
      </x:c>
      <x:c r="D147" s="108" t="s">
        <x:v>435</x:v>
      </x:c>
      <x:c r="E147" s="108" t="s">
        <x:v>436</x:v>
      </x:c>
      <x:c r="F147" s="303" t="str">
        <x:v>通过</x:v>
      </x:c>
      <x:c r="G147" s="303" t="str">
        <x:v>第十轮：普通页失败状态保持并在恢复后刷新；两个后台保留页经部署中断显示服务错误，重试保留会话恢复当前资料，没有把旧数据称作已更新。观察时未出现请求失控或白屏。</x:v>
      </x:c>
      <x:c r="H147" s="303" t="str">
        <x:v>Codex</x:v>
      </x:c>
      <x:c r="I147" s="302" t="n">
        <x:v>46293</x:v>
      </x:c>
      <x:c r="J147" s="303" t="str">
        <x:v>situation-error-retained.png；soak-samples.json</x:v>
      </x:c>
      <x:c r="K147" s="303" t="str">
        <x:v>BUG-003已修复</x:v>
      </x:c>
    </x:row>
    <x:row r="148" ht="160" customHeight="1">
      <x:c r="A148" s="240">
        <x:v>143</x:v>
      </x:c>
      <x:c r="B148" s="241" t="s">
        <x:v>26</x:v>
      </x:c>
      <x:c r="C148" s="242" t="s">
        <x:v>94</x:v>
      </x:c>
      <x:c r="D148" s="109" t="s">
        <x:v>437</x:v>
      </x:c>
      <x:c r="E148" s="109" t="s">
        <x:v>438</x:v>
      </x:c>
      <x:c r="F148" s="303" t="str">
        <x:v>暂时测不了</x:v>
      </x:c>
      <x:c r="G148" s="303" t="str">
        <x:v>第十轮：现有样本不足以代表生产负载，未获得目标规模和性能验收阈值；未把小样本打开速度当容量通过。</x:v>
      </x:c>
      <x:c r="H148" s="303" t="str">
        <x:v>Codex</x:v>
      </x:c>
      <x:c r="I148" s="302" t="n">
        <x:v>46293</x:v>
      </x:c>
      <x:c r="J148" s="303" t="str">
        <x:v>第十轮报告；本轮回放/页面/隔离回归证据</x:v>
      </x:c>
      <x:c r="K148" s="303" t="str">
        <x:v>场景或环境前置条件未齐</x:v>
      </x:c>
    </x:row>
    <x:row r="149" ht="120" customHeight="1">
      <x:c r="A149" s="240">
        <x:v>144</x:v>
      </x:c>
      <x:c r="B149" s="241" t="s">
        <x:v>26</x:v>
      </x:c>
      <x:c r="C149" s="242" t="s">
        <x:v>88</x:v>
      </x:c>
      <x:c r="D149" s="108" t="s">
        <x:v>439</x:v>
      </x:c>
      <x:c r="E149" s="108" t="s">
        <x:v>440</x:v>
      </x:c>
      <x:c r="F149" s="20" t="s">
        <x:v>11</x:v>
      </x:c>
      <x:c r="G149" s="20" t="s">
        <x:v>441</x:v>
      </x:c>
      <x:c r="H149" s="20" t="s">
        <x:v>92</x:v>
      </x:c>
      <x:c r="I149" s="21">
        <x:v>46292</x:v>
      </x:c>
      <x:c r="J149" s="20" t="s">
        <x:v>442</x:v>
      </x:c>
      <x:c r="K149" s="20" t="s">
        <x:v>62</x:v>
      </x:c>
    </x:row>
    <x:row r="150" ht="160" customHeight="1">
      <x:c r="A150" s="240">
        <x:v>145</x:v>
      </x:c>
      <x:c r="B150" s="241" t="s">
        <x:v>26</x:v>
      </x:c>
      <x:c r="C150" s="242" t="s">
        <x:v>88</x:v>
      </x:c>
      <x:c r="D150" s="109" t="s">
        <x:v>443</x:v>
      </x:c>
      <x:c r="E150" s="109" t="s">
        <x:v>444</x:v>
      </x:c>
      <x:c r="F150" s="303" t="str">
        <x:v>暂时测不了</x:v>
      </x:c>
      <x:c r="G150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150" s="303" t="str">
        <x:v>Codex</x:v>
      </x:c>
      <x:c r="I150" s="302" t="n">
        <x:v>46293</x:v>
      </x:c>
      <x:c r="J150" s="303" t="str">
        <x:v>本轮报告；隔离回归日志；既有第八/九轮证据保留</x:v>
      </x:c>
      <x:c r="K150" s="303" t="str">
        <x:v>前置条件未齐</x:v>
      </x:c>
    </x:row>
    <x:row r="151" ht="160" customHeight="1">
      <x:c r="A151" s="240">
        <x:v>146</x:v>
      </x:c>
      <x:c r="B151" s="241" t="s">
        <x:v>26</x:v>
      </x:c>
      <x:c r="C151" s="242" t="s">
        <x:v>88</x:v>
      </x:c>
      <x:c r="D151" s="108" t="s">
        <x:v>445</x:v>
      </x:c>
      <x:c r="E151" s="108" t="s">
        <x:v>446</x:v>
      </x:c>
      <x:c r="F151" s="303" t="str">
        <x:v>暂时测不了</x:v>
      </x:c>
      <x:c r="G151" s="303" t="str">
        <x:v>第十轮：冻结原件哈希不变沿用前轮证据；缺同批业务继续变化后新旧材料全链路对照。</x:v>
      </x:c>
      <x:c r="H151" s="303" t="str">
        <x:v>Codex</x:v>
      </x:c>
      <x:c r="I151" s="302" t="n">
        <x:v>46293</x:v>
      </x:c>
      <x:c r="J151" s="303" t="str">
        <x:v>第十轮报告；本轮回放/页面/隔离回归证据</x:v>
      </x:c>
      <x:c r="K151" s="303" t="str">
        <x:v>场景或环境前置条件未齐</x:v>
      </x:c>
    </x:row>
    <x:row r="152" ht="160" customHeight="1">
      <x:c r="A152" s="243">
        <x:v>147</x:v>
      </x:c>
      <x:c r="B152" s="244" t="s">
        <x:v>27</x:v>
      </x:c>
      <x:c r="C152" s="245" t="s">
        <x:v>88</x:v>
      </x:c>
      <x:c r="D152" s="246" t="s">
        <x:v>447</x:v>
      </x:c>
      <x:c r="E152" s="246" t="s">
        <x:v>448</x:v>
      </x:c>
      <x:c r="F152" s="326" t="str">
        <x:v>暂时测不了</x:v>
      </x:c>
      <x:c r="G152" s="326" t="str">
        <x:v>第十轮：缺本组合独立规则版本、已核验主体和可执行设备回执链；自动服务隔离测试已通过，但未将单个条件分支扩记为自动/手动整链通过。</x:v>
      </x:c>
      <x:c r="H152" s="326" t="str">
        <x:v>Codex</x:v>
      </x:c>
      <x:c r="I152" s="325" t="n">
        <x:v>46293</x:v>
      </x:c>
      <x:c r="J152" s="326" t="str">
        <x:v>本轮报告；隔离回归日志；既有第八/九轮证据保留</x:v>
      </x:c>
      <x:c r="K152" s="326" t="str">
        <x:v>前置条件未齐</x:v>
      </x:c>
    </x:row>
    <x:row r="153" ht="160" customHeight="1">
      <x:c r="A153" s="249">
        <x:v>148</x:v>
      </x:c>
      <x:c r="B153" s="250" t="s">
        <x:v>27</x:v>
      </x:c>
      <x:c r="C153" s="251" t="s">
        <x:v>94</x:v>
      </x:c>
      <x:c r="D153" s="108" t="s">
        <x:v>449</x:v>
      </x:c>
      <x:c r="E153" s="108" t="s">
        <x:v>450</x:v>
      </x:c>
      <x:c r="F153" s="303" t="str">
        <x:v>暂时测不了</x:v>
      </x:c>
      <x:c r="G153" s="303" t="str">
        <x:v>第十轮：缺本组合独立规则版本、已核验主体和可执行设备回执链；自动服务隔离测试已通过，但未将单个条件分支扩记为自动/手动整链通过。</x:v>
      </x:c>
      <x:c r="H153" s="303" t="str">
        <x:v>Codex</x:v>
      </x:c>
      <x:c r="I153" s="302" t="n">
        <x:v>46293</x:v>
      </x:c>
      <x:c r="J153" s="303" t="str">
        <x:v>本轮报告；隔离回归日志；既有第八/九轮证据保留</x:v>
      </x:c>
      <x:c r="K153" s="303" t="str">
        <x:v>前置条件未齐</x:v>
      </x:c>
    </x:row>
    <x:row r="154" ht="160" customHeight="1">
      <x:c r="A154" s="249">
        <x:v>149</x:v>
      </x:c>
      <x:c r="B154" s="250" t="s">
        <x:v>27</x:v>
      </x:c>
      <x:c r="C154" s="251" t="s">
        <x:v>88</x:v>
      </x:c>
      <x:c r="D154" s="109" t="s">
        <x:v>451</x:v>
      </x:c>
      <x:c r="E154" s="109" t="s">
        <x:v>452</x:v>
      </x:c>
      <x:c r="F154" s="303" t="str">
        <x:v>暂时测不了</x:v>
      </x:c>
      <x:c r="G154" s="303" t="str">
        <x:v>第十轮：缺本组合独立规则版本、已核验主体和可执行设备回执链；自动服务隔离测试已通过，但未将单个条件分支扩记为自动/手动整链通过。</x:v>
      </x:c>
      <x:c r="H154" s="303" t="str">
        <x:v>Codex</x:v>
      </x:c>
      <x:c r="I154" s="302" t="n">
        <x:v>46293</x:v>
      </x:c>
      <x:c r="J154" s="303" t="str">
        <x:v>本轮报告；隔离回归日志；既有第八/九轮证据保留</x:v>
      </x:c>
      <x:c r="K154" s="303" t="str">
        <x:v>前置条件未齐</x:v>
      </x:c>
    </x:row>
    <x:row r="155" ht="160" customHeight="1">
      <x:c r="A155" s="249">
        <x:v>150</x:v>
      </x:c>
      <x:c r="B155" s="250" t="s">
        <x:v>27</x:v>
      </x:c>
      <x:c r="C155" s="251" t="s">
        <x:v>88</x:v>
      </x:c>
      <x:c r="D155" s="108" t="s">
        <x:v>453</x:v>
      </x:c>
      <x:c r="E155" s="108" t="s">
        <x:v>454</x:v>
      </x:c>
      <x:c r="F155" s="303" t="str">
        <x:v>暂时测不了</x:v>
      </x:c>
      <x:c r="G155" s="303" t="str">
        <x:v>第十轮：缺本组合独立规则版本、已核验主体和可执行设备回执链；自动服务隔离测试已通过，但未将单个条件分支扩记为自动/手动整链通过。</x:v>
      </x:c>
      <x:c r="H155" s="303" t="str">
        <x:v>Codex</x:v>
      </x:c>
      <x:c r="I155" s="302" t="n">
        <x:v>46293</x:v>
      </x:c>
      <x:c r="J155" s="303" t="str">
        <x:v>本轮报告；隔离回归日志；既有第八/九轮证据保留</x:v>
      </x:c>
      <x:c r="K155" s="303" t="str">
        <x:v>前置条件未齐</x:v>
      </x:c>
    </x:row>
    <x:row r="156" ht="160" customHeight="1">
      <x:c r="A156" s="249">
        <x:v>151</x:v>
      </x:c>
      <x:c r="B156" s="250" t="s">
        <x:v>27</x:v>
      </x:c>
      <x:c r="C156" s="251" t="s">
        <x:v>88</x:v>
      </x:c>
      <x:c r="D156" s="109" t="s">
        <x:v>455</x:v>
      </x:c>
      <x:c r="E156" s="109" t="s">
        <x:v>456</x:v>
      </x:c>
      <x:c r="F156" s="303" t="str">
        <x:v>暂时测不了</x:v>
      </x:c>
      <x:c r="G156" s="303" t="str">
        <x:v>第十轮：缺本组合独立规则版本、已核验主体和可执行设备回执链；自动服务隔离测试已通过，但未将单个条件分支扩记为自动/手动整链通过。</x:v>
      </x:c>
      <x:c r="H156" s="303" t="str">
        <x:v>Codex</x:v>
      </x:c>
      <x:c r="I156" s="302" t="n">
        <x:v>46293</x:v>
      </x:c>
      <x:c r="J156" s="303" t="str">
        <x:v>本轮报告；隔离回归日志；既有第八/九轮证据保留</x:v>
      </x:c>
      <x:c r="K156" s="303" t="str">
        <x:v>前置条件未齐</x:v>
      </x:c>
    </x:row>
    <x:row r="157" ht="160" customHeight="1">
      <x:c r="A157" s="249">
        <x:v>152</x:v>
      </x:c>
      <x:c r="B157" s="250" t="s">
        <x:v>27</x:v>
      </x:c>
      <x:c r="C157" s="251" t="s">
        <x:v>94</x:v>
      </x:c>
      <x:c r="D157" s="108" t="s">
        <x:v>457</x:v>
      </x:c>
      <x:c r="E157" s="108" t="s">
        <x:v>458</x:v>
      </x:c>
      <x:c r="F157" s="303" t="str">
        <x:v>暂时测不了</x:v>
      </x:c>
      <x:c r="G157" s="303" t="str">
        <x:v>第十轮：缺本组合独立规则版本、已核验主体和可执行设备回执链；自动服务隔离测试已通过，但未将单个条件分支扩记为自动/手动整链通过。</x:v>
      </x:c>
      <x:c r="H157" s="303" t="str">
        <x:v>Codex</x:v>
      </x:c>
      <x:c r="I157" s="302" t="n">
        <x:v>46293</x:v>
      </x:c>
      <x:c r="J157" s="303" t="str">
        <x:v>本轮报告；隔离回归日志；既有第八/九轮证据保留</x:v>
      </x:c>
      <x:c r="K157" s="303" t="str">
        <x:v>前置条件未齐</x:v>
      </x:c>
    </x:row>
  </x:sheetData>
  <x:conditionalFormatting sqref="C6:C157">
    <x:cfRule type="cellIs" dxfId="1" priority="6" operator="equal">
      <x:formula>"必须先测"</x:formula>
    </x:cfRule>
  </x:conditionalFormatting>
  <x:conditionalFormatting sqref="F6:F157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0" priority="3" operator="equal">
      <x:formula>"有问题"</x:formula>
    </x:cfRule>
    <x:cfRule type="cellIs" dxfId="4" priority="4" operator="equal">
      <x:formula>"暂时测不了"</x:formula>
    </x:cfRule>
    <x:cfRule type="cellIs" dxfId="5" priority="5" operator="equal">
      <x:formula>"不适用"</x:formula>
    </x:cfRule>
  </x:conditionalFormatting>
  <x:dataValidations count="1">
    <x:dataValidation type="list" sqref="F6:F157">
      <x:formula1>"还没测,通过,有问题,暂时测不了,不适用"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3fd3e6986e47a0"/>
  </x:tableParts>
</x:worksheet>
</file>

<file path=xl/worksheets/sheet3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5" topLeftCell="A6" activePane="bottomLeft" state="frozen"/>
    </x:sheetView>
  </x:sheetViews>
  <x:sheetFormatPr defaultColWidth="9" defaultRowHeight="14"/>
  <x:cols>
    <x:col min="1" max="1" width="34" customWidth="1"/>
    <x:col min="2" max="2" width="100" customWidth="1"/>
    <x:col min="3" max="3" width="70" customWidth="1"/>
  </x:cols>
  <x:sheetData>
    <x:row r="1" ht="16.5">
      <x:c r="A1" s="15"/>
      <x:c r="B1" s="15"/>
      <x:c r="C1" s="15"/>
    </x:row>
    <x:row r="2" ht="32" customHeight="1">
      <x:c r="A2" s="106" t="s">
        <x:v>459</x:v>
      </x:c>
      <x:c r="B2" s="107"/>
      <x:c r="C2" s="107"/>
    </x:row>
    <x:row r="3" ht="16.5">
      <x:c r="A3" s="15"/>
      <x:c r="B3" s="15" t="s">
        <x:v>460</x:v>
      </x:c>
      <x:c r="C3" s="15"/>
    </x:row>
    <x:row r="4" ht="16.5">
      <x:c r="A4" s="15"/>
      <x:c r="B4" s="15"/>
      <x:c r="C4" s="15"/>
    </x:row>
    <x:row r="5" ht="32" customHeight="1">
      <x:c r="A5" s="18" t="s">
        <x:v>461</x:v>
      </x:c>
      <x:c r="B5" s="18" t="s">
        <x:v>462</x:v>
      </x:c>
      <x:c r="C5" s="18" t="s">
        <x:v>463</x:v>
      </x:c>
    </x:row>
    <x:row r="6" ht="46" customHeight="1">
      <x:c r="A6" s="108" t="s">
        <x:v>464</x:v>
      </x:c>
      <x:c r="B6" s="108" t="s">
        <x:v>465</x:v>
      </x:c>
      <x:c r="C6" s="108" t="s">
        <x:v>62</x:v>
      </x:c>
    </x:row>
    <x:row r="7" ht="32" customHeight="1">
      <x:c r="A7" s="109" t="s">
        <x:v>464</x:v>
      </x:c>
      <x:c r="B7" s="109" t="s">
        <x:v>466</x:v>
      </x:c>
      <x:c r="C7" s="109" t="s">
        <x:v>62</x:v>
      </x:c>
    </x:row>
    <x:row r="8" ht="32" customHeight="1">
      <x:c r="A8" s="110" t="s">
        <x:v>467</x:v>
      </x:c>
      <x:c r="B8" s="110" t="s">
        <x:v>62</x:v>
      </x:c>
      <x:c r="C8" s="110" t="s">
        <x:v>62</x:v>
      </x:c>
    </x:row>
    <x:row r="9" ht="72" customHeight="1">
      <x:c r="A9" s="109" t="s">
        <x:v>467</x:v>
      </x:c>
      <x:c r="B9" s="109" t="s">
        <x:v>468</x:v>
      </x:c>
      <x:c r="C9" s="109" t="s">
        <x:v>62</x:v>
      </x:c>
    </x:row>
    <x:row r="10" ht="46" customHeight="1">
      <x:c r="A10" s="108" t="s">
        <x:v>467</x:v>
      </x:c>
      <x:c r="B10" s="108" t="s">
        <x:v>469</x:v>
      </x:c>
      <x:c r="C10" s="108" t="s">
        <x:v>62</x:v>
      </x:c>
    </x:row>
    <x:row r="11" ht="32" customHeight="1">
      <x:c r="A11" s="109" t="s">
        <x:v>470</x:v>
      </x:c>
      <x:c r="B11" s="109" t="s">
        <x:v>471</x:v>
      </x:c>
      <x:c r="C11" s="109" t="s">
        <x:v>472</x:v>
      </x:c>
    </x:row>
    <x:row r="12" ht="32" customHeight="1">
      <x:c r="A12" s="108" t="s">
        <x:v>473</x:v>
      </x:c>
      <x:c r="B12" s="108" t="s">
        <x:v>474</x:v>
      </x:c>
      <x:c r="C12" s="108" t="s">
        <x:v>475</x:v>
      </x:c>
    </x:row>
    <x:row r="13" ht="32" customHeight="1">
      <x:c r="A13" s="109" t="s">
        <x:v>476</x:v>
      </x:c>
      <x:c r="B13" s="109" t="s">
        <x:v>477</x:v>
      </x:c>
      <x:c r="C13" s="109" t="s">
        <x:v>478</x:v>
      </x:c>
    </x:row>
    <x:row r="14" ht="32" customHeight="1">
      <x:c r="A14" s="108" t="s">
        <x:v>479</x:v>
      </x:c>
      <x:c r="B14" s="108" t="s">
        <x:v>480</x:v>
      </x:c>
      <x:c r="C14" s="108" t="s">
        <x:v>481</x:v>
      </x:c>
    </x:row>
    <x:row r="15" ht="46" customHeight="1">
      <x:c r="A15" s="109" t="s">
        <x:v>467</x:v>
      </x:c>
      <x:c r="B15" s="109" t="s">
        <x:v>482</x:v>
      </x:c>
      <x:c r="C15" s="109" t="s">
        <x:v>62</x:v>
      </x:c>
    </x:row>
    <x:row r="16" ht="32" customHeight="1">
      <x:c r="A16" s="111" t="s">
        <x:v>483</x:v>
      </x:c>
      <x:c r="B16" s="111" t="s">
        <x:v>62</x:v>
      </x:c>
      <x:c r="C16" s="111" t="s">
        <x:v>62</x:v>
      </x:c>
    </x:row>
    <x:row r="17" ht="32" customHeight="1">
      <x:c r="A17" s="112" t="s">
        <x:v>484</x:v>
      </x:c>
      <x:c r="B17" s="112" t="s">
        <x:v>62</x:v>
      </x:c>
      <x:c r="C17" s="112" t="s">
        <x:v>62</x:v>
      </x:c>
    </x:row>
    <x:row r="18" ht="46" customHeight="1">
      <x:c r="A18" s="108" t="s">
        <x:v>484</x:v>
      </x:c>
      <x:c r="B18" s="108" t="s">
        <x:v>485</x:v>
      </x:c>
      <x:c r="C18" s="108" t="s">
        <x:v>62</x:v>
      </x:c>
    </x:row>
    <x:row r="19" ht="32" customHeight="1">
      <x:c r="A19" s="109" t="s">
        <x:v>486</x:v>
      </x:c>
      <x:c r="B19" s="109" t="s">
        <x:v>487</x:v>
      </x:c>
      <x:c r="C19" s="109" t="s">
        <x:v>62</x:v>
      </x:c>
    </x:row>
    <x:row r="20" ht="32" customHeight="1">
      <x:c r="A20" s="108" t="s">
        <x:v>488</x:v>
      </x:c>
      <x:c r="B20" s="108" t="s">
        <x:v>489</x:v>
      </x:c>
      <x:c r="C20" s="108" t="s">
        <x:v>62</x:v>
      </x:c>
    </x:row>
    <x:row r="21" ht="32" customHeight="1">
      <x:c r="A21" s="109" t="s">
        <x:v>490</x:v>
      </x:c>
      <x:c r="B21" s="109" t="s">
        <x:v>491</x:v>
      </x:c>
      <x:c r="C21" s="109" t="s">
        <x:v>62</x:v>
      </x:c>
    </x:row>
    <x:row r="22" ht="32" customHeight="1">
      <x:c r="A22" s="108" t="s">
        <x:v>492</x:v>
      </x:c>
      <x:c r="B22" s="108" t="s">
        <x:v>493</x:v>
      </x:c>
      <x:c r="C22" s="108" t="s">
        <x:v>62</x:v>
      </x:c>
    </x:row>
    <x:row r="23" ht="32" customHeight="1">
      <x:c r="A23" s="109" t="s">
        <x:v>494</x:v>
      </x:c>
      <x:c r="B23" s="109" t="s">
        <x:v>495</x:v>
      </x:c>
      <x:c r="C23" s="109" t="s">
        <x:v>62</x:v>
      </x:c>
    </x:row>
    <x:row r="24" ht="32" customHeight="1">
      <x:c r="A24" s="108" t="s">
        <x:v>496</x:v>
      </x:c>
      <x:c r="B24" s="108" t="s">
        <x:v>497</x:v>
      </x:c>
      <x:c r="C24" s="108" t="s">
        <x:v>62</x:v>
      </x:c>
    </x:row>
    <x:row r="25" ht="32" customHeight="1">
      <x:c r="A25" s="109" t="s">
        <x:v>498</x:v>
      </x:c>
      <x:c r="B25" s="109" t="s">
        <x:v>499</x:v>
      </x:c>
      <x:c r="C25" s="109" t="s">
        <x:v>62</x:v>
      </x:c>
    </x:row>
    <x:row r="26" ht="32" customHeight="1">
      <x:c r="A26" s="108" t="s">
        <x:v>500</x:v>
      </x:c>
      <x:c r="B26" s="108" t="s">
        <x:v>501</x:v>
      </x:c>
      <x:c r="C26" s="108" t="s">
        <x:v>62</x:v>
      </x:c>
    </x:row>
    <x:row r="27" ht="32" customHeight="1">
      <x:c r="A27" s="109" t="s">
        <x:v>502</x:v>
      </x:c>
      <x:c r="B27" s="109" t="s">
        <x:v>503</x:v>
      </x:c>
      <x:c r="C27" s="109" t="s">
        <x:v>62</x:v>
      </x:c>
    </x:row>
    <x:row r="28" ht="32" customHeight="1">
      <x:c r="A28" s="108" t="s">
        <x:v>504</x:v>
      </x:c>
      <x:c r="B28" s="108" t="s">
        <x:v>505</x:v>
      </x:c>
      <x:c r="C28" s="108" t="s">
        <x:v>62</x:v>
      </x:c>
    </x:row>
    <x:row r="29" ht="32" customHeight="1">
      <x:c r="A29" s="109" t="s">
        <x:v>484</x:v>
      </x:c>
      <x:c r="B29" s="109" t="s">
        <x:v>506</x:v>
      </x:c>
      <x:c r="C29" s="109" t="s">
        <x:v>62</x:v>
      </x:c>
    </x:row>
    <x:row r="30" ht="32" customHeight="1">
      <x:c r="A30" s="113" t="s">
        <x:v>507</x:v>
      </x:c>
      <x:c r="B30" s="113" t="s">
        <x:v>62</x:v>
      </x:c>
      <x:c r="C30" s="113" t="s">
        <x:v>62</x:v>
      </x:c>
    </x:row>
    <x:row r="31" ht="46" customHeight="1">
      <x:c r="A31" s="109" t="s">
        <x:v>507</x:v>
      </x:c>
      <x:c r="B31" s="109" t="s">
        <x:v>508</x:v>
      </x:c>
      <x:c r="C31" s="109" t="s">
        <x:v>62</x:v>
      </x:c>
    </x:row>
    <x:row r="32" ht="32" customHeight="1">
      <x:c r="A32" s="108" t="s">
        <x:v>509</x:v>
      </x:c>
      <x:c r="B32" s="108" t="s">
        <x:v>510</x:v>
      </x:c>
      <x:c r="C32" s="108" t="s">
        <x:v>62</x:v>
      </x:c>
    </x:row>
    <x:row r="33" ht="32" customHeight="1">
      <x:c r="A33" s="109" t="s">
        <x:v>511</x:v>
      </x:c>
      <x:c r="B33" s="109" t="s">
        <x:v>512</x:v>
      </x:c>
      <x:c r="C33" s="109" t="s">
        <x:v>62</x:v>
      </x:c>
    </x:row>
    <x:row r="34" ht="32" customHeight="1">
      <x:c r="A34" s="108" t="s">
        <x:v>513</x:v>
      </x:c>
      <x:c r="B34" s="108" t="s">
        <x:v>514</x:v>
      </x:c>
      <x:c r="C34" s="108" t="s">
        <x:v>62</x:v>
      </x:c>
    </x:row>
    <x:row r="35" ht="32" customHeight="1">
      <x:c r="A35" s="109" t="s">
        <x:v>515</x:v>
      </x:c>
      <x:c r="B35" s="109" t="s">
        <x:v>516</x:v>
      </x:c>
      <x:c r="C35" s="109" t="s">
        <x:v>62</x:v>
      </x:c>
    </x:row>
    <x:row r="36" ht="32" customHeight="1">
      <x:c r="A36" s="108" t="s">
        <x:v>517</x:v>
      </x:c>
      <x:c r="B36" s="108" t="s">
        <x:v>518</x:v>
      </x:c>
      <x:c r="C36" s="108" t="s">
        <x:v>62</x:v>
      </x:c>
    </x:row>
    <x:row r="37" ht="32" customHeight="1">
      <x:c r="A37" s="109" t="s">
        <x:v>519</x:v>
      </x:c>
      <x:c r="B37" s="109" t="s">
        <x:v>520</x:v>
      </x:c>
      <x:c r="C37" s="109" t="s">
        <x:v>62</x:v>
      </x:c>
    </x:row>
    <x:row r="38" ht="32" customHeight="1">
      <x:c r="A38" s="108" t="s">
        <x:v>521</x:v>
      </x:c>
      <x:c r="B38" s="108" t="s">
        <x:v>522</x:v>
      </x:c>
      <x:c r="C38" s="108" t="s">
        <x:v>62</x:v>
      </x:c>
    </x:row>
    <x:row r="39" ht="32" customHeight="1">
      <x:c r="A39" s="109" t="s">
        <x:v>523</x:v>
      </x:c>
      <x:c r="B39" s="109" t="s">
        <x:v>524</x:v>
      </x:c>
      <x:c r="C39" s="109" t="s">
        <x:v>62</x:v>
      </x:c>
    </x:row>
    <x:row r="40" ht="32" customHeight="1">
      <x:c r="A40" s="108" t="s">
        <x:v>525</x:v>
      </x:c>
      <x:c r="B40" s="108" t="s">
        <x:v>526</x:v>
      </x:c>
      <x:c r="C40" s="108" t="s">
        <x:v>62</x:v>
      </x:c>
    </x:row>
    <x:row r="41" ht="32" customHeight="1">
      <x:c r="A41" s="109" t="s">
        <x:v>527</x:v>
      </x:c>
      <x:c r="B41" s="109" t="s">
        <x:v>528</x:v>
      </x:c>
      <x:c r="C41" s="109" t="s">
        <x:v>62</x:v>
      </x:c>
    </x:row>
    <x:row r="42" ht="32" customHeight="1">
      <x:c r="A42" s="108" t="s">
        <x:v>529</x:v>
      </x:c>
      <x:c r="B42" s="108" t="s">
        <x:v>530</x:v>
      </x:c>
      <x:c r="C42" s="108" t="s">
        <x:v>62</x:v>
      </x:c>
    </x:row>
    <x:row r="43" ht="32" customHeight="1">
      <x:c r="A43" s="109" t="s">
        <x:v>531</x:v>
      </x:c>
      <x:c r="B43" s="109" t="s">
        <x:v>532</x:v>
      </x:c>
      <x:c r="C43" s="109" t="s">
        <x:v>62</x:v>
      </x:c>
    </x:row>
    <x:row r="44" ht="46" customHeight="1">
      <x:c r="A44" s="108" t="s">
        <x:v>507</x:v>
      </x:c>
      <x:c r="B44" s="108" t="s">
        <x:v>533</x:v>
      </x:c>
      <x:c r="C44" s="108" t="s">
        <x:v>62</x:v>
      </x:c>
    </x:row>
    <x:row r="45" ht="32" customHeight="1">
      <x:c r="A45" s="114" t="s">
        <x:v>534</x:v>
      </x:c>
      <x:c r="B45" s="114" t="s">
        <x:v>62</x:v>
      </x:c>
      <x:c r="C45" s="114" t="s">
        <x:v>62</x:v>
      </x:c>
    </x:row>
    <x:row r="46" ht="32" customHeight="1">
      <x:c r="A46" s="108" t="s">
        <x:v>534</x:v>
      </x:c>
      <x:c r="B46" s="108" t="s">
        <x:v>535</x:v>
      </x:c>
      <x:c r="C46" s="108" t="s">
        <x:v>62</x:v>
      </x:c>
    </x:row>
    <x:row r="47" ht="32" customHeight="1">
      <x:c r="A47" s="109" t="s">
        <x:v>536</x:v>
      </x:c>
      <x:c r="B47" s="109" t="s">
        <x:v>537</x:v>
      </x:c>
      <x:c r="C47" s="109" t="s">
        <x:v>62</x:v>
      </x:c>
    </x:row>
    <x:row r="48" ht="32" customHeight="1">
      <x:c r="A48" s="108" t="s">
        <x:v>538</x:v>
      </x:c>
      <x:c r="B48" s="108" t="s">
        <x:v>539</x:v>
      </x:c>
      <x:c r="C48" s="108" t="s">
        <x:v>62</x:v>
      </x:c>
    </x:row>
    <x:row r="49" ht="46" customHeight="1">
      <x:c r="A49" s="109" t="s">
        <x:v>540</x:v>
      </x:c>
      <x:c r="B49" s="109" t="s">
        <x:v>541</x:v>
      </x:c>
      <x:c r="C49" s="109" t="s">
        <x:v>62</x:v>
      </x:c>
    </x:row>
    <x:row r="50" ht="32" customHeight="1">
      <x:c r="A50" s="108" t="s">
        <x:v>542</x:v>
      </x:c>
      <x:c r="B50" s="108" t="s">
        <x:v>543</x:v>
      </x:c>
      <x:c r="C50" s="108" t="s">
        <x:v>62</x:v>
      </x:c>
    </x:row>
    <x:row r="51" ht="32" customHeight="1">
      <x:c r="A51" s="109" t="s">
        <x:v>544</x:v>
      </x:c>
      <x:c r="B51" s="109" t="s">
        <x:v>545</x:v>
      </x:c>
      <x:c r="C51" s="109" t="s">
        <x:v>62</x:v>
      </x:c>
    </x:row>
    <x:row r="52" ht="32" customHeight="1">
      <x:c r="A52" s="108" t="s">
        <x:v>546</x:v>
      </x:c>
      <x:c r="B52" s="108" t="s">
        <x:v>547</x:v>
      </x:c>
      <x:c r="C52" s="108" t="s">
        <x:v>62</x:v>
      </x:c>
    </x:row>
    <x:row r="53" ht="32" customHeight="1">
      <x:c r="A53" s="109" t="s">
        <x:v>534</x:v>
      </x:c>
      <x:c r="B53" s="109" t="s">
        <x:v>548</x:v>
      </x:c>
      <x:c r="C53" s="109" t="s">
        <x:v>62</x:v>
      </x:c>
    </x:row>
    <x:row r="54" ht="32" customHeight="1">
      <x:c r="A54" s="115" t="s">
        <x:v>549</x:v>
      </x:c>
      <x:c r="B54" s="115" t="s">
        <x:v>62</x:v>
      </x:c>
      <x:c r="C54" s="115" t="s">
        <x:v>62</x:v>
      </x:c>
    </x:row>
    <x:row r="55" ht="32" customHeight="1">
      <x:c r="A55" s="109" t="s">
        <x:v>550</x:v>
      </x:c>
      <x:c r="B55" s="109" t="s">
        <x:v>551</x:v>
      </x:c>
      <x:c r="C55" s="109" t="s">
        <x:v>552</x:v>
      </x:c>
    </x:row>
    <x:row r="56" ht="32" customHeight="1">
      <x:c r="A56" s="108" t="s">
        <x:v>553</x:v>
      </x:c>
      <x:c r="B56" s="108" t="s">
        <x:v>554</x:v>
      </x:c>
      <x:c r="C56" s="108" t="s">
        <x:v>555</x:v>
      </x:c>
    </x:row>
    <x:row r="57" ht="32" customHeight="1">
      <x:c r="A57" s="109" t="s">
        <x:v>556</x:v>
      </x:c>
      <x:c r="B57" s="109" t="s">
        <x:v>557</x:v>
      </x:c>
      <x:c r="C57" s="109" t="s">
        <x:v>558</x:v>
      </x:c>
    </x:row>
    <x:row r="58" ht="46" customHeight="1">
      <x:c r="A58" s="108" t="s">
        <x:v>559</x:v>
      </x:c>
      <x:c r="B58" s="108" t="s">
        <x:v>560</x:v>
      </x:c>
      <x:c r="C58" s="108" t="s">
        <x:v>561</x:v>
      </x:c>
    </x:row>
    <x:row r="59" ht="32" customHeight="1">
      <x:c r="A59" s="109" t="s">
        <x:v>562</x:v>
      </x:c>
      <x:c r="B59" s="109" t="s">
        <x:v>563</x:v>
      </x:c>
      <x:c r="C59" s="109" t="s">
        <x:v>564</x:v>
      </x:c>
    </x:row>
    <x:row r="60" ht="32" customHeight="1">
      <x:c r="A60" s="108" t="s">
        <x:v>565</x:v>
      </x:c>
      <x:c r="B60" s="108" t="s">
        <x:v>566</x:v>
      </x:c>
      <x:c r="C60" s="108" t="s">
        <x:v>567</x:v>
      </x:c>
    </x:row>
    <x:row r="61" ht="46" customHeight="1">
      <x:c r="A61" s="109" t="s">
        <x:v>549</x:v>
      </x:c>
      <x:c r="B61" s="109" t="s">
        <x:v>568</x:v>
      </x:c>
      <x:c r="C61" s="109" t="s">
        <x:v>62</x:v>
      </x:c>
    </x:row>
    <x:row r="62" ht="32" customHeight="1">
      <x:c r="A62" s="116" t="s">
        <x:v>569</x:v>
      </x:c>
      <x:c r="B62" s="116" t="s">
        <x:v>62</x:v>
      </x:c>
      <x:c r="C62" s="116" t="s">
        <x:v>62</x:v>
      </x:c>
    </x:row>
    <x:row r="63" ht="32" customHeight="1">
      <x:c r="A63" s="117" t="s">
        <x:v>570</x:v>
      </x:c>
      <x:c r="B63" s="117" t="s">
        <x:v>62</x:v>
      </x:c>
      <x:c r="C63" s="117" t="s">
        <x:v>62</x:v>
      </x:c>
    </x:row>
    <x:row r="64" ht="46" customHeight="1">
      <x:c r="A64" s="108" t="s">
        <x:v>570</x:v>
      </x:c>
      <x:c r="B64" s="108" t="s">
        <x:v>571</x:v>
      </x:c>
      <x:c r="C64" s="108" t="s">
        <x:v>62</x:v>
      </x:c>
    </x:row>
    <x:row r="65" ht="46" customHeight="1">
      <x:c r="A65" s="109" t="s">
        <x:v>570</x:v>
      </x:c>
      <x:c r="B65" s="109" t="s">
        <x:v>572</x:v>
      </x:c>
      <x:c r="C65" s="109" t="s">
        <x:v>62</x:v>
      </x:c>
    </x:row>
    <x:row r="66" ht="46" customHeight="1">
      <x:c r="A66" s="118" t="s">
        <x:v>573</x:v>
      </x:c>
      <x:c r="B66" s="118" t="s">
        <x:v>62</x:v>
      </x:c>
      <x:c r="C66" s="118" t="s">
        <x:v>62</x:v>
      </x:c>
    </x:row>
    <x:row r="67" ht="46" customHeight="1">
      <x:c r="A67" s="109" t="s">
        <x:v>573</x:v>
      </x:c>
      <x:c r="B67" s="109" t="s">
        <x:v>574</x:v>
      </x:c>
      <x:c r="C67" s="109" t="s">
        <x:v>62</x:v>
      </x:c>
    </x:row>
    <x:row r="68" ht="63" customHeight="1">
      <x:c r="A68" s="108" t="s">
        <x:v>573</x:v>
      </x:c>
      <x:c r="B68" s="108" t="s">
        <x:v>575</x:v>
      </x:c>
      <x:c r="C68" s="108" t="s">
        <x:v>62</x:v>
      </x:c>
    </x:row>
    <x:row r="69" ht="46" customHeight="1">
      <x:c r="A69" s="109" t="s">
        <x:v>573</x:v>
      </x:c>
      <x:c r="B69" s="109" t="s">
        <x:v>576</x:v>
      </x:c>
      <x:c r="C69" s="109" t="s">
        <x:v>62</x:v>
      </x:c>
    </x:row>
    <x:row r="70" ht="46" customHeight="1">
      <x:c r="A70" s="119" t="s">
        <x:v>577</x:v>
      </x:c>
      <x:c r="B70" s="119" t="s">
        <x:v>62</x:v>
      </x:c>
      <x:c r="C70" s="119" t="s">
        <x:v>62</x:v>
      </x:c>
    </x:row>
    <x:row r="71" ht="46" customHeight="1">
      <x:c r="A71" s="109" t="s">
        <x:v>577</x:v>
      </x:c>
      <x:c r="B71" s="109" t="s">
        <x:v>578</x:v>
      </x:c>
      <x:c r="C71" s="109" t="s">
        <x:v>62</x:v>
      </x:c>
    </x:row>
    <x:row r="72" ht="46" customHeight="1">
      <x:c r="A72" s="108" t="s">
        <x:v>577</x:v>
      </x:c>
      <x:c r="B72" s="108" t="s">
        <x:v>579</x:v>
      </x:c>
      <x:c r="C72" s="108" t="s">
        <x:v>62</x:v>
      </x:c>
    </x:row>
    <x:row r="73" ht="32" customHeight="1">
      <x:c r="A73" s="120" t="s">
        <x:v>580</x:v>
      </x:c>
      <x:c r="B73" s="120" t="s">
        <x:v>62</x:v>
      </x:c>
      <x:c r="C73" s="120" t="s">
        <x:v>62</x:v>
      </x:c>
    </x:row>
    <x:row r="74" ht="32" customHeight="1">
      <x:c r="A74" s="108" t="s">
        <x:v>580</x:v>
      </x:c>
      <x:c r="B74" s="108" t="s">
        <x:v>581</x:v>
      </x:c>
      <x:c r="C74" s="108" t="s">
        <x:v>62</x:v>
      </x:c>
    </x:row>
    <x:row r="75" ht="46" customHeight="1">
      <x:c r="A75" s="109" t="s">
        <x:v>580</x:v>
      </x:c>
      <x:c r="B75" s="109" t="s">
        <x:v>582</x:v>
      </x:c>
      <x:c r="C75" s="109" t="s">
        <x:v>62</x:v>
      </x:c>
    </x:row>
    <x:row r="76" ht="32" customHeight="1">
      <x:c r="A76" s="121" t="s">
        <x:v>583</x:v>
      </x:c>
      <x:c r="B76" s="121" t="s">
        <x:v>62</x:v>
      </x:c>
      <x:c r="C76" s="121" t="s">
        <x:v>62</x:v>
      </x:c>
    </x:row>
    <x:row r="77" ht="46" customHeight="1">
      <x:c r="A77" s="109" t="s">
        <x:v>583</x:v>
      </x:c>
      <x:c r="B77" s="109" t="s">
        <x:v>584</x:v>
      </x:c>
      <x:c r="C77" s="109" t="s">
        <x:v>62</x:v>
      </x:c>
    </x:row>
    <x:row r="78" ht="32" customHeight="1">
      <x:c r="A78" s="108" t="s">
        <x:v>583</x:v>
      </x:c>
      <x:c r="B78" s="108" t="s">
        <x:v>585</x:v>
      </x:c>
      <x:c r="C78" s="108" t="s">
        <x:v>62</x:v>
      </x:c>
    </x:row>
    <x:row r="79" ht="32" customHeight="1">
      <x:c r="A79" s="122" t="s">
        <x:v>586</x:v>
      </x:c>
      <x:c r="B79" s="122" t="s">
        <x:v>62</x:v>
      </x:c>
      <x:c r="C79" s="122" t="s">
        <x:v>62</x:v>
      </x:c>
    </x:row>
    <x:row r="80" ht="46" customHeight="1">
      <x:c r="A80" s="108" t="s">
        <x:v>586</x:v>
      </x:c>
      <x:c r="B80" s="108" t="s">
        <x:v>587</x:v>
      </x:c>
      <x:c r="C80" s="108" t="s">
        <x:v>62</x:v>
      </x:c>
    </x:row>
    <x:row r="81" ht="46" customHeight="1">
      <x:c r="A81" s="109" t="s">
        <x:v>586</x:v>
      </x:c>
      <x:c r="B81" s="109" t="s">
        <x:v>588</x:v>
      </x:c>
      <x:c r="C81" s="109" t="s">
        <x:v>62</x:v>
      </x:c>
    </x:row>
    <x:row r="82" ht="32" customHeight="1">
      <x:c r="A82" s="123" t="s">
        <x:v>589</x:v>
      </x:c>
      <x:c r="B82" s="123" t="s">
        <x:v>62</x:v>
      </x:c>
      <x:c r="C82" s="123" t="s">
        <x:v>62</x:v>
      </x:c>
    </x:row>
    <x:row r="83" ht="32" customHeight="1">
      <x:c r="A83" s="109" t="s">
        <x:v>590</x:v>
      </x:c>
      <x:c r="B83" s="109" t="s">
        <x:v>591</x:v>
      </x:c>
      <x:c r="C83" s="109" t="s">
        <x:v>62</x:v>
      </x:c>
    </x:row>
    <x:row r="84" ht="32" customHeight="1">
      <x:c r="A84" s="108" t="s">
        <x:v>592</x:v>
      </x:c>
      <x:c r="B84" s="108" t="s">
        <x:v>593</x:v>
      </x:c>
      <x:c r="C84" s="108" t="s">
        <x:v>62</x:v>
      </x:c>
    </x:row>
    <x:row r="85" ht="32" customHeight="1">
      <x:c r="A85" s="109" t="s">
        <x:v>594</x:v>
      </x:c>
      <x:c r="B85" s="109" t="s">
        <x:v>595</x:v>
      </x:c>
      <x:c r="C85" s="109" t="s">
        <x:v>62</x:v>
      </x:c>
    </x:row>
    <x:row r="86" ht="32" customHeight="1">
      <x:c r="A86" s="108" t="s">
        <x:v>596</x:v>
      </x:c>
      <x:c r="B86" s="108" t="s">
        <x:v>597</x:v>
      </x:c>
      <x:c r="C86" s="108" t="s">
        <x:v>62</x:v>
      </x:c>
    </x:row>
    <x:row r="87" ht="32" customHeight="1">
      <x:c r="A87" s="109" t="s">
        <x:v>598</x:v>
      </x:c>
      <x:c r="B87" s="109" t="s">
        <x:v>599</x:v>
      </x:c>
      <x:c r="C87" s="109" t="s">
        <x:v>62</x:v>
      </x:c>
    </x:row>
    <x:row r="88" ht="32" customHeight="1">
      <x:c r="A88" s="108" t="s">
        <x:v>600</x:v>
      </x:c>
      <x:c r="B88" s="108" t="s">
        <x:v>601</x:v>
      </x:c>
      <x:c r="C88" s="108" t="s">
        <x:v>62</x:v>
      </x:c>
    </x:row>
    <x:row r="89" ht="32" customHeight="1">
      <x:c r="A89" s="109" t="s">
        <x:v>602</x:v>
      </x:c>
      <x:c r="B89" s="109" t="s">
        <x:v>603</x:v>
      </x:c>
      <x:c r="C89" s="109" t="s">
        <x:v>62</x:v>
      </x:c>
    </x:row>
    <x:row r="90" ht="32" customHeight="1">
      <x:c r="A90" s="108" t="s">
        <x:v>604</x:v>
      </x:c>
      <x:c r="B90" s="108" t="s">
        <x:v>605</x:v>
      </x:c>
      <x:c r="C90" s="108" t="s">
        <x:v>62</x:v>
      </x:c>
    </x:row>
    <x:row r="91" ht="32" customHeight="1">
      <x:c r="A91" s="109" t="s">
        <x:v>606</x:v>
      </x:c>
      <x:c r="B91" s="109" t="s">
        <x:v>607</x:v>
      </x:c>
      <x:c r="C91" s="109" t="s">
        <x:v>62</x:v>
      </x:c>
    </x:row>
    <x:row r="92" ht="32" customHeight="1">
      <x:c r="A92" s="108" t="s">
        <x:v>608</x:v>
      </x:c>
      <x:c r="B92" s="108" t="s">
        <x:v>609</x:v>
      </x:c>
      <x:c r="C92" s="108" t="s">
        <x:v>62</x:v>
      </x:c>
    </x:row>
    <x:row r="93" ht="32" customHeight="1">
      <x:c r="A93" s="124" t="s">
        <x:v>610</x:v>
      </x:c>
      <x:c r="B93" s="124" t="s">
        <x:v>62</x:v>
      </x:c>
      <x:c r="C93" s="124" t="s">
        <x:v>62</x:v>
      </x:c>
    </x:row>
    <x:row r="94" ht="32" customHeight="1">
      <x:c r="A94" s="108" t="s">
        <x:v>610</x:v>
      </x:c>
      <x:c r="B94" s="108" t="s">
        <x:v>611</x:v>
      </x:c>
      <x:c r="C94" s="108" t="s">
        <x:v>62</x:v>
      </x:c>
    </x:row>
    <x:row r="95" ht="32" customHeight="1">
      <x:c r="A95" s="109" t="s">
        <x:v>612</x:v>
      </x:c>
      <x:c r="B95" s="109" t="s">
        <x:v>613</x:v>
      </x:c>
      <x:c r="C95" s="109" t="s">
        <x:v>62</x:v>
      </x:c>
    </x:row>
    <x:row r="96" ht="32" customHeight="1">
      <x:c r="A96" s="108" t="s">
        <x:v>614</x:v>
      </x:c>
      <x:c r="B96" s="108" t="s">
        <x:v>615</x:v>
      </x:c>
      <x:c r="C96" s="108" t="s">
        <x:v>62</x:v>
      </x:c>
    </x:row>
    <x:row r="97" ht="32" customHeight="1">
      <x:c r="A97" s="109" t="s">
        <x:v>616</x:v>
      </x:c>
      <x:c r="B97" s="109" t="s">
        <x:v>617</x:v>
      </x:c>
      <x:c r="C97" s="109" t="s">
        <x:v>62</x:v>
      </x:c>
    </x:row>
    <x:row r="98" ht="32" customHeight="1">
      <x:c r="A98" s="108" t="s">
        <x:v>618</x:v>
      </x:c>
      <x:c r="B98" s="108" t="s">
        <x:v>619</x:v>
      </x:c>
      <x:c r="C98" s="108" t="s">
        <x:v>62</x:v>
      </x:c>
    </x:row>
    <x:row r="99" ht="32" customHeight="1">
      <x:c r="A99" s="109" t="s">
        <x:v>620</x:v>
      </x:c>
      <x:c r="B99" s="109" t="s">
        <x:v>621</x:v>
      </x:c>
      <x:c r="C99" s="109" t="s">
        <x:v>62</x:v>
      </x:c>
    </x:row>
    <x:row r="100" ht="32" customHeight="1">
      <x:c r="A100" s="108" t="s">
        <x:v>622</x:v>
      </x:c>
      <x:c r="B100" s="108" t="s">
        <x:v>623</x:v>
      </x:c>
      <x:c r="C100" s="108" t="s">
        <x:v>62</x:v>
      </x:c>
    </x:row>
    <x:row r="101" ht="32" customHeight="1">
      <x:c r="A101" s="109" t="s">
        <x:v>624</x:v>
      </x:c>
      <x:c r="B101" s="109" t="s">
        <x:v>625</x:v>
      </x:c>
      <x:c r="C101" s="109" t="s">
        <x:v>62</x:v>
      </x:c>
    </x:row>
    <x:row r="102" ht="32" customHeight="1">
      <x:c r="A102" s="108" t="s">
        <x:v>626</x:v>
      </x:c>
      <x:c r="B102" s="108" t="s">
        <x:v>627</x:v>
      </x:c>
      <x:c r="C102" s="108" t="s">
        <x:v>62</x:v>
      </x:c>
    </x:row>
    <x:row r="103" ht="32" customHeight="1">
      <x:c r="A103" s="109" t="s">
        <x:v>628</x:v>
      </x:c>
      <x:c r="B103" s="109" t="s">
        <x:v>629</x:v>
      </x:c>
      <x:c r="C103" s="109" t="s">
        <x:v>62</x:v>
      </x:c>
    </x:row>
    <x:row r="104" ht="32" customHeight="1">
      <x:c r="A104" s="108" t="s">
        <x:v>630</x:v>
      </x:c>
      <x:c r="B104" s="108" t="s">
        <x:v>631</x:v>
      </x:c>
      <x:c r="C104" s="108" t="s">
        <x:v>62</x:v>
      </x:c>
    </x:row>
    <x:row r="105" ht="63" customHeight="1">
      <x:c r="A105" s="109" t="s">
        <x:v>610</x:v>
      </x:c>
      <x:c r="B105" s="109" t="s">
        <x:v>632</x:v>
      </x:c>
      <x:c r="C105" s="109" t="s">
        <x:v>62</x:v>
      </x:c>
    </x:row>
    <x:row r="106" ht="46" customHeight="1">
      <x:c r="A106" s="108" t="s">
        <x:v>610</x:v>
      </x:c>
      <x:c r="B106" s="108" t="s">
        <x:v>633</x:v>
      </x:c>
      <x:c r="C106" s="108" t="s">
        <x:v>62</x:v>
      </x:c>
    </x:row>
    <x:row r="107" ht="32" customHeight="1">
      <x:c r="A107" s="125" t="s">
        <x:v>634</x:v>
      </x:c>
      <x:c r="B107" s="125" t="s">
        <x:v>62</x:v>
      </x:c>
      <x:c r="C107" s="125" t="s">
        <x:v>62</x:v>
      </x:c>
    </x:row>
    <x:row r="108" ht="32" customHeight="1">
      <x:c r="A108" s="108" t="s">
        <x:v>634</x:v>
      </x:c>
      <x:c r="B108" s="108" t="s">
        <x:v>635</x:v>
      </x:c>
      <x:c r="C108" s="108" t="s">
        <x:v>62</x:v>
      </x:c>
    </x:row>
    <x:row r="109" ht="32" customHeight="1">
      <x:c r="A109" s="109" t="s">
        <x:v>634</x:v>
      </x:c>
      <x:c r="B109" s="109" t="s">
        <x:v>636</x:v>
      </x:c>
      <x:c r="C109" s="109" t="s">
        <x:v>62</x:v>
      </x:c>
    </x:row>
    <x:row r="110" ht="46" customHeight="1">
      <x:c r="A110" s="108" t="s">
        <x:v>634</x:v>
      </x:c>
      <x:c r="B110" s="108" t="s">
        <x:v>637</x:v>
      </x:c>
      <x:c r="C110" s="108" t="s">
        <x:v>62</x:v>
      </x:c>
    </x:row>
    <x:row r="111" ht="32" customHeight="1">
      <x:c r="A111" s="109" t="s">
        <x:v>634</x:v>
      </x:c>
      <x:c r="B111" s="109" t="s">
        <x:v>638</x:v>
      </x:c>
      <x:c r="C111" s="109" t="s">
        <x:v>62</x:v>
      </x:c>
    </x:row>
    <x:row r="112" ht="32" customHeight="1">
      <x:c r="A112" s="108" t="s">
        <x:v>634</x:v>
      </x:c>
      <x:c r="B112" s="108" t="s">
        <x:v>639</x:v>
      </x:c>
      <x:c r="C112" s="108" t="s">
        <x:v>62</x:v>
      </x:c>
    </x:row>
    <x:row r="113" ht="32" customHeight="1">
      <x:c r="A113" s="109" t="s">
        <x:v>634</x:v>
      </x:c>
      <x:c r="B113" s="109" t="s">
        <x:v>640</x:v>
      </x:c>
      <x:c r="C113" s="109" t="s">
        <x:v>62</x:v>
      </x:c>
    </x:row>
    <x:row r="114" ht="32" customHeight="1">
      <x:c r="A114" s="108" t="s">
        <x:v>634</x:v>
      </x:c>
      <x:c r="B114" s="108" t="s">
        <x:v>641</x:v>
      </x:c>
      <x:c r="C114" s="108" t="s">
        <x:v>62</x:v>
      </x:c>
    </x:row>
    <x:row r="115" ht="46" customHeight="1">
      <x:c r="A115" s="109" t="s">
        <x:v>634</x:v>
      </x:c>
      <x:c r="B115" s="109" t="s">
        <x:v>642</x:v>
      </x:c>
      <x:c r="C115" s="109" t="s">
        <x:v>62</x:v>
      </x:c>
    </x:row>
    <x:row r="116" ht="46" customHeight="1">
      <x:c r="A116" s="108" t="s">
        <x:v>634</x:v>
      </x:c>
      <x:c r="B116" s="108" t="s">
        <x:v>643</x:v>
      </x:c>
      <x:c r="C116" s="108" t="s">
        <x:v>62</x:v>
      </x:c>
    </x:row>
    <x:row r="117" ht="46" customHeight="1">
      <x:c r="A117" s="109" t="s">
        <x:v>634</x:v>
      </x:c>
      <x:c r="B117" s="109" t="s">
        <x:v>644</x:v>
      </x:c>
      <x:c r="C117" s="109" t="s">
        <x:v>62</x:v>
      </x:c>
    </x:row>
    <x:row r="119" ht="34" customHeight="1">
      <x:c r="A119" s="37" t="s">
        <x:v>645</x:v>
      </x:c>
      <x:c r="B119" s="37" t="s">
        <x:v>62</x:v>
      </x:c>
      <x:c r="C119" s="37" t="s">
        <x:v>62</x:v>
      </x:c>
    </x:row>
    <x:row r="120" ht="80" customHeight="1">
      <x:c r="A120" s="4" t="s">
        <x:v>646</x:v>
      </x:c>
      <x:c r="B120" s="4" t="s">
        <x:v>647</x:v>
      </x:c>
      <x:c r="C120" s="4" t="s">
        <x:v>648</x:v>
      </x:c>
    </x:row>
    <x:row r="121" ht="80" customHeight="1">
      <x:c r="A121" s="5" t="s">
        <x:v>649</x:v>
      </x:c>
      <x:c r="B121" s="5" t="s">
        <x:v>650</x:v>
      </x:c>
      <x:c r="C121" s="5" t="s">
        <x:v>651</x:v>
      </x:c>
    </x:row>
    <x:row r="122" ht="80" customHeight="1">
      <x:c r="A122" s="4" t="s">
        <x:v>652</x:v>
      </x:c>
      <x:c r="B122" s="4" t="s">
        <x:v>653</x:v>
      </x:c>
      <x:c r="C122" s="4" t="s">
        <x:v>654</x:v>
      </x:c>
    </x:row>
    <x:row r="123" ht="80" customHeight="1">
      <x:c r="A123" s="5" t="s">
        <x:v>655</x:v>
      </x:c>
      <x:c r="B123" s="5" t="s">
        <x:v>656</x:v>
      </x:c>
      <x:c r="C123" s="5" t="s">
        <x:v>657</x:v>
      </x:c>
    </x:row>
    <x:row r="124" ht="80" customHeight="1">
      <x:c r="A124" s="4" t="s">
        <x:v>658</x:v>
      </x:c>
      <x:c r="B124" s="4" t="s">
        <x:v>659</x:v>
      </x:c>
      <x:c r="C124" s="4" t="s">
        <x:v>660</x:v>
      </x:c>
    </x:row>
    <x:row r="125" ht="80" customHeight="1">
      <x:c r="A125" s="5" t="s">
        <x:v>661</x:v>
      </x:c>
      <x:c r="B125" s="5" t="s">
        <x:v>662</x:v>
      </x:c>
      <x:c r="C125" s="5" t="s">
        <x:v>663</x:v>
      </x:c>
    </x:row>
    <x:row r="126" ht="80" customHeight="1">
      <x:c r="A126" s="4" t="s">
        <x:v>664</x:v>
      </x:c>
      <x:c r="B126" s="4" t="s">
        <x:v>665</x:v>
      </x:c>
      <x:c r="C126" s="4" t="s">
        <x:v>666</x:v>
      </x:c>
    </x:row>
    <x:row r="127" ht="80" customHeight="1">
      <x:c r="A127" s="5" t="s">
        <x:v>667</x:v>
      </x:c>
      <x:c r="B127" s="5" t="s">
        <x:v>668</x:v>
      </x:c>
      <x:c r="C127" s="5" t="s">
        <x:v>669</x:v>
      </x:c>
    </x:row>
    <x:row r="128" ht="80" customHeight="1">
      <x:c r="A128" s="4" t="s">
        <x:v>670</x:v>
      </x:c>
      <x:c r="B128" s="4" t="s">
        <x:v>671</x:v>
      </x:c>
      <x:c r="C128" s="4" t="s">
        <x:v>672</x:v>
      </x:c>
    </x:row>
    <x:row r="129" ht="80" customHeight="1">
      <x:c r="A129" s="5" t="s">
        <x:v>673</x:v>
      </x:c>
      <x:c r="B129" s="5" t="s">
        <x:v>674</x:v>
      </x:c>
      <x:c r="C129" s="5" t="s">
        <x:v>675</x:v>
      </x:c>
    </x:row>
    <x:row r="130" ht="80" customHeight="1">
      <x:c r="A130" s="4" t="s">
        <x:v>676</x:v>
      </x:c>
      <x:c r="B130" s="4" t="s">
        <x:v>677</x:v>
      </x:c>
      <x:c r="C130" s="4" t="s">
        <x:v>678</x:v>
      </x:c>
    </x:row>
    <x:row r="131" ht="80" customHeight="1">
      <x:c r="A131" s="5" t="s">
        <x:v>679</x:v>
      </x:c>
      <x:c r="B131" s="5" t="s">
        <x:v>680</x:v>
      </x:c>
      <x:c r="C131" s="5" t="s">
        <x:v>681</x:v>
      </x:c>
    </x:row>
    <x:row r="132" ht="80" customHeight="1">
      <x:c r="A132" s="4" t="s">
        <x:v>682</x:v>
      </x:c>
      <x:c r="B132" s="4" t="s">
        <x:v>683</x:v>
      </x:c>
      <x:c r="C132" s="4" t="s">
        <x:v>684</x:v>
      </x:c>
    </x:row>
    <x:row r="133" ht="80" customHeight="1">
      <x:c r="A133" s="5" t="s">
        <x:v>685</x:v>
      </x:c>
      <x:c r="B133" s="5" t="s">
        <x:v>686</x:v>
      </x:c>
      <x:c r="C133" s="5" t="s">
        <x:v>687</x:v>
      </x:c>
    </x:row>
    <x:row r="134" ht="80" customHeight="1">
      <x:c r="A134" s="4" t="s">
        <x:v>688</x:v>
      </x:c>
      <x:c r="B134" s="4" t="s">
        <x:v>689</x:v>
      </x:c>
      <x:c r="C134" s="4" t="s">
        <x:v>690</x:v>
      </x:c>
    </x:row>
    <x:row r="135" ht="80" customHeight="1">
      <x:c r="A135" s="5" t="s">
        <x:v>691</x:v>
      </x:c>
      <x:c r="B135" s="5" t="s">
        <x:v>692</x:v>
      </x:c>
      <x:c r="C135" s="5" t="s">
        <x:v>693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2" width="13" customWidth="1"/>
    <x:col min="3" max="3" width="24" customWidth="1"/>
    <x:col min="4" max="4" width="56" customWidth="1"/>
    <x:col min="5" max="5" width="54" customWidth="1"/>
    <x:col min="6" max="6" width="52" customWidth="1"/>
    <x:col min="7" max="7" width="17" customWidth="1"/>
    <x:col min="8" max="8" width="14" customWidth="1"/>
    <x:col min="9" max="9" width="24" customWidth="1"/>
    <x:col min="10" max="10" width="52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</x:row>
    <x:row r="2" ht="32" customHeight="1">
      <x:c r="A2" s="106" t="s">
        <x:v>694</x:v>
      </x:c>
      <x:c r="B2" s="107"/>
      <x:c r="C2" s="107"/>
      <x:c r="D2" s="107"/>
      <x:c r="E2" s="107"/>
      <x:c r="F2" s="107"/>
      <x:c r="G2" s="107"/>
      <x:c r="H2" s="107"/>
      <x:c r="I2" s="107"/>
      <x:c r="J2" s="107"/>
    </x:row>
    <x:row r="3" ht="35" customHeight="1">
      <x:c r="A3" s="15"/>
      <x:c r="B3" s="15"/>
      <x:c r="C3" s="15"/>
      <x:c r="D3" s="17" t="s">
        <x:v>695</x:v>
      </x:c>
      <x:c r="E3" s="17"/>
      <x:c r="F3" s="17"/>
      <x:c r="G3" s="15"/>
      <x:c r="H3" s="15"/>
      <x:c r="I3" s="15"/>
      <x:c r="J3" s="15"/>
    </x:row>
    <x:row r="4" ht="16.5">
      <x:c r="A4" s="15"/>
      <x:c r="B4" s="15"/>
      <x:c r="C4" s="15"/>
      <x:c r="D4" s="15"/>
      <x:c r="E4" s="15"/>
      <x:c r="F4" s="15"/>
      <x:c r="G4" s="15"/>
      <x:c r="H4" s="15"/>
      <x:c r="I4" s="15"/>
      <x:c r="J4" s="15"/>
    </x:row>
    <x:row r="5" ht="32" customHeight="1">
      <x:c r="A5" s="18" t="s">
        <x:v>87</x:v>
      </x:c>
      <x:c r="B5" s="18" t="s">
        <x:v>696</x:v>
      </x:c>
      <x:c r="C5" s="18" t="s">
        <x:v>697</x:v>
      </x:c>
      <x:c r="D5" s="18" t="s">
        <x:v>698</x:v>
      </x:c>
      <x:c r="E5" s="18" t="s">
        <x:v>699</x:v>
      </x:c>
      <x:c r="F5" s="18" t="s">
        <x:v>700</x:v>
      </x:c>
      <x:c r="G5" s="18" t="s">
        <x:v>701</x:v>
      </x:c>
      <x:c r="H5" s="18" t="s">
        <x:v>702</x:v>
      </x:c>
      <x:c r="I5" s="18" t="s">
        <x:v>703</x:v>
      </x:c>
      <x:c r="J5" s="18" t="s">
        <x:v>704</x:v>
      </x:c>
    </x:row>
    <x:row r="6" ht="138" customHeight="1">
      <x:c r="A6" s="20" t="s">
        <x:v>705</x:v>
      </x:c>
      <x:c r="B6" s="20" t="s">
        <x:v>706</x:v>
      </x:c>
      <x:c r="C6" s="20" t="s">
        <x:v>707</x:v>
      </x:c>
      <x:c r="D6" s="20" t="s">
        <x:v>708</x:v>
      </x:c>
      <x:c r="E6" s="20" t="s">
        <x:v>709</x:v>
      </x:c>
      <x:c r="F6" s="20" t="s">
        <x:v>710</x:v>
      </x:c>
      <x:c r="G6" s="20" t="s">
        <x:v>711</x:v>
      </x:c>
      <x:c r="H6" s="20" t="s">
        <x:v>712</x:v>
      </x:c>
      <x:c r="I6" s="20" t="s">
        <x:v>713</x:v>
      </x:c>
      <x:c r="J6" s="20" t="s">
        <x:v>714</x:v>
      </x:c>
    </x:row>
    <x:row r="7" ht="138" customHeight="1">
      <x:c r="A7" s="20" t="s">
        <x:v>715</x:v>
      </x:c>
      <x:c r="B7" s="20" t="s">
        <x:v>716</x:v>
      </x:c>
      <x:c r="C7" s="20" t="s">
        <x:v>717</x:v>
      </x:c>
      <x:c r="D7" s="20" t="s">
        <x:v>718</x:v>
      </x:c>
      <x:c r="E7" s="20" t="s">
        <x:v>719</x:v>
      </x:c>
      <x:c r="F7" s="20" t="s">
        <x:v>720</x:v>
      </x:c>
      <x:c r="G7" s="20" t="s">
        <x:v>721</x:v>
      </x:c>
      <x:c r="H7" s="20" t="s">
        <x:v>712</x:v>
      </x:c>
      <x:c r="I7" s="20" t="str">
        <x:v>已修复并复测</x:v>
      </x:c>
      <x:c r="J7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8" ht="138" customHeight="1">
      <x:c r="A8" s="20" t="s">
        <x:v>722</x:v>
      </x:c>
      <x:c r="B8" s="20" t="s">
        <x:v>723</x:v>
      </x:c>
      <x:c r="C8" s="20" t="s">
        <x:v>724</x:v>
      </x:c>
      <x:c r="D8" s="20" t="s">
        <x:v>725</x:v>
      </x:c>
      <x:c r="E8" s="20" t="s">
        <x:v>726</x:v>
      </x:c>
      <x:c r="F8" s="20" t="s">
        <x:v>727</x:v>
      </x:c>
      <x:c r="G8" s="20" t="s">
        <x:v>728</x:v>
      </x:c>
      <x:c r="H8" s="20" t="s">
        <x:v>729</x:v>
      </x:c>
      <x:c r="I8" s="20" t="s">
        <x:v>713</x:v>
      </x:c>
      <x:c r="J8" s="20" t="s">
        <x:v>730</x:v>
      </x:c>
    </x:row>
    <x:row r="9" ht="168" customHeight="1">
      <x:c r="A9" s="20" t="s">
        <x:v>731</x:v>
      </x:c>
      <x:c r="B9" s="20" t="s">
        <x:v>732</x:v>
      </x:c>
      <x:c r="C9" s="20" t="s">
        <x:v>733</x:v>
      </x:c>
      <x:c r="D9" s="20" t="s">
        <x:v>734</x:v>
      </x:c>
      <x:c r="E9" s="20" t="s">
        <x:v>735</x:v>
      </x:c>
      <x:c r="F9" s="20" t="s">
        <x:v>736</x:v>
      </x:c>
      <x:c r="G9" s="20" t="s">
        <x:v>728</x:v>
      </x:c>
      <x:c r="H9" s="20" t="s">
        <x:v>737</x:v>
      </x:c>
      <x:c r="I9" s="20" t="s">
        <x:v>713</x:v>
      </x:c>
      <x:c r="J9" s="20" t="s">
        <x:v>738</x:v>
      </x:c>
    </x:row>
    <x:row r="10" ht="168" customHeight="1">
      <x:c r="A10" s="20" t="s">
        <x:v>739</x:v>
      </x:c>
      <x:c r="B10" s="20" t="s">
        <x:v>740</x:v>
      </x:c>
      <x:c r="C10" s="20" t="s">
        <x:v>741</x:v>
      </x:c>
      <x:c r="D10" s="20" t="s">
        <x:v>742</x:v>
      </x:c>
      <x:c r="E10" s="20" t="s">
        <x:v>743</x:v>
      </x:c>
      <x:c r="F10" s="20" t="s">
        <x:v>744</x:v>
      </x:c>
      <x:c r="G10" s="20" t="s">
        <x:v>728</x:v>
      </x:c>
      <x:c r="H10" s="20" t="s">
        <x:v>745</x:v>
      </x:c>
      <x:c r="I10" s="20" t="s">
        <x:v>713</x:v>
      </x:c>
      <x:c r="J10" s="20" t="s">
        <x:v>746</x:v>
      </x:c>
    </x:row>
    <x:row r="11" ht="105" customHeight="1">
      <x:c r="A11" s="20" t="s">
        <x:v>354</x:v>
      </x:c>
      <x:c r="B11" s="20" t="s">
        <x:v>747</x:v>
      </x:c>
      <x:c r="C11" s="20" t="s">
        <x:v>748</x:v>
      </x:c>
      <x:c r="D11" s="20" t="s">
        <x:v>749</x:v>
      </x:c>
      <x:c r="E11" s="20" t="s">
        <x:v>750</x:v>
      </x:c>
      <x:c r="F11" s="20" t="s">
        <x:v>751</x:v>
      </x:c>
      <x:c r="G11" s="20" t="s">
        <x:v>752</x:v>
      </x:c>
      <x:c r="H11" s="20" t="s">
        <x:v>753</x:v>
      </x:c>
      <x:c r="I11" s="20" t="s">
        <x:v>754</x:v>
      </x:c>
      <x:c r="J11" s="20" t="s">
        <x:v>755</x:v>
      </x:c>
    </x:row>
    <x:row r="12" ht="105" customHeight="1">
      <x:c r="A12" s="20" t="s">
        <x:v>756</x:v>
      </x:c>
      <x:c r="B12" s="20" t="s">
        <x:v>757</x:v>
      </x:c>
      <x:c r="C12" s="20" t="s">
        <x:v>758</x:v>
      </x:c>
      <x:c r="D12" s="20" t="s">
        <x:v>759</x:v>
      </x:c>
      <x:c r="E12" s="20" t="s">
        <x:v>760</x:v>
      </x:c>
      <x:c r="F12" s="20" t="s">
        <x:v>761</x:v>
      </x:c>
      <x:c r="G12" s="20" t="s">
        <x:v>762</x:v>
      </x:c>
      <x:c r="H12" s="20" t="s">
        <x:v>763</x:v>
      </x:c>
      <x:c r="I12" s="20" t="str">
        <x:v>已修复并复测</x:v>
      </x:c>
      <x:c r="J12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13" ht="105" customHeight="1">
      <x:c r="A13" s="20" t="s">
        <x:v>764</x:v>
      </x:c>
      <x:c r="B13" s="20" t="s">
        <x:v>765</x:v>
      </x:c>
      <x:c r="C13" s="20" t="s">
        <x:v>766</x:v>
      </x:c>
      <x:c r="D13" s="20" t="s">
        <x:v>767</x:v>
      </x:c>
      <x:c r="E13" s="20" t="s">
        <x:v>768</x:v>
      </x:c>
      <x:c r="F13" s="20" t="s">
        <x:v>769</x:v>
      </x:c>
      <x:c r="G13" s="20" t="s">
        <x:v>711</x:v>
      </x:c>
      <x:c r="H13" s="20" t="s">
        <x:v>770</x:v>
      </x:c>
      <x:c r="I13" s="20" t="str">
        <x:v>已修复并复测</x:v>
      </x:c>
      <x:c r="J13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14" ht="105" customHeight="1">
      <x:c r="A14" s="20" t="s">
        <x:v>771</x:v>
      </x:c>
      <x:c r="B14" s="20" t="s">
        <x:v>772</x:v>
      </x:c>
      <x:c r="C14" s="20" t="s">
        <x:v>773</x:v>
      </x:c>
      <x:c r="D14" s="20" t="s">
        <x:v>774</x:v>
      </x:c>
      <x:c r="E14" s="20" t="s">
        <x:v>775</x:v>
      </x:c>
      <x:c r="F14" s="20" t="s">
        <x:v>776</x:v>
      </x:c>
      <x:c r="G14" s="20" t="s">
        <x:v>777</x:v>
      </x:c>
      <x:c r="H14" s="20" t="s">
        <x:v>778</x:v>
      </x:c>
      <x:c r="I14" s="20" t="str">
        <x:v>已修复并复测</x:v>
      </x:c>
      <x:c r="J14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15" ht="105" customHeight="1">
      <x:c r="A15" s="20" t="s">
        <x:v>99</x:v>
      </x:c>
      <x:c r="B15" s="20" t="s">
        <x:v>779</x:v>
      </x:c>
      <x:c r="C15" s="20" t="s">
        <x:v>780</x:v>
      </x:c>
      <x:c r="D15" s="20" t="s">
        <x:v>781</x:v>
      </x:c>
      <x:c r="E15" s="20" t="s">
        <x:v>782</x:v>
      </x:c>
      <x:c r="F15" s="20" t="s">
        <x:v>783</x:v>
      </x:c>
      <x:c r="G15" s="20" t="s">
        <x:v>784</x:v>
      </x:c>
      <x:c r="H15" s="20" t="s">
        <x:v>729</x:v>
      </x:c>
      <x:c r="I15" s="20" t="s">
        <x:v>785</x:v>
      </x:c>
      <x:c r="J15" s="20" t="s">
        <x:v>786</x:v>
      </x:c>
    </x:row>
    <x:row r="16" ht="105" customHeight="1">
      <x:c r="A16" s="20" t="s">
        <x:v>130</x:v>
      </x:c>
      <x:c r="B16" s="20" t="s">
        <x:v>787</x:v>
      </x:c>
      <x:c r="C16" s="20" t="s">
        <x:v>788</x:v>
      </x:c>
      <x:c r="D16" s="20" t="s">
        <x:v>789</x:v>
      </x:c>
      <x:c r="E16" s="20" t="s">
        <x:v>790</x:v>
      </x:c>
      <x:c r="F16" s="20" t="s">
        <x:v>791</x:v>
      </x:c>
      <x:c r="G16" s="20" t="s">
        <x:v>792</x:v>
      </x:c>
      <x:c r="H16" s="20" t="s">
        <x:v>793</x:v>
      </x:c>
      <x:c r="I16" s="20" t="s">
        <x:v>785</x:v>
      </x:c>
      <x:c r="J16" s="20" t="s">
        <x:v>794</x:v>
      </x:c>
    </x:row>
    <x:row r="17" ht="105" customHeight="1">
      <x:c r="A17" s="20" t="s">
        <x:v>795</x:v>
      </x:c>
      <x:c r="B17" s="20" t="s">
        <x:v>796</x:v>
      </x:c>
      <x:c r="C17" s="20" t="s">
        <x:v>797</x:v>
      </x:c>
      <x:c r="D17" s="20" t="s">
        <x:v>798</x:v>
      </x:c>
      <x:c r="E17" s="20" t="s">
        <x:v>799</x:v>
      </x:c>
      <x:c r="F17" s="20" t="s">
        <x:v>800</x:v>
      </x:c>
      <x:c r="G17" s="20" t="s">
        <x:v>801</x:v>
      </x:c>
      <x:c r="H17" s="20" t="s">
        <x:v>802</x:v>
      </x:c>
      <x:c r="I17" s="20" t="s">
        <x:v>803</x:v>
      </x:c>
      <x:c r="J17" s="20" t="s">
        <x:v>804</x:v>
      </x:c>
    </x:row>
    <x:row r="18" ht="110" customHeight="1">
      <x:c r="A18" s="20" t="s">
        <x:v>805</x:v>
      </x:c>
      <x:c r="B18" s="20" t="s">
        <x:v>806</x:v>
      </x:c>
      <x:c r="C18" s="20" t="s">
        <x:v>807</x:v>
      </x:c>
      <x:c r="D18" s="20" t="s">
        <x:v>808</x:v>
      </x:c>
      <x:c r="E18" s="20" t="s">
        <x:v>809</x:v>
      </x:c>
      <x:c r="F18" s="20" t="s">
        <x:v>810</x:v>
      </x:c>
      <x:c r="G18" s="20" t="s">
        <x:v>811</x:v>
      </x:c>
      <x:c r="H18" s="20" t="s">
        <x:v>812</x:v>
      </x:c>
      <x:c r="I18" s="20" t="str">
        <x:v>已修复并复测</x:v>
      </x:c>
      <x:c r="J18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19" ht="110" customHeight="1">
      <x:c r="A19" s="20" t="s">
        <x:v>813</x:v>
      </x:c>
      <x:c r="B19" s="20" t="s">
        <x:v>814</x:v>
      </x:c>
      <x:c r="C19" s="20" t="s">
        <x:v>815</x:v>
      </x:c>
      <x:c r="D19" s="20" t="s">
        <x:v>816</x:v>
      </x:c>
      <x:c r="E19" s="20" t="s">
        <x:v>817</x:v>
      </x:c>
      <x:c r="F19" s="20" t="s">
        <x:v>818</x:v>
      </x:c>
      <x:c r="G19" s="20" t="s">
        <x:v>819</x:v>
      </x:c>
      <x:c r="H19" s="20" t="s">
        <x:v>820</x:v>
      </x:c>
      <x:c r="I19" s="20" t="str">
        <x:v>已修复并复测</x:v>
      </x:c>
      <x:c r="J19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0" ht="110" customHeight="1">
      <x:c r="A20" s="20" t="s">
        <x:v>821</x:v>
      </x:c>
      <x:c r="B20" s="20" t="s">
        <x:v>822</x:v>
      </x:c>
      <x:c r="C20" s="20" t="s">
        <x:v>823</x:v>
      </x:c>
      <x:c r="D20" s="20" t="s">
        <x:v>824</x:v>
      </x:c>
      <x:c r="E20" s="20" t="s">
        <x:v>825</x:v>
      </x:c>
      <x:c r="F20" s="20" t="s">
        <x:v>826</x:v>
      </x:c>
      <x:c r="G20" s="20" t="s">
        <x:v>827</x:v>
      </x:c>
      <x:c r="H20" s="20" t="s">
        <x:v>828</x:v>
      </x:c>
      <x:c r="I20" s="20" t="str">
        <x:v>已修复并复测</x:v>
      </x:c>
      <x:c r="J20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1" ht="110" customHeight="1">
      <x:c r="A21" s="20" t="s">
        <x:v>829</x:v>
      </x:c>
      <x:c r="B21" s="20" t="s">
        <x:v>830</x:v>
      </x:c>
      <x:c r="C21" s="20" t="s">
        <x:v>831</x:v>
      </x:c>
      <x:c r="D21" s="20" t="s">
        <x:v>832</x:v>
      </x:c>
      <x:c r="E21" s="20" t="s">
        <x:v>833</x:v>
      </x:c>
      <x:c r="F21" s="20" t="s">
        <x:v>834</x:v>
      </x:c>
      <x:c r="G21" s="20" t="s">
        <x:v>752</x:v>
      </x:c>
      <x:c r="H21" s="20" t="s">
        <x:v>835</x:v>
      </x:c>
      <x:c r="I21" s="20" t="s">
        <x:v>754</x:v>
      </x:c>
      <x:c r="J21" s="20" t="s">
        <x:v>836</x:v>
      </x:c>
    </x:row>
    <x:row r="22" ht="115" customHeight="1">
      <x:c r="A22" s="20" t="s">
        <x:v>837</x:v>
      </x:c>
      <x:c r="B22" s="20" t="s">
        <x:v>838</x:v>
      </x:c>
      <x:c r="C22" s="20" t="s">
        <x:v>839</x:v>
      </x:c>
      <x:c r="D22" s="20" t="s">
        <x:v>840</x:v>
      </x:c>
      <x:c r="E22" s="20" t="s">
        <x:v>841</x:v>
      </x:c>
      <x:c r="F22" s="20" t="s">
        <x:v>842</x:v>
      </x:c>
      <x:c r="G22" s="20" t="s">
        <x:v>843</x:v>
      </x:c>
      <x:c r="H22" s="20" t="s">
        <x:v>812</x:v>
      </x:c>
      <x:c r="I22" s="20" t="str">
        <x:v>已修复并复测</x:v>
      </x:c>
      <x:c r="J22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3" ht="115" customHeight="1">
      <x:c r="A23" s="20" t="s">
        <x:v>844</x:v>
      </x:c>
      <x:c r="B23" s="20" t="s">
        <x:v>845</x:v>
      </x:c>
      <x:c r="C23" s="20" t="s">
        <x:v>846</x:v>
      </x:c>
      <x:c r="D23" s="20" t="s">
        <x:v>847</x:v>
      </x:c>
      <x:c r="E23" s="20" t="s">
        <x:v>848</x:v>
      </x:c>
      <x:c r="F23" s="20" t="s">
        <x:v>849</x:v>
      </x:c>
      <x:c r="G23" s="20" t="s">
        <x:v>850</x:v>
      </x:c>
      <x:c r="H23" s="20" t="s">
        <x:v>812</x:v>
      </x:c>
      <x:c r="I23" s="20" t="str">
        <x:v>已修复并复测</x:v>
      </x:c>
      <x:c r="J23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4" ht="115" customHeight="1">
      <x:c r="A24" s="20" t="s">
        <x:v>851</x:v>
      </x:c>
      <x:c r="B24" s="20" t="s">
        <x:v>852</x:v>
      </x:c>
      <x:c r="C24" s="20" t="s">
        <x:v>853</x:v>
      </x:c>
      <x:c r="D24" s="20" t="s">
        <x:v>854</x:v>
      </x:c>
      <x:c r="E24" s="20" t="s">
        <x:v>855</x:v>
      </x:c>
      <x:c r="F24" s="20" t="s">
        <x:v>856</x:v>
      </x:c>
      <x:c r="G24" s="20" t="s">
        <x:v>857</x:v>
      </x:c>
      <x:c r="H24" s="20" t="s">
        <x:v>770</x:v>
      </x:c>
      <x:c r="I24" s="20" t="str">
        <x:v>已修复待页面复测</x:v>
      </x:c>
      <x:c r="J24" s="20" t="str">
        <x:v>接口实测中文动作及对象ID正确；129项管理前端测试和构建通过。新管理端登录被拒绝，未取得页面最终证据。</x:v>
      </x:c>
    </x:row>
    <x:row r="25" ht="115" customHeight="1">
      <x:c r="A25" s="20" t="s">
        <x:v>858</x:v>
      </x:c>
      <x:c r="B25" s="20" t="s">
        <x:v>859</x:v>
      </x:c>
      <x:c r="C25" s="20" t="s">
        <x:v>860</x:v>
      </x:c>
      <x:c r="D25" s="20" t="s">
        <x:v>861</x:v>
      </x:c>
      <x:c r="E25" s="20" t="s">
        <x:v>862</x:v>
      </x:c>
      <x:c r="F25" s="20" t="s">
        <x:v>863</x:v>
      </x:c>
      <x:c r="G25" s="20" t="s">
        <x:v>864</x:v>
      </x:c>
      <x:c r="H25" s="20" t="s">
        <x:v>865</x:v>
      </x:c>
      <x:c r="I25" s="20" t="str">
        <x:v>已修复并复测</x:v>
      </x:c>
      <x:c r="J25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6" ht="115" customHeight="1">
      <x:c r="A26" s="20" t="s">
        <x:v>866</x:v>
      </x:c>
      <x:c r="B26" s="20" t="s">
        <x:v>867</x:v>
      </x:c>
      <x:c r="C26" s="20" t="s">
        <x:v>868</x:v>
      </x:c>
      <x:c r="D26" s="20" t="s">
        <x:v>869</x:v>
      </x:c>
      <x:c r="E26" s="20" t="s">
        <x:v>870</x:v>
      </x:c>
      <x:c r="F26" s="20" t="s">
        <x:v>871</x:v>
      </x:c>
      <x:c r="G26" s="20" t="s">
        <x:v>872</x:v>
      </x:c>
      <x:c r="H26" s="20" t="s">
        <x:v>865</x:v>
      </x:c>
      <x:c r="I26" s="20" t="str">
        <x:v>已修复并复测</x:v>
      </x:c>
      <x:c r="J26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7" ht="115" customHeight="1">
      <x:c r="A27" s="20" t="s">
        <x:v>873</x:v>
      </x:c>
      <x:c r="B27" s="20" t="s">
        <x:v>874</x:v>
      </x:c>
      <x:c r="C27" s="20" t="s">
        <x:v>875</x:v>
      </x:c>
      <x:c r="D27" s="20" t="s">
        <x:v>876</x:v>
      </x:c>
      <x:c r="E27" s="20" t="s">
        <x:v>877</x:v>
      </x:c>
      <x:c r="F27" s="20" t="s">
        <x:v>878</x:v>
      </x:c>
      <x:c r="G27" s="20" t="s">
        <x:v>879</x:v>
      </x:c>
      <x:c r="H27" s="20" t="s">
        <x:v>880</x:v>
      </x:c>
      <x:c r="I27" s="20" t="str">
        <x:v>已修复并复测</x:v>
      </x:c>
      <x:c r="J27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8" ht="115" customHeight="1">
      <x:c r="A28" s="20" t="s">
        <x:v>881</x:v>
      </x:c>
      <x:c r="B28" s="20" t="s">
        <x:v>882</x:v>
      </x:c>
      <x:c r="C28" s="20" t="s">
        <x:v>883</x:v>
      </x:c>
      <x:c r="D28" s="20" t="s">
        <x:v>884</x:v>
      </x:c>
      <x:c r="E28" s="20" t="s">
        <x:v>885</x:v>
      </x:c>
      <x:c r="F28" s="20" t="s">
        <x:v>886</x:v>
      </x:c>
      <x:c r="G28" s="20" t="s">
        <x:v>887</x:v>
      </x:c>
      <x:c r="H28" s="20" t="s">
        <x:v>888</x:v>
      </x:c>
      <x:c r="I28" s="20" t="str">
        <x:v>已修复并复测</x:v>
      </x:c>
      <x:c r="J28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9" ht="115" customHeight="1">
      <x:c r="A29" s="20" t="s">
        <x:v>889</x:v>
      </x:c>
      <x:c r="B29" s="20" t="s">
        <x:v>890</x:v>
      </x:c>
      <x:c r="C29" s="20" t="s">
        <x:v>891</x:v>
      </x:c>
      <x:c r="D29" s="20" t="s">
        <x:v>892</x:v>
      </x:c>
      <x:c r="E29" s="20" t="s">
        <x:v>893</x:v>
      </x:c>
      <x:c r="F29" s="20" t="s">
        <x:v>894</x:v>
      </x:c>
      <x:c r="G29" s="20" t="s">
        <x:v>895</x:v>
      </x:c>
      <x:c r="H29" s="20" t="s">
        <x:v>896</x:v>
      </x:c>
      <x:c r="I29" s="20" t="str">
        <x:v>已修复并复测</x:v>
      </x:c>
      <x:c r="J29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0" ht="115" customHeight="1">
      <x:c r="A30" s="20" t="s">
        <x:v>897</x:v>
      </x:c>
      <x:c r="B30" s="20" t="s">
        <x:v>898</x:v>
      </x:c>
      <x:c r="C30" s="20" t="s">
        <x:v>899</x:v>
      </x:c>
      <x:c r="D30" s="20" t="s">
        <x:v>900</x:v>
      </x:c>
      <x:c r="E30" s="20" t="s">
        <x:v>901</x:v>
      </x:c>
      <x:c r="F30" s="20" t="s">
        <x:v>902</x:v>
      </x:c>
      <x:c r="G30" s="20" t="s">
        <x:v>903</x:v>
      </x:c>
      <x:c r="H30" s="20" t="s">
        <x:v>904</x:v>
      </x:c>
      <x:c r="I30" s="20" t="str">
        <x:v>已修复并复测</x:v>
      </x:c>
      <x:c r="J30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1" ht="155" customHeight="1">
      <x:c r="A31" s="20" t="s">
        <x:v>905</x:v>
      </x:c>
      <x:c r="B31" s="20" t="s">
        <x:v>906</x:v>
      </x:c>
      <x:c r="C31" s="20" t="s">
        <x:v>907</x:v>
      </x:c>
      <x:c r="D31" s="20" t="s">
        <x:v>908</x:v>
      </x:c>
      <x:c r="E31" s="20" t="s">
        <x:v>909</x:v>
      </x:c>
      <x:c r="F31" s="20" t="s">
        <x:v>910</x:v>
      </x:c>
      <x:c r="G31" s="20" t="s">
        <x:v>911</x:v>
      </x:c>
      <x:c r="H31" s="20" t="s">
        <x:v>912</x:v>
      </x:c>
      <x:c r="I31" s="20" t="s">
        <x:v>754</x:v>
      </x:c>
      <x:c r="J31" s="20" t="s">
        <x:v>913</x:v>
      </x:c>
    </x:row>
    <x:row r="32" ht="155" customHeight="1">
      <x:c r="A32" s="20" t="s">
        <x:v>914</x:v>
      </x:c>
      <x:c r="B32" s="20" t="s">
        <x:v>915</x:v>
      </x:c>
      <x:c r="C32" s="20" t="s">
        <x:v>916</x:v>
      </x:c>
      <x:c r="D32" s="20" t="s">
        <x:v>917</x:v>
      </x:c>
      <x:c r="E32" s="20" t="s">
        <x:v>918</x:v>
      </x:c>
      <x:c r="F32" s="20" t="s">
        <x:v>919</x:v>
      </x:c>
      <x:c r="G32" s="20" t="s">
        <x:v>920</x:v>
      </x:c>
      <x:c r="H32" s="20" t="s">
        <x:v>921</x:v>
      </x:c>
      <x:c r="I32" s="20" t="str">
        <x:v>已修复并复测</x:v>
      </x:c>
      <x:c r="J32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3" ht="155" customHeight="1">
      <x:c r="A33" s="20" t="s">
        <x:v>922</x:v>
      </x:c>
      <x:c r="B33" s="20" t="s">
        <x:v>923</x:v>
      </x:c>
      <x:c r="C33" s="20" t="s">
        <x:v>924</x:v>
      </x:c>
      <x:c r="D33" s="20" t="s">
        <x:v>925</x:v>
      </x:c>
      <x:c r="E33" s="20" t="s">
        <x:v>926</x:v>
      </x:c>
      <x:c r="F33" s="20" t="s">
        <x:v>927</x:v>
      </x:c>
      <x:c r="G33" s="20" t="s">
        <x:v>928</x:v>
      </x:c>
      <x:c r="H33" s="20" t="s">
        <x:v>929</x:v>
      </x:c>
      <x:c r="I33" s="20" t="str">
        <x:v>已修复并复测</x:v>
      </x:c>
      <x:c r="J33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4" ht="155" customHeight="1">
      <x:c r="A34" s="20" t="s">
        <x:v>930</x:v>
      </x:c>
      <x:c r="B34" s="20" t="s">
        <x:v>931</x:v>
      </x:c>
      <x:c r="C34" s="20" t="s">
        <x:v>932</x:v>
      </x:c>
      <x:c r="D34" s="20" t="s">
        <x:v>933</x:v>
      </x:c>
      <x:c r="E34" s="20" t="s">
        <x:v>934</x:v>
      </x:c>
      <x:c r="F34" s="20" t="s">
        <x:v>935</x:v>
      </x:c>
      <x:c r="G34" s="20" t="s">
        <x:v>762</x:v>
      </x:c>
      <x:c r="H34" s="20" t="s">
        <x:v>912</x:v>
      </x:c>
      <x:c r="I34" s="20" t="str">
        <x:v>已修复并复测</x:v>
      </x:c>
      <x:c r="J34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5" ht="155" customHeight="1">
      <x:c r="A35" s="20" t="s">
        <x:v>936</x:v>
      </x:c>
      <x:c r="B35" s="20" t="s">
        <x:v>937</x:v>
      </x:c>
      <x:c r="C35" s="20" t="s">
        <x:v>938</x:v>
      </x:c>
      <x:c r="D35" s="20" t="s">
        <x:v>939</x:v>
      </x:c>
      <x:c r="E35" s="20" t="s">
        <x:v>940</x:v>
      </x:c>
      <x:c r="F35" s="20" t="s">
        <x:v>941</x:v>
      </x:c>
      <x:c r="G35" s="20" t="s">
        <x:v>942</x:v>
      </x:c>
      <x:c r="H35" s="20" t="s">
        <x:v>943</x:v>
      </x:c>
      <x:c r="I35" s="20" t="str">
        <x:v>已修复并复测</x:v>
      </x:c>
      <x:c r="J35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6" ht="155" customHeight="1">
      <x:c r="A36" s="14" t="s">
        <x:v>944</x:v>
      </x:c>
      <x:c r="B36" s="14" t="s">
        <x:v>945</x:v>
      </x:c>
      <x:c r="C36" s="14" t="s">
        <x:v>946</x:v>
      </x:c>
      <x:c r="D36" s="14" t="s">
        <x:v>947</x:v>
      </x:c>
      <x:c r="E36" s="14" t="s">
        <x:v>948</x:v>
      </x:c>
      <x:c r="F36" s="14" t="s">
        <x:v>949</x:v>
      </x:c>
      <x:c r="G36" s="14" t="s">
        <x:v>950</x:v>
      </x:c>
      <x:c r="H36" s="14" t="s">
        <x:v>951</x:v>
      </x:c>
      <x:c r="I36" s="14" t="str">
        <x:v>已修复并复测</x:v>
      </x:c>
      <x:c r="J36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7" ht="155" customHeight="1">
      <x:c r="A37" s="14" t="s">
        <x:v>952</x:v>
      </x:c>
      <x:c r="B37" s="14" t="s">
        <x:v>953</x:v>
      </x:c>
      <x:c r="C37" s="14" t="s">
        <x:v>954</x:v>
      </x:c>
      <x:c r="D37" s="14" t="s">
        <x:v>955</x:v>
      </x:c>
      <x:c r="E37" s="14" t="s">
        <x:v>956</x:v>
      </x:c>
      <x:c r="F37" s="14" t="s">
        <x:v>957</x:v>
      </x:c>
      <x:c r="G37" s="14" t="s">
        <x:v>958</x:v>
      </x:c>
      <x:c r="H37" s="14" t="s">
        <x:v>951</x:v>
      </x:c>
      <x:c r="I37" s="14" t="str">
        <x:v>已修复并复测</x:v>
      </x:c>
      <x:c r="J37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8" ht="155" customHeight="1">
      <x:c r="A38" s="14" t="s">
        <x:v>959</x:v>
      </x:c>
      <x:c r="B38" s="14" t="s">
        <x:v>960</x:v>
      </x:c>
      <x:c r="C38" s="14" t="s">
        <x:v>961</x:v>
      </x:c>
      <x:c r="D38" s="14" t="s">
        <x:v>962</x:v>
      </x:c>
      <x:c r="E38" s="14" t="s">
        <x:v>963</x:v>
      </x:c>
      <x:c r="F38" s="14" t="s">
        <x:v>964</x:v>
      </x:c>
      <x:c r="G38" s="14" t="s">
        <x:v>965</x:v>
      </x:c>
      <x:c r="H38" s="14" t="s">
        <x:v>951</x:v>
      </x:c>
      <x:c r="I38" s="14" t="str">
        <x:v>已修复并复测</x:v>
      </x:c>
      <x:c r="J38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9" ht="155" customHeight="1">
      <x:c r="A39" s="14" t="s">
        <x:v>966</x:v>
      </x:c>
      <x:c r="B39" s="14" t="s">
        <x:v>967</x:v>
      </x:c>
      <x:c r="C39" s="14" t="s">
        <x:v>968</x:v>
      </x:c>
      <x:c r="D39" s="14" t="s">
        <x:v>969</x:v>
      </x:c>
      <x:c r="E39" s="14" t="s">
        <x:v>970</x:v>
      </x:c>
      <x:c r="F39" s="14" t="s">
        <x:v>971</x:v>
      </x:c>
      <x:c r="G39" s="14" t="s">
        <x:v>972</x:v>
      </x:c>
      <x:c r="H39" s="14" t="s">
        <x:v>973</x:v>
      </x:c>
      <x:c r="I39" s="14" t="str">
        <x:v>已修复并复测</x:v>
      </x:c>
      <x:c r="J39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40" ht="155" customHeight="1">
      <x:c r="A40" s="14" t="s">
        <x:v>974</x:v>
      </x:c>
      <x:c r="B40" s="14" t="s">
        <x:v>975</x:v>
      </x:c>
      <x:c r="C40" s="14" t="s">
        <x:v>976</x:v>
      </x:c>
      <x:c r="D40" s="14" t="s">
        <x:v>977</x:v>
      </x:c>
      <x:c r="E40" s="14" t="s">
        <x:v>978</x:v>
      </x:c>
      <x:c r="F40" s="14" t="s">
        <x:v>979</x:v>
      </x:c>
      <x:c r="G40" s="14" t="s">
        <x:v>980</x:v>
      </x:c>
      <x:c r="H40" s="14" t="s">
        <x:v>981</x:v>
      </x:c>
      <x:c r="I40" s="14" t="str">
        <x:v>已修复并复测</x:v>
      </x:c>
      <x:c r="J40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41" ht="155" customHeight="1">
      <x:c r="A41" s="14" t="s">
        <x:v>982</x:v>
      </x:c>
      <x:c r="B41" s="14" t="s">
        <x:v>983</x:v>
      </x:c>
      <x:c r="C41" s="14" t="s">
        <x:v>984</x:v>
      </x:c>
      <x:c r="D41" s="14" t="s">
        <x:v>985</x:v>
      </x:c>
      <x:c r="E41" s="14" t="s">
        <x:v>986</x:v>
      </x:c>
      <x:c r="F41" s="14" t="s">
        <x:v>987</x:v>
      </x:c>
      <x:c r="G41" s="14" t="s">
        <x:v>988</x:v>
      </x:c>
      <x:c r="H41" s="14" t="s">
        <x:v>989</x:v>
      </x:c>
      <x:c r="I41" s="14" t="str">
        <x:v>已修复并复测</x:v>
      </x:c>
      <x:c r="J41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42" ht="140" customHeight="1">
      <x:c r="A42" s="310" t="str">
        <x:v>BUG-015</x:v>
      </x:c>
      <x:c r="B42" s="310" t="str">
        <x:v>主17/OPS-21</x:v>
      </x:c>
      <x:c r="C42" s="310" t="str">
        <x:v>协议A异常工参仍显示ONLINE</x:v>
      </x:c>
      <x:c r="D42" s="310" t="str">
        <x:v>发送workState=2，再恢复1</x:v>
      </x:c>
      <x:c r="E42" s="310" t="str">
        <x:v>异常可见；失联转离线，恢复不伪造GOOD</x:v>
      </x:c>
      <x:c r="F42" s="310" t="str">
        <x:v>已修复，真实C批次ABNORMAL→ONLINE，health UNKNOWN</x:v>
      </x:c>
      <x:c r="G42" s="310" t="str">
        <x:v>高</x:v>
      </x:c>
      <x:c r="H42" s="310" t="str">
        <x:v>后端</x:v>
      </x:c>
      <x:c r="I42" s="310" t="str">
        <x:v>已修复并复测</x:v>
      </x:c>
      <x:c r="J42" s="310" t="str">
        <x:v>mqtt-workstate-green.log；mqtt-workstate-postgres.log；scene-c-fault-devices.json；scene-c-recovered-devices.json</x:v>
      </x:c>
    </x:row>
    <x:row r="43" ht="140" customHeight="1">
      <x:c r="A43" s="310" t="str">
        <x:v>BUG-016</x:v>
      </x:c>
      <x:c r="B43" s="310" t="str">
        <x:v>主12/34</x:v>
      </x:c>
      <x:c r="C43" s="310" t="str">
        <x:v>研判目标直链忽略target并残留其他UAV</x:v>
      </x:c>
      <x:c r="D43" s="310" t="str">
        <x:v>分别访问鸟类、缺失目标和目标020链接</x:v>
      </x:c>
      <x:c r="E43" s="310" t="str">
        <x:v>按目标过滤，无结果清空详情</x:v>
      </x:c>
      <x:c r="F43" s="310" t="str">
        <x:v>已修复并页面验证</x:v>
      </x:c>
      <x:c r="G43" s="310" t="str">
        <x:v>中</x:v>
      </x:c>
      <x:c r="H43" s="310" t="str">
        <x:v>前端</x:v>
      </x:c>
      <x:c r="I43" s="310" t="str">
        <x:v>已修复并复测</x:v>
      </x:c>
      <x:c r="J43" s="310" t="str">
        <x:v>bird-deeplink-fixed.txt；uav-deeplink-fixed.txt；missing-target-deeplink.txt</x:v>
      </x:c>
    </x:row>
    <x:row r="44" ht="140" customHeight="1">
      <x:c r="A44" s="310" t="str">
        <x:v>BUG-017</x:v>
      </x:c>
      <x:c r="B44" s="310" t="str">
        <x:v>主19</x:v>
      </x:c>
      <x:c r="C44" s="310" t="str">
        <x:v>相同时间融合观测被误判倒序，473点不可播放</x:v>
      </x:c>
      <x:c r="D44" s="310" t="str">
        <x:v>双来源同一时间戳融合点回放</x:v>
      </x:c>
      <x:c r="E44" s="310" t="str">
        <x:v>保留点序；相同时间允许，倒序/缺时限制</x:v>
      </x:c>
      <x:c r="F44" s="310" t="str">
        <x:v>已修复，实际从头回放进入暂停状态并前进</x:v>
      </x:c>
      <x:c r="G44" s="310" t="str">
        <x:v>中</x:v>
      </x:c>
      <x:c r="H44" s="310" t="str">
        <x:v>前端</x:v>
      </x:c>
      <x:c r="I44" s="310" t="str">
        <x:v>已修复并复测</x:v>
      </x:c>
      <x:c r="J44" s="310" t="str">
        <x:v>track-equal-time.test.mjs九项断言；fused-track-playing-ui.txt；fused-track-fixed.png</x:v>
      </x:c>
    </x:row>
    <x:row r="45" ht="140" customHeight="1">
      <x:c r="A45" s="310" t="str">
        <x:v>BLOCK-009</x:v>
      </x:c>
      <x:c r="B45" s="310" t="str">
        <x:v>权限/审计页面</x:v>
      </x:c>
      <x:c r="C45" s="310" t="str">
        <x:v>新管理端测试登录被拒绝</x:v>
      </x:c>
      <x:c r="D45" s="310" t="str">
        <x:v>新标签使用用户提供的既有测试账号口令登录</x:v>
      </x:c>
      <x:c r="E45" s="310" t="str">
        <x:v>取得对应账号会话</x:v>
      </x:c>
      <x:c r="F45" s="310" t="str">
        <x:v>返回账号或密码错误；未重置密码或扩大权限</x:v>
      </x:c>
      <x:c r="G45" s="310" t="str">
        <x:v>阻塞</x:v>
      </x:c>
      <x:c r="H45" s="310" t="str">
        <x:v>测试环境</x:v>
      </x:c>
      <x:c r="I45" s="310" t="str">
        <x:v>待补登录条件</x:v>
      </x:c>
      <x:c r="J45" s="310" t="str">
        <x:v>既有业务会话有效，审计API和前端回归已通过；需可用管理端测试登录</x:v>
      </x:c>
    </x:row>
  </x:sheetData>
  <x:conditionalFormatting sqref="G6:G35">
    <x:cfRule type="cellIs" dxfId="0" priority="1" operator="equal">
      <x:formula>"必须先修"</x:formula>
    </x:cfRule>
  </x:conditionalFormatting>
  <x:conditionalFormatting sqref="I6:I35">
    <x:cfRule type="cellIs" dxfId="6" priority="2" operator="equal">
      <x:formula>"复测通过"</x:formula>
    </x:cfRule>
  </x:conditionalFormatting>
  <x:dataValidations count="2">
    <x:dataValidation type="list" sqref="G6:G35">
      <x:formula1>"必须先修,影响主要操作,一般问题,轻微体验"</x:formula1>
    </x:dataValidation>
    <x:dataValidation type="list" sqref="I6:I35">
      <x:formula1>"待处理,处理中,待复测,复测通过,暂缓并说明"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a4746d806245b4"/>
  </x:tableParts>
</x:worksheet>
</file>

<file path=xl/worksheets/sheet5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1" ySplit="5" topLeftCell="B6" activePane="bottomRight" state="frozen"/>
    </x:sheetView>
  </x:sheetViews>
  <x:sheetFormatPr defaultColWidth="9" defaultRowHeight="14"/>
  <x:cols>
    <x:col min="1" max="1" width="13" customWidth="1"/>
    <x:col min="2" max="3" width="14" customWidth="1"/>
    <x:col min="4" max="4" width="20" customWidth="1"/>
    <x:col min="5" max="5" width="57" customWidth="1"/>
    <x:col min="6" max="6" width="58" customWidth="1"/>
    <x:col min="7" max="7" width="50" customWidth="1"/>
  </x:cols>
  <x:sheetData>
    <x:row r="1" ht="16.5">
      <x:c r="A1" s="15"/>
    </x:row>
    <x:row r="2" ht="32" customHeight="1">
      <x:c r="A2" s="35" t="s">
        <x:v>990</x:v>
      </x:c>
      <x:c r="B2" s="36"/>
      <x:c r="C2" s="36"/>
      <x:c r="D2" s="36"/>
      <x:c r="E2" s="36"/>
      <x:c r="F2" s="36"/>
      <x:c r="G2" s="36"/>
    </x:row>
    <x:row r="3" ht="34" customHeight="1">
      <x:c r="A3" s="14" t="s">
        <x:v>991</x:v>
      </x:c>
      <x:c r="B3" s="14"/>
      <x:c r="C3" s="14"/>
      <x:c r="D3" s="14"/>
      <x:c r="E3" s="14"/>
      <x:c r="F3" s="14"/>
      <x:c r="G3" s="14"/>
    </x:row>
    <x:row r="5" ht="32" customHeight="1">
      <x:c r="A5" s="37" t="s">
        <x:v>992</x:v>
      </x:c>
      <x:c r="B5" s="37" t="s">
        <x:v>993</x:v>
      </x:c>
      <x:c r="C5" s="37" t="s">
        <x:v>994</x:v>
      </x:c>
      <x:c r="D5" s="37" t="s">
        <x:v>995</x:v>
      </x:c>
      <x:c r="E5" s="37" t="s">
        <x:v>996</x:v>
      </x:c>
      <x:c r="F5" s="37" t="s">
        <x:v>997</x:v>
      </x:c>
      <x:c r="G5" s="37" t="s">
        <x:v>998</x:v>
      </x:c>
    </x:row>
    <x:row r="6" ht="142" customHeight="1">
      <x:c r="A6" s="88" t="s">
        <x:v>999</x:v>
      </x:c>
      <x:c r="B6" s="88" t="s">
        <x:v>1000</x:v>
      </x:c>
      <x:c r="C6" s="88" t="s">
        <x:v>1000</x:v>
      </x:c>
      <x:c r="D6" s="88" t="s">
        <x:v>1000</x:v>
      </x:c>
      <x:c r="E6" s="89" t="s">
        <x:v>1001</x:v>
      </x:c>
      <x:c r="F6" s="89" t="s">
        <x:v>1002</x:v>
      </x:c>
      <x:c r="G6" s="89" t="s">
        <x:v>1003</x:v>
      </x:c>
    </x:row>
    <x:row r="7" ht="142" customHeight="1">
      <x:c r="A7" s="90" t="s">
        <x:v>1004</x:v>
      </x:c>
      <x:c r="B7" s="90" t="s">
        <x:v>1000</x:v>
      </x:c>
      <x:c r="C7" s="90" t="s">
        <x:v>1000</x:v>
      </x:c>
      <x:c r="D7" s="90" t="s">
        <x:v>1005</x:v>
      </x:c>
      <x:c r="E7" s="91" t="s">
        <x:v>1006</x:v>
      </x:c>
      <x:c r="F7" s="91" t="s">
        <x:v>1007</x:v>
      </x:c>
      <x:c r="G7" s="91" t="s">
        <x:v>1003</x:v>
      </x:c>
    </x:row>
    <x:row r="8" ht="142" customHeight="1">
      <x:c r="A8" s="92" t="s">
        <x:v>1008</x:v>
      </x:c>
      <x:c r="B8" s="92" t="s">
        <x:v>1000</x:v>
      </x:c>
      <x:c r="C8" s="92" t="s">
        <x:v>1005</x:v>
      </x:c>
      <x:c r="D8" s="92" t="s">
        <x:v>1000</x:v>
      </x:c>
      <x:c r="E8" s="93" t="s">
        <x:v>1009</x:v>
      </x:c>
      <x:c r="F8" s="93" t="s">
        <x:v>1010</x:v>
      </x:c>
      <x:c r="G8" s="93" t="s">
        <x:v>1003</x:v>
      </x:c>
    </x:row>
    <x:row r="9" ht="142" customHeight="1">
      <x:c r="A9" s="94" t="s">
        <x:v>1011</x:v>
      </x:c>
      <x:c r="B9" s="94" t="s">
        <x:v>1000</x:v>
      </x:c>
      <x:c r="C9" s="94" t="s">
        <x:v>1005</x:v>
      </x:c>
      <x:c r="D9" s="94" t="s">
        <x:v>1005</x:v>
      </x:c>
      <x:c r="E9" s="95" t="s">
        <x:v>1012</x:v>
      </x:c>
      <x:c r="F9" s="95" t="s">
        <x:v>1013</x:v>
      </x:c>
      <x:c r="G9" s="95" t="s">
        <x:v>1003</x:v>
      </x:c>
    </x:row>
    <x:row r="10" ht="142" customHeight="1">
      <x:c r="A10" s="96" t="s">
        <x:v>1014</x:v>
      </x:c>
      <x:c r="B10" s="96" t="s">
        <x:v>1005</x:v>
      </x:c>
      <x:c r="C10" s="96" t="s">
        <x:v>1000</x:v>
      </x:c>
      <x:c r="D10" s="96" t="s">
        <x:v>1000</x:v>
      </x:c>
      <x:c r="E10" s="97" t="s">
        <x:v>1015</x:v>
      </x:c>
      <x:c r="F10" s="97" t="s">
        <x:v>1016</x:v>
      </x:c>
      <x:c r="G10" s="97" t="s">
        <x:v>1003</x:v>
      </x:c>
    </x:row>
    <x:row r="11" ht="142" customHeight="1">
      <x:c r="A11" s="98" t="s">
        <x:v>1017</x:v>
      </x:c>
      <x:c r="B11" s="98" t="s">
        <x:v>1005</x:v>
      </x:c>
      <x:c r="C11" s="98" t="s">
        <x:v>1000</x:v>
      </x:c>
      <x:c r="D11" s="98" t="s">
        <x:v>1005</x:v>
      </x:c>
      <x:c r="E11" s="99" t="s">
        <x:v>1018</x:v>
      </x:c>
      <x:c r="F11" s="99" t="s">
        <x:v>1019</x:v>
      </x:c>
      <x:c r="G11" s="99" t="s">
        <x:v>1003</x:v>
      </x:c>
    </x:row>
    <x:row r="12" ht="142" customHeight="1">
      <x:c r="A12" s="100" t="s">
        <x:v>1020</x:v>
      </x:c>
      <x:c r="B12" s="100" t="s">
        <x:v>1005</x:v>
      </x:c>
      <x:c r="C12" s="100" t="s">
        <x:v>1005</x:v>
      </x:c>
      <x:c r="D12" s="100" t="s">
        <x:v>1000</x:v>
      </x:c>
      <x:c r="E12" s="101" t="s">
        <x:v>1021</x:v>
      </x:c>
      <x:c r="F12" s="101" t="s">
        <x:v>1022</x:v>
      </x:c>
      <x:c r="G12" s="101" t="s">
        <x:v>1003</x:v>
      </x:c>
    </x:row>
    <x:row r="13" ht="142" customHeight="1">
      <x:c r="A13" s="102" t="s">
        <x:v>1023</x:v>
      </x:c>
      <x:c r="B13" s="102" t="s">
        <x:v>1005</x:v>
      </x:c>
      <x:c r="C13" s="102" t="s">
        <x:v>1005</x:v>
      </x:c>
      <x:c r="D13" s="102" t="s">
        <x:v>1005</x:v>
      </x:c>
      <x:c r="E13" s="103" t="s">
        <x:v>1024</x:v>
      </x:c>
      <x:c r="F13" s="103" t="s">
        <x:v>1025</x:v>
      </x:c>
      <x:c r="G13" s="103" t="s">
        <x:v>1003</x:v>
      </x:c>
    </x:row>
    <x:row r="16" ht="32" customHeight="1">
      <x:c r="A16" s="37" t="s">
        <x:v>1026</x:v>
      </x:c>
      <x:c r="B16" s="37" t="s">
        <x:v>62</x:v>
      </x:c>
      <x:c r="C16" s="37" t="s">
        <x:v>62</x:v>
      </x:c>
      <x:c r="D16" s="37" t="s">
        <x:v>62</x:v>
      </x:c>
      <x:c r="E16" s="37" t="s">
        <x:v>62</x:v>
      </x:c>
      <x:c r="F16" s="37" t="s">
        <x:v>62</x:v>
      </x:c>
      <x:c r="G16" s="37" t="s">
        <x:v>62</x:v>
      </x:c>
    </x:row>
    <x:row r="17" ht="64" customHeight="1">
      <x:c r="A17" s="104" t="s">
        <x:v>1027</x:v>
      </x:c>
      <x:c r="B17" s="104"/>
      <x:c r="C17" s="104" t="s">
        <x:v>1028</x:v>
      </x:c>
      <x:c r="D17" s="104"/>
      <x:c r="E17" s="104"/>
      <x:c r="F17" s="104"/>
      <x:c r="G17" s="104"/>
    </x:row>
    <x:row r="18" ht="64" customHeight="1">
      <x:c r="A18" s="105" t="s">
        <x:v>1029</x:v>
      </x:c>
      <x:c r="B18" s="105"/>
      <x:c r="C18" s="105" t="s">
        <x:v>1030</x:v>
      </x:c>
      <x:c r="D18" s="105"/>
      <x:c r="E18" s="105"/>
      <x:c r="F18" s="105"/>
      <x:c r="G18" s="105"/>
    </x:row>
    <x:row r="19" ht="64" customHeight="1">
      <x:c r="A19" s="104" t="s">
        <x:v>1031</x:v>
      </x:c>
      <x:c r="B19" s="104"/>
      <x:c r="C19" s="104" t="s">
        <x:v>1032</x:v>
      </x:c>
      <x:c r="D19" s="104"/>
      <x:c r="E19" s="104"/>
      <x:c r="F19" s="104"/>
      <x:c r="G19" s="104"/>
    </x:row>
    <x:row r="20" ht="64" customHeight="1">
      <x:c r="A20" s="105" t="s">
        <x:v>1033</x:v>
      </x:c>
      <x:c r="B20" s="105"/>
      <x:c r="C20" s="105" t="s">
        <x:v>1034</x:v>
      </x:c>
      <x:c r="D20" s="105"/>
      <x:c r="E20" s="105"/>
      <x:c r="F20" s="105"/>
      <x:c r="G20" s="105"/>
    </x:row>
    <x:row r="21" ht="64" customHeight="1">
      <x:c r="A21" s="104" t="s">
        <x:v>1035</x:v>
      </x:c>
      <x:c r="B21" s="104"/>
      <x:c r="C21" s="104" t="s">
        <x:v>1036</x:v>
      </x:c>
      <x:c r="D21" s="104"/>
      <x:c r="E21" s="104"/>
      <x:c r="F21" s="104"/>
      <x:c r="G21" s="104"/>
    </x:row>
    <x:row r="22" ht="64" customHeight="1">
      <x:c r="A22" s="105" t="s">
        <x:v>1037</x:v>
      </x:c>
      <x:c r="B22" s="105"/>
      <x:c r="C22" s="105" t="s">
        <x:v>1038</x:v>
      </x:c>
      <x:c r="D22" s="105"/>
      <x:c r="E22" s="105"/>
      <x:c r="F22" s="105"/>
      <x:c r="G22" s="105"/>
    </x:row>
    <x:row r="23" ht="64" customHeight="1">
      <x:c r="A23" s="104" t="s">
        <x:v>1039</x:v>
      </x:c>
      <x:c r="B23" s="104"/>
      <x:c r="C23" s="104" t="s">
        <x:v>1040</x:v>
      </x:c>
      <x:c r="D23" s="104"/>
      <x:c r="E23" s="104"/>
      <x:c r="F23" s="104"/>
      <x:c r="G23" s="104"/>
    </x:row>
    <x:row r="24" ht="64" customHeight="1">
      <x:c r="A24" s="105" t="s">
        <x:v>1041</x:v>
      </x:c>
      <x:c r="B24" s="105"/>
      <x:c r="C24" s="105" t="s">
        <x:v>1042</x:v>
      </x:c>
      <x:c r="D24" s="105"/>
      <x:c r="E24" s="105"/>
      <x:c r="F24" s="105"/>
      <x:c r="G24" s="105"/>
    </x:row>
    <x:row r="25" ht="64" customHeight="1">
      <x:c r="A25" s="104" t="s">
        <x:v>1043</x:v>
      </x:c>
      <x:c r="B25" s="104"/>
      <x:c r="C25" s="104" t="s">
        <x:v>1044</x:v>
      </x:c>
      <x:c r="D25" s="104"/>
      <x:c r="E25" s="104"/>
      <x:c r="F25" s="104"/>
      <x:c r="G25" s="104"/>
    </x:row>
    <x:row r="26" ht="64" customHeight="1">
      <x:c r="A26" s="105" t="s">
        <x:v>1045</x:v>
      </x:c>
      <x:c r="B26" s="105"/>
      <x:c r="C26" s="105" t="s">
        <x:v>1046</x:v>
      </x:c>
      <x:c r="D26" s="105"/>
      <x:c r="E26" s="105"/>
      <x:c r="F26" s="105"/>
      <x:c r="G26" s="105"/>
    </x:row>
  </x:sheetData>
  <x:mergeCells>
    <x:mergeCell ref="A3:G3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5:B25"/>
    <x:mergeCell ref="C25:G25"/>
    <x:mergeCell ref="A26:B26"/>
    <x:mergeCell ref="C26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B2777"/>
  </x:sheetPr>
  <x:sheetViews>
    <x:sheetView showGridLines="0" workbookViewId="0">
      <x:pane xSplit="3" ySplit="5" topLeftCell="D6" activePane="bottomRight" state="frozen"/>
    </x:sheetView>
  </x:sheetViews>
  <x:sheetFormatPr defaultColWidth="9" defaultRowHeight="14"/>
  <x:cols>
    <x:col min="1" max="1" width="10" customWidth="1"/>
    <x:col min="2" max="2" width="33" customWidth="1"/>
    <x:col min="3" max="3" width="20" customWidth="1"/>
    <x:col min="4" max="4" width="56" customWidth="1"/>
    <x:col min="5" max="5" width="60" customWidth="1"/>
    <x:col min="6" max="6" width="35" customWidth="1"/>
    <x:col min="7" max="7" width="16" customWidth="1"/>
    <x:col min="8" max="8" width="13" customWidth="1"/>
    <x:col min="9" max="9" width="24" customWidth="1"/>
    <x:col min="10" max="10" width="35" customWidth="1"/>
  </x:cols>
  <x:sheetData>
    <x:row r="1" ht="16.5">
      <x:c r="A1" s="15"/>
    </x:row>
    <x:row r="2" ht="32" customHeight="1">
      <x:c r="A2" s="35" t="s">
        <x:v>1047</x:v>
      </x:c>
      <x:c r="B2" s="36"/>
      <x:c r="C2" s="36"/>
      <x:c r="D2" s="36"/>
      <x:c r="E2" s="36"/>
      <x:c r="F2" s="36"/>
      <x:c r="G2" s="36"/>
      <x:c r="H2" s="36"/>
      <x:c r="I2" s="36"/>
      <x:c r="J2" s="36"/>
    </x:row>
    <x:row r="3" ht="34" customHeight="1">
      <x:c r="A3" s="14" t="s">
        <x:v>1048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4" ht="34" customHeight="1">
      <x:c r="A4" s="14" t="s">
        <x:v>1049</x:v>
      </x:c>
      <x:c r="B4" s="14"/>
      <x:c r="C4" s="14"/>
      <x:c r="D4" s="14"/>
      <x:c r="E4" s="14"/>
      <x:c r="F4" s="14"/>
      <x:c r="G4" s="14"/>
      <x:c r="H4" s="14"/>
      <x:c r="I4" s="14"/>
      <x:c r="J4" s="14"/>
    </x:row>
    <x:row r="5" ht="32" customHeight="1">
      <x:c r="A5" s="37" t="s">
        <x:v>1050</x:v>
      </x:c>
      <x:c r="B5" s="37" t="s">
        <x:v>1051</x:v>
      </x:c>
      <x:c r="C5" s="37" t="s">
        <x:v>1052</x:v>
      </x:c>
      <x:c r="D5" s="37" t="s">
        <x:v>1053</x:v>
      </x:c>
      <x:c r="E5" s="37" t="s">
        <x:v>1054</x:v>
      </x:c>
      <x:c r="F5" s="37" t="s">
        <x:v>1055</x:v>
      </x:c>
      <x:c r="G5" s="37" t="s">
        <x:v>1056</x:v>
      </x:c>
      <x:c r="H5" s="37" t="s">
        <x:v>702</x:v>
      </x:c>
      <x:c r="I5" s="37" t="s">
        <x:v>1057</x:v>
      </x:c>
      <x:c r="J5" s="37" t="s">
        <x:v>1058</x:v>
      </x:c>
    </x:row>
    <x:row r="6" ht="180" customHeight="1">
      <x:c r="A6" s="88" t="s">
        <x:v>1059</x:v>
      </x:c>
      <x:c r="B6" s="88" t="s">
        <x:v>1060</x:v>
      </x:c>
      <x:c r="C6" s="88" t="s">
        <x:v>999</x:v>
      </x:c>
      <x:c r="D6" s="89" t="s">
        <x:v>1061</x:v>
      </x:c>
      <x:c r="E6" s="89" t="s">
        <x:v>1062</x:v>
      </x:c>
      <x:c r="F6" s="44" t="s">
        <x:v>1063</x:v>
      </x:c>
      <x:c r="G6" s="44" t="str">
        <x:f>IF(COUNTIF('流程步骤记录'!G6:G15,"有问题")&gt;0,"有问题",IF(COUNTIF('流程步骤记录'!G6:G15,"暂时测不了")&gt;0,"暂时测不了",IF(COUNTBLANK('流程步骤记录'!G6:G15)&gt;0,"未填结果",IF(COUNTIF('流程步骤记录'!G6:G15,"通过")=10,IF(COUNTBLANK('流程步骤记录'!H6:L15)&gt;0,"待补证据","通过"),IF(COUNTIF('流程步骤记录'!G6:G15,"还没测")=10,"还没测","进行中")))))</x:f>
        <x:v>暂时测不了</x:v>
      </x:c>
      <x:c r="H6" s="44" t="s">
        <x:v>92</x:v>
      </x:c>
      <x:c r="I6" s="45" t="str">
        <x:v>第十轮</x:v>
      </x:c>
      <x:c r="J6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7" ht="180" customHeight="1">
      <x:c r="A7" s="90" t="s">
        <x:v>1064</x:v>
      </x:c>
      <x:c r="B7" s="90" t="s">
        <x:v>1065</x:v>
      </x:c>
      <x:c r="C7" s="90" t="s">
        <x:v>1004</x:v>
      </x:c>
      <x:c r="D7" s="91" t="s">
        <x:v>1061</x:v>
      </x:c>
      <x:c r="E7" s="91" t="s">
        <x:v>1062</x:v>
      </x:c>
      <x:c r="F7" s="44" t="s">
        <x:v>1063</x:v>
      </x:c>
      <x:c r="G7" s="44" t="str">
        <x:f>IF(COUNTIF('流程步骤记录'!G16:G25,"有问题")&gt;0,"有问题",IF(COUNTIF('流程步骤记录'!G16:G25,"暂时测不了")&gt;0,"暂时测不了",IF(COUNTBLANK('流程步骤记录'!G16:G25)&gt;0,"未填结果",IF(COUNTIF('流程步骤记录'!G16:G25,"通过")=10,IF(COUNTBLANK('流程步骤记录'!H16:L25)&gt;0,"待补证据","通过"),IF(COUNTIF('流程步骤记录'!G16:G25,"还没测")=10,"还没测","进行中")))))</x:f>
        <x:v>暂时测不了</x:v>
      </x:c>
      <x:c r="H7" s="44" t="s">
        <x:v>92</x:v>
      </x:c>
      <x:c r="I7" s="45" t="str">
        <x:v>第十轮</x:v>
      </x:c>
      <x:c r="J7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8" ht="180" customHeight="1">
      <x:c r="A8" s="92" t="s">
        <x:v>1066</x:v>
      </x:c>
      <x:c r="B8" s="92" t="s">
        <x:v>1067</x:v>
      </x:c>
      <x:c r="C8" s="92" t="s">
        <x:v>1008</x:v>
      </x:c>
      <x:c r="D8" s="93" t="s">
        <x:v>1061</x:v>
      </x:c>
      <x:c r="E8" s="93" t="s">
        <x:v>1062</x:v>
      </x:c>
      <x:c r="F8" s="44" t="s">
        <x:v>1063</x:v>
      </x:c>
      <x:c r="G8" s="44" t="str">
        <x:f>IF(COUNTIF('流程步骤记录'!G26:G35,"有问题")&gt;0,"有问题",IF(COUNTIF('流程步骤记录'!G26:G35,"暂时测不了")&gt;0,"暂时测不了",IF(COUNTBLANK('流程步骤记录'!G26:G35)&gt;0,"未填结果",IF(COUNTIF('流程步骤记录'!G26:G35,"通过")=10,IF(COUNTBLANK('流程步骤记录'!H26:L35)&gt;0,"待补证据","通过"),IF(COUNTIF('流程步骤记录'!G26:G35,"还没测")=10,"还没测","进行中")))))</x:f>
        <x:v>暂时测不了</x:v>
      </x:c>
      <x:c r="H8" s="44" t="s">
        <x:v>92</x:v>
      </x:c>
      <x:c r="I8" s="45" t="str">
        <x:v>第十轮</x:v>
      </x:c>
      <x:c r="J8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9" ht="180" customHeight="1">
      <x:c r="A9" s="94" t="s">
        <x:v>1068</x:v>
      </x:c>
      <x:c r="B9" s="94" t="s">
        <x:v>1069</x:v>
      </x:c>
      <x:c r="C9" s="94" t="s">
        <x:v>1011</x:v>
      </x:c>
      <x:c r="D9" s="95" t="s">
        <x:v>1061</x:v>
      </x:c>
      <x:c r="E9" s="95" t="s">
        <x:v>1062</x:v>
      </x:c>
      <x:c r="F9" s="44" t="s">
        <x:v>1063</x:v>
      </x:c>
      <x:c r="G9" s="44" t="str">
        <x:f>IF(COUNTIF('流程步骤记录'!G36:G45,"有问题")&gt;0,"有问题",IF(COUNTIF('流程步骤记录'!G36:G45,"暂时测不了")&gt;0,"暂时测不了",IF(COUNTBLANK('流程步骤记录'!G36:G45)&gt;0,"未填结果",IF(COUNTIF('流程步骤记录'!G36:G45,"通过")=10,IF(COUNTBLANK('流程步骤记录'!H36:L45)&gt;0,"待补证据","通过"),IF(COUNTIF('流程步骤记录'!G36:G45,"还没测")=10,"还没测","进行中")))))</x:f>
        <x:v>暂时测不了</x:v>
      </x:c>
      <x:c r="H9" s="44" t="s">
        <x:v>92</x:v>
      </x:c>
      <x:c r="I9" s="45" t="str">
        <x:v>第十轮</x:v>
      </x:c>
      <x:c r="J9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0" ht="180" customHeight="1">
      <x:c r="A10" s="96" t="s">
        <x:v>1070</x:v>
      </x:c>
      <x:c r="B10" s="96" t="s">
        <x:v>1071</x:v>
      </x:c>
      <x:c r="C10" s="96" t="s">
        <x:v>1014</x:v>
      </x:c>
      <x:c r="D10" s="97" t="s">
        <x:v>1061</x:v>
      </x:c>
      <x:c r="E10" s="97" t="s">
        <x:v>1062</x:v>
      </x:c>
      <x:c r="F10" s="44" t="s">
        <x:v>1063</x:v>
      </x:c>
      <x:c r="G10" s="44" t="str">
        <x:f>IF(COUNTIF('流程步骤记录'!G46:G55,"有问题")&gt;0,"有问题",IF(COUNTIF('流程步骤记录'!G46:G55,"暂时测不了")&gt;0,"暂时测不了",IF(COUNTBLANK('流程步骤记录'!G46:G55)&gt;0,"未填结果",IF(COUNTIF('流程步骤记录'!G46:G55,"通过")=10,IF(COUNTBLANK('流程步骤记录'!H46:L55)&gt;0,"待补证据","通过"),IF(COUNTIF('流程步骤记录'!G46:G55,"还没测")=10,"还没测","进行中")))))</x:f>
        <x:v>暂时测不了</x:v>
      </x:c>
      <x:c r="H10" s="44" t="s">
        <x:v>92</x:v>
      </x:c>
      <x:c r="I10" s="45" t="str">
        <x:v>第十轮</x:v>
      </x:c>
      <x:c r="J10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1" ht="180" customHeight="1">
      <x:c r="A11" s="98" t="s">
        <x:v>1072</x:v>
      </x:c>
      <x:c r="B11" s="98" t="s">
        <x:v>1073</x:v>
      </x:c>
      <x:c r="C11" s="98" t="s">
        <x:v>1017</x:v>
      </x:c>
      <x:c r="D11" s="99" t="s">
        <x:v>1061</x:v>
      </x:c>
      <x:c r="E11" s="99" t="s">
        <x:v>1062</x:v>
      </x:c>
      <x:c r="F11" s="44" t="s">
        <x:v>1063</x:v>
      </x:c>
      <x:c r="G11" s="44" t="str">
        <x:f>IF(COUNTIF('流程步骤记录'!G56:G65,"有问题")&gt;0,"有问题",IF(COUNTIF('流程步骤记录'!G56:G65,"暂时测不了")&gt;0,"暂时测不了",IF(COUNTBLANK('流程步骤记录'!G56:G65)&gt;0,"未填结果",IF(COUNTIF('流程步骤记录'!G56:G65,"通过")=10,IF(COUNTBLANK('流程步骤记录'!H56:L65)&gt;0,"待补证据","通过"),IF(COUNTIF('流程步骤记录'!G56:G65,"还没测")=10,"还没测","进行中")))))</x:f>
        <x:v>暂时测不了</x:v>
      </x:c>
      <x:c r="H11" s="44" t="s">
        <x:v>92</x:v>
      </x:c>
      <x:c r="I11" s="45" t="str">
        <x:v>第十轮</x:v>
      </x:c>
      <x:c r="J11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2" ht="180" customHeight="1">
      <x:c r="A12" s="100" t="s">
        <x:v>1074</x:v>
      </x:c>
      <x:c r="B12" s="100" t="s">
        <x:v>1075</x:v>
      </x:c>
      <x:c r="C12" s="100" t="s">
        <x:v>1020</x:v>
      </x:c>
      <x:c r="D12" s="101" t="s">
        <x:v>1061</x:v>
      </x:c>
      <x:c r="E12" s="101" t="s">
        <x:v>1062</x:v>
      </x:c>
      <x:c r="F12" s="44" t="s">
        <x:v>1063</x:v>
      </x:c>
      <x:c r="G12" s="44" t="str">
        <x:f>IF(COUNTIF('流程步骤记录'!G66:G75,"有问题")&gt;0,"有问题",IF(COUNTIF('流程步骤记录'!G66:G75,"暂时测不了")&gt;0,"暂时测不了",IF(COUNTBLANK('流程步骤记录'!G66:G75)&gt;0,"未填结果",IF(COUNTIF('流程步骤记录'!G66:G75,"通过")=10,IF(COUNTBLANK('流程步骤记录'!H66:L75)&gt;0,"待补证据","通过"),IF(COUNTIF('流程步骤记录'!G66:G75,"还没测")=10,"还没测","进行中")))))</x:f>
        <x:v>暂时测不了</x:v>
      </x:c>
      <x:c r="H12" s="44" t="s">
        <x:v>92</x:v>
      </x:c>
      <x:c r="I12" s="45" t="str">
        <x:v>第十轮</x:v>
      </x:c>
      <x:c r="J12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3" ht="180" customHeight="1">
      <x:c r="A13" s="102" t="s">
        <x:v>1076</x:v>
      </x:c>
      <x:c r="B13" s="102" t="s">
        <x:v>1077</x:v>
      </x:c>
      <x:c r="C13" s="102" t="s">
        <x:v>1023</x:v>
      </x:c>
      <x:c r="D13" s="103" t="s">
        <x:v>1061</x:v>
      </x:c>
      <x:c r="E13" s="103" t="s">
        <x:v>1062</x:v>
      </x:c>
      <x:c r="F13" s="44" t="s">
        <x:v>1063</x:v>
      </x:c>
      <x:c r="G13" s="44" t="str">
        <x:f>IF(COUNTIF('流程步骤记录'!G76:G85,"有问题")&gt;0,"有问题",IF(COUNTIF('流程步骤记录'!G76:G85,"暂时测不了")&gt;0,"暂时测不了",IF(COUNTBLANK('流程步骤记录'!G76:G85)&gt;0,"未填结果",IF(COUNTIF('流程步骤记录'!G76:G85,"通过")=10,IF(COUNTBLANK('流程步骤记录'!H76:L85)&gt;0,"待补证据","通过"),IF(COUNTIF('流程步骤记录'!G76:G85,"还没测")=10,"还没测","进行中")))))</x:f>
        <x:v>暂时测不了</x:v>
      </x:c>
      <x:c r="H13" s="44" t="s">
        <x:v>92</x:v>
      </x:c>
      <x:c r="I13" s="45" t="str">
        <x:v>第十轮</x:v>
      </x:c>
      <x:c r="J13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4" ht="180" customHeight="1">
      <x:c r="A14" s="88" t="s">
        <x:v>1078</x:v>
      </x:c>
      <x:c r="B14" s="88" t="s">
        <x:v>1079</x:v>
      </x:c>
      <x:c r="C14" s="88" t="s">
        <x:v>1023</x:v>
      </x:c>
      <x:c r="D14" s="89" t="s">
        <x:v>1080</x:v>
      </x:c>
      <x:c r="E14" s="89" t="s">
        <x:v>1081</x:v>
      </x:c>
      <x:c r="F14" s="44" t="s">
        <x:v>1063</x:v>
      </x:c>
      <x:c r="G14" s="44" t="str">
        <x:f>IF(COUNTIF('流程步骤记录'!G86:G95,"有问题")&gt;0,"有问题",IF(COUNTIF('流程步骤记录'!G86:G95,"暂时测不了")&gt;0,"暂时测不了",IF(COUNTBLANK('流程步骤记录'!G86:G95)&gt;0,"未填结果",IF(COUNTIF('流程步骤记录'!G86:G95,"通过")=10,IF(COUNTBLANK('流程步骤记录'!H86:L95)&gt;0,"待补证据","通过"),IF(COUNTIF('流程步骤记录'!G86:G95,"还没测")=10,"还没测","进行中")))))</x:f>
        <x:v>暂时测不了</x:v>
      </x:c>
      <x:c r="H14" s="44" t="s">
        <x:v>92</x:v>
      </x:c>
      <x:c r="I14" s="45" t="str">
        <x:v>第十轮</x:v>
      </x:c>
      <x:c r="J14" s="44" t="str">
        <x:v>第十轮：尚未完成同一批次全部十步；浏览器阻塞已解除。当前场景：提供有效计划并持续沿计划飞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5" ht="180" customHeight="1">
      <x:c r="A15" s="90" t="s">
        <x:v>1082</x:v>
      </x:c>
      <x:c r="B15" s="90" t="s">
        <x:v>1083</x:v>
      </x:c>
      <x:c r="C15" s="90" t="s">
        <x:v>1011</x:v>
      </x:c>
      <x:c r="D15" s="91" t="s">
        <x:v>1084</x:v>
      </x:c>
      <x:c r="E15" s="91" t="s">
        <x:v>1085</x:v>
      </x:c>
      <x:c r="F15" s="44" t="s">
        <x:v>1063</x:v>
      </x:c>
      <x:c r="G15" s="44" t="str">
        <x:f>IF(COUNTIF('流程步骤记录'!G96:G105,"有问题")&gt;0,"有问题",IF(COUNTIF('流程步骤记录'!G96:G105,"暂时测不了")&gt;0,"暂时测不了",IF(COUNTBLANK('流程步骤记录'!G96:G105)&gt;0,"未填结果",IF(COUNTIF('流程步骤记录'!G96:G105,"通过")=10,IF(COUNTBLANK('流程步骤记录'!H96:L105)&gt;0,"待补证据","通过"),IF(COUNTIF('流程步骤记录'!G96:G105,"还没测")=10,"还没测","进行中")))))</x:f>
        <x:v>暂时测不了</x:v>
      </x:c>
      <x:c r="H15" s="44" t="s">
        <x:v>92</x:v>
      </x:c>
      <x:c r="I15" s="45" t="str">
        <x:v>第十轮</x:v>
      </x:c>
      <x:c r="J15" s="44" t="str">
        <x:v>第十轮：尚未完成同一批次全部十步；浏览器阻塞已解除。当前场景：待核实事件由人员判误报。。局部修复与回归见本轮报告。历史前置记录（需按现状回读，不是本轮通过）：第八轮部分验证，整项未完成：专用待核实告警由管理员在前台判误报，状态和历史正确；M4规则组合与后续自动化不误触发的整链未按独立批次完成。
证据：r8-chain-initial.json；r8-filter-confirmed.txt</x:v>
      </x:c>
    </x:row>
    <x:row r="16" ht="180" customHeight="1">
      <x:c r="A16" s="92" t="s">
        <x:v>1086</x:v>
      </x:c>
      <x:c r="B16" s="92" t="s">
        <x:v>1087</x:v>
      </x:c>
      <x:c r="C16" s="92" t="s">
        <x:v>1023</x:v>
      </x:c>
      <x:c r="D16" s="93" t="s">
        <x:v>1088</x:v>
      </x:c>
      <x:c r="E16" s="93" t="s">
        <x:v>1089</x:v>
      </x:c>
      <x:c r="F16" s="44" t="s">
        <x:v>1063</x:v>
      </x:c>
      <x:c r="G16" s="44" t="str">
        <x:f>IF(COUNTIF('流程步骤记录'!G106:G115,"有问题")&gt;0,"有问题",IF(COUNTIF('流程步骤记录'!G106:G115,"暂时测不了")&gt;0,"暂时测不了",IF(COUNTBLANK('流程步骤记录'!G106:G115)&gt;0,"未填结果",IF(COUNTIF('流程步骤记录'!G106:G115,"通过")=10,IF(COUNTBLANK('流程步骤记录'!H106:L115)&gt;0,"待补证据","通过"),IF(COUNTIF('流程步骤记录'!G106:G115,"还没测")=10,"还没测","进行中")))))</x:f>
        <x:v>暂时测不了</x:v>
      </x:c>
      <x:c r="H16" s="44" t="s">
        <x:v>92</x:v>
      </x:c>
      <x:c r="I16" s="45" t="str">
        <x:v>第十轮</x:v>
      </x:c>
      <x:c r="J16" s="44" t="str">
        <x:v>第十轮：尚未完成同一批次全部十步；浏览器阻塞已解除。当前场景：短信送达后，目标持续上报飞离区域的有效位置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7" ht="180" customHeight="1">
      <x:c r="A17" s="94" t="s">
        <x:v>1090</x:v>
      </x:c>
      <x:c r="B17" s="94" t="s">
        <x:v>1091</x:v>
      </x:c>
      <x:c r="C17" s="94" t="s">
        <x:v>1023</x:v>
      </x:c>
      <x:c r="D17" s="95" t="s">
        <x:v>1092</x:v>
      </x:c>
      <x:c r="E17" s="95" t="s">
        <x:v>1093</x:v>
      </x:c>
      <x:c r="F17" s="44" t="s">
        <x:v>1063</x:v>
      </x:c>
      <x:c r="G17" s="44" t="str">
        <x:f>IF(COUNTIF('流程步骤记录'!G116:G125,"有问题")&gt;0,"有问题",IF(COUNTIF('流程步骤记录'!G116:G125,"暂时测不了")&gt;0,"暂时测不了",IF(COUNTBLANK('流程步骤记录'!G116:G125)&gt;0,"未填结果",IF(COUNTIF('流程步骤记录'!G116:G125,"通过")=10,IF(COUNTBLANK('流程步骤记录'!H116:L125)&gt;0,"待补证据","通过"),IF(COUNTIF('流程步骤记录'!G116:G125,"还没测")=10,"还没测","进行中")))))</x:f>
        <x:v>暂时测不了</x:v>
      </x:c>
      <x:c r="H17" s="44" t="s">
        <x:v>92</x:v>
      </x:c>
      <x:c r="I17" s="45" t="str">
        <x:v>第十轮</x:v>
      </x:c>
      <x:c r="J17" s="44" t="str">
        <x:v>第十轮：尚未完成同一批次全部十步；浏览器阻塞已解除。当前场景：短信后仍在域，电话播放完成后飞离并继续上报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8" ht="180" customHeight="1">
      <x:c r="A18" s="96" t="s">
        <x:v>1094</x:v>
      </x:c>
      <x:c r="B18" s="96" t="s">
        <x:v>1095</x:v>
      </x:c>
      <x:c r="C18" s="96" t="s">
        <x:v>1023</x:v>
      </x:c>
      <x:c r="D18" s="97" t="s">
        <x:v>1096</x:v>
      </x:c>
      <x:c r="E18" s="97" t="s">
        <x:v>1097</x:v>
      </x:c>
      <x:c r="F18" s="44" t="s">
        <x:v>1063</x:v>
      </x:c>
      <x:c r="G18" s="44" t="str">
        <x:f>IF(COUNTIF('流程步骤记录'!G126:G135,"有问题")&gt;0,"有问题",IF(COUNTIF('流程步骤记录'!G126:G135,"暂时测不了")&gt;0,"暂时测不了",IF(COUNTBLANK('流程步骤记录'!G126:G135)&gt;0,"未填结果",IF(COUNTIF('流程步骤记录'!G126:G135,"通过")=10,IF(COUNTBLANK('流程步骤记录'!H126:L135)&gt;0,"待补证据","通过"),IF(COUNTIF('流程步骤记录'!G126:G135,"还没测")=10,"还没测","进行中")))))</x:f>
        <x:v>暂时测不了</x:v>
      </x:c>
      <x:c r="H18" s="44" t="s">
        <x:v>92</x:v>
      </x:c>
      <x:c r="I18" s="45" t="str">
        <x:v>第十轮</x:v>
      </x:c>
      <x:c r="J18" s="44" t="str">
        <x:v>第十轮：尚未完成同一批次全部十步；浏览器阻塞已解除。当前场景：短信送达后停掉主辅目标位置，设备心跳保留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9" ht="180" customHeight="1">
      <x:c r="A19" s="98" t="s">
        <x:v>1098</x:v>
      </x:c>
      <x:c r="B19" s="98" t="s">
        <x:v>1099</x:v>
      </x:c>
      <x:c r="C19" s="98" t="s">
        <x:v>1023</x:v>
      </x:c>
      <x:c r="D19" s="99" t="s">
        <x:v>1100</x:v>
      </x:c>
      <x:c r="E19" s="99" t="s">
        <x:v>1101</x:v>
      </x:c>
      <x:c r="F19" s="44" t="s">
        <x:v>1063</x:v>
      </x:c>
      <x:c r="G19" s="44" t="str">
        <x:f>IF(COUNTIF('流程步骤记录'!G136:G145,"有问题")&gt;0,"有问题",IF(COUNTIF('流程步骤记录'!G136:G145,"暂时测不了")&gt;0,"暂时测不了",IF(COUNTBLANK('流程步骤记录'!G136:G145)&gt;0,"未填结果",IF(COUNTIF('流程步骤记录'!G136:G145,"通过")=10,IF(COUNTIFS('补充测试清单'!A6:A53,"R40",'补充测试清单'!M6:M53,"记录齐全")+COUNTIFS('补充测试清单'!A6:A53,"R41",'补充测试清单'!M6:M53,"记录齐全")+COUNTIFS('补充测试清单'!A6:A53,"R42",'补充测试清单'!M6:M53,"记录齐全")&lt;3,"子场景未完成",IF(COUNTBLANK('流程步骤记录'!H136:L145)&gt;0,"待补证据","通过")),IF(COUNTIF('流程步骤记录'!G136:G145,"还没测")=10,"还没测","进行中")))))</x:f>
        <x:v>暂时测不了</x:v>
      </x:c>
      <x:c r="H19" s="44" t="s">
        <x:v>92</x:v>
      </x:c>
      <x:c r="I19" s="45" t="str">
        <x:v>第十轮</x:v>
      </x:c>
      <x:c r="J19" s="44" t="str">
        <x:v>第十轮：尚未完成同一批次全部十步；浏览器阻塞已解除。当前场景：F14必须分别完成R40、R41、R42，三个子批次均留证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0" ht="180" customHeight="1">
      <x:c r="A20" s="100" t="s">
        <x:v>1102</x:v>
      </x:c>
      <x:c r="B20" s="100" t="s">
        <x:v>1103</x:v>
      </x:c>
      <x:c r="C20" s="100" t="s">
        <x:v>1104</x:v>
      </x:c>
      <x:c r="D20" s="101" t="s">
        <x:v>1105</x:v>
      </x:c>
      <x:c r="E20" s="101" t="s">
        <x:v>1106</x:v>
      </x:c>
      <x:c r="F20" s="44" t="s">
        <x:v>1063</x:v>
      </x:c>
      <x:c r="G20" s="44" t="str">
        <x:f>IF(COUNTIF('流程步骤记录'!G146:G155,"有问题")&gt;0,"有问题",IF(COUNTIF('流程步骤记录'!G146:G155,"暂时测不了")&gt;0,"暂时测不了",IF(COUNTBLANK('流程步骤记录'!G146:G155)&gt;0,"未填结果",IF(COUNTIF('流程步骤记录'!G146:G155,"通过")=10,IF(COUNTIFS('补充测试清单'!A6:A53,"R43",'补充测试清单'!M6:M53,"记录齐全")+COUNTIFS('补充测试清单'!A6:A53,"R44",'补充测试清单'!M6:M53,"记录齐全")+COUNTIFS('补充测试清单'!A6:A53,"R45",'补充测试清单'!M6:M53,"记录齐全")&lt;3,"子场景未完成",IF(COUNTBLANK('流程步骤记录'!H146:L155)&gt;0,"待补证据","通过")),IF(COUNTIF('流程步骤记录'!G146:G155,"还没测")=10,"还没测","进行中")))))</x:f>
        <x:v>暂时测不了</x:v>
      </x:c>
      <x:c r="H20" s="44" t="s">
        <x:v>92</x:v>
      </x:c>
      <x:c r="I20" s="45" t="str">
        <x:v>第十轮</x:v>
      </x:c>
      <x:c r="J20" s="44" t="str">
        <x:v>第十轮：尚未完成同一批次全部十步；浏览器阻塞已解除。当前场景：F15分别完成R43、R44、R45，不能只测一个时机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1" ht="180" customHeight="1">
      <x:c r="A21" s="102" t="s">
        <x:v>1107</x:v>
      </x:c>
      <x:c r="B21" s="102" t="s">
        <x:v>1108</x:v>
      </x:c>
      <x:c r="C21" s="102" t="s">
        <x:v>1109</x:v>
      </x:c>
      <x:c r="D21" s="103" t="s">
        <x:v>1110</x:v>
      </x:c>
      <x:c r="E21" s="103" t="s">
        <x:v>1111</x:v>
      </x:c>
      <x:c r="F21" s="44" t="s">
        <x:v>1063</x:v>
      </x:c>
      <x:c r="G21" s="44" t="str">
        <x:f>IF(COUNTIF('流程步骤记录'!G156:G165,"有问题")&gt;0,"有问题",IF(COUNTIF('流程步骤记录'!G156:G165,"暂时测不了")&gt;0,"暂时测不了",IF(COUNTBLANK('流程步骤记录'!G156:G165)&gt;0,"未填结果",IF(COUNTIF('流程步骤记录'!G156:G165,"通过")=10,IF(COUNTBLANK('流程步骤记录'!H156:L165)&gt;0,"待补证据","通过"),IF(COUNTIF('流程步骤记录'!G156:G165,"还没测")=10,"还没测","进行中")))))</x:f>
        <x:v>暂时测不了</x:v>
      </x:c>
      <x:c r="H21" s="44" t="s">
        <x:v>92</x:v>
      </x:c>
      <x:c r="I21" s="45" t="str">
        <x:v>第十轮</x:v>
      </x:c>
      <x:c r="J21" s="44" t="str">
        <x:v>第十轮：尚未完成同一批次全部十步；浏览器阻塞已解除。当前场景：F16须分别记录核实、反制、通知三个切换子批次；全部完成后才汇总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2" ht="180" customHeight="1">
      <x:c r="A22" s="88" t="s">
        <x:v>1112</x:v>
      </x:c>
      <x:c r="B22" s="88" t="s">
        <x:v>1113</x:v>
      </x:c>
      <x:c r="C22" s="88" t="s">
        <x:v>1023</x:v>
      </x:c>
      <x:c r="D22" s="89" t="s">
        <x:v>1114</x:v>
      </x:c>
      <x:c r="E22" s="89" t="s">
        <x:v>1115</x:v>
      </x:c>
      <x:c r="F22" s="44" t="s">
        <x:v>1063</x:v>
      </x:c>
      <x:c r="G22" s="44" t="str">
        <x:f>IF(COUNTIF('流程步骤记录'!G166:G175,"有问题")&gt;0,"有问题",IF(COUNTIF('流程步骤记录'!G166:G175,"暂时测不了")&gt;0,"暂时测不了",IF(COUNTBLANK('流程步骤记录'!G166:G175)&gt;0,"未填结果",IF(COUNTIF('流程步骤记录'!G166:G175,"通过")=10,IF(COUNTBLANK('流程步骤记录'!H166:L175)&gt;0,"待补证据","通过"),IF(COUNTIF('流程步骤记录'!G166:G175,"还没测")=10,"还没测","进行中")))))</x:f>
        <x:v>暂时测不了</x:v>
      </x:c>
      <x:c r="H22" s="44" t="s">
        <x:v>92</x:v>
      </x:c>
      <x:c r="I22" s="45" t="str">
        <x:v>第十轮</x:v>
      </x:c>
      <x:c r="J22" s="44" t="str">
        <x:v>第十轮：尚未完成同一批次全部十步；浏览器阻塞已解除。当前场景：F17须分别记录核实、反制、通知三个并发子批次及动作数量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3" ht="180" customHeight="1">
      <x:c r="A23" s="90" t="s">
        <x:v>1116</x:v>
      </x:c>
      <x:c r="B23" s="90" t="s">
        <x:v>1117</x:v>
      </x:c>
      <x:c r="C23" s="90" t="s">
        <x:v>1023</x:v>
      </x:c>
      <x:c r="D23" s="91" t="s">
        <x:v>1118</x:v>
      </x:c>
      <x:c r="E23" s="91" t="s">
        <x:v>1119</x:v>
      </x:c>
      <x:c r="F23" s="44" t="s">
        <x:v>1063</x:v>
      </x:c>
      <x:c r="G23" s="44" t="str">
        <x:f>IF(COUNTIF('流程步骤记录'!G176:G185,"有问题")&gt;0,"有问题",IF(COUNTIF('流程步骤记录'!G176:G185,"暂时测不了")&gt;0,"暂时测不了",IF(COUNTBLANK('流程步骤记录'!G176:G185)&gt;0,"未填结果",IF(COUNTIF('流程步骤记录'!G176:G185,"通过")=10,IF(COUNTBLANK('流程步骤记录'!H176:L185)&gt;0,"待补证据","通过"),IF(COUNTIF('流程步骤记录'!G176:G185,"还没测")=10,"还没测","进行中")))))</x:f>
        <x:v>暂时测不了</x:v>
      </x:c>
      <x:c r="H23" s="44" t="s">
        <x:v>92</x:v>
      </x:c>
      <x:c r="I23" s="45" t="str">
        <x:v>第十轮</x:v>
      </x:c>
      <x:c r="J23" s="44" t="str">
        <x:v>第十轮：尚未完成同一批次全部十步；浏览器阻塞已解除。当前场景：F18须分别记录时间、范围、阈值、持续观测、数据不足五类条件及边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4" ht="180" customHeight="1">
      <x:c r="A24" s="92" t="s">
        <x:v>1120</x:v>
      </x:c>
      <x:c r="B24" s="92" t="s">
        <x:v>1121</x:v>
      </x:c>
      <x:c r="C24" s="92" t="s">
        <x:v>1023</x:v>
      </x:c>
      <x:c r="D24" s="93" t="s">
        <x:v>1122</x:v>
      </x:c>
      <x:c r="E24" s="93" t="s">
        <x:v>1123</x:v>
      </x:c>
      <x:c r="F24" s="44" t="s">
        <x:v>1063</x:v>
      </x:c>
      <x:c r="G24" s="44" t="str">
        <x:f>IF(COUNTIF('流程步骤记录'!G186:G195,"有问题")&gt;0,"有问题",IF(COUNTIF('流程步骤记录'!G186:G195,"暂时测不了")&gt;0,"暂时测不了",IF(COUNTBLANK('流程步骤记录'!G186:G195)&gt;0,"未填结果",IF(COUNTIF('流程步骤记录'!G186:G195,"通过")=10,IF(COUNTBLANK('流程步骤记录'!H186:L195)&gt;0,"待补证据","通过"),IF(COUNTIF('流程步骤记录'!G186:G195,"还没测")=10,"还没测","进行中")))))</x:f>
        <x:v>暂时测不了</x:v>
      </x:c>
      <x:c r="H24" s="44" t="s">
        <x:v>92</x:v>
      </x:c>
      <x:c r="I24" s="45" t="str">
        <x:v>第十轮</x:v>
      </x:c>
      <x:c r="J24" s="44" t="str">
        <x:v>第十轮：尚未完成同一批次全部十步；浏览器阻塞已解除。当前场景：分别模拟执行服务未启用/异常、页面断网、后台处理重启，然后恢复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5" ht="180" customHeight="1">
      <x:c r="A25" s="94" t="s">
        <x:v>1124</x:v>
      </x:c>
      <x:c r="B25" s="94" t="s">
        <x:v>1125</x:v>
      </x:c>
      <x:c r="C25" s="94" t="s">
        <x:v>1023</x:v>
      </x:c>
      <x:c r="D25" s="95" t="s">
        <x:v>1126</x:v>
      </x:c>
      <x:c r="E25" s="95" t="s">
        <x:v>1127</x:v>
      </x:c>
      <x:c r="F25" s="44" t="s">
        <x:v>1063</x:v>
      </x:c>
      <x:c r="G25" s="44" t="str">
        <x:f>IF(COUNTIF('流程步骤记录'!G196:G205,"有问题")&gt;0,"有问题",IF(COUNTIF('流程步骤记录'!G196:G205,"暂时测不了")&gt;0,"暂时测不了",IF(COUNTBLANK('流程步骤记录'!G196:G205)&gt;0,"未填结果",IF(COUNTIF('流程步骤记录'!G196:G205,"通过")=10,IF(COUNTBLANK('流程步骤记录'!H196:L205)&gt;0,"待补证据","通过"),IF(COUNTIF('流程步骤记录'!G196:G205,"还没测")=10,"还没测","进行中")))))</x:f>
        <x:v>暂时测不了</x:v>
      </x:c>
      <x:c r="H25" s="44" t="s">
        <x:v>92</x:v>
      </x:c>
      <x:c r="I25" s="45" t="str">
        <x:v>第十轮</x:v>
      </x:c>
      <x:c r="J25" s="44" t="str">
        <x:v>第十轮：尚未完成同一批次全部十步；浏览器阻塞已解除。当前场景：分别模拟设备忙、命令失败、结果未知；另运行一批执行中急停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6" ht="180" customHeight="1">
      <x:c r="A26" s="96" t="s">
        <x:v>1128</x:v>
      </x:c>
      <x:c r="B26" s="96" t="s">
        <x:v>1129</x:v>
      </x:c>
      <x:c r="C26" s="96" t="s">
        <x:v>1023</x:v>
      </x:c>
      <x:c r="D26" s="97" t="s">
        <x:v>1130</x:v>
      </x:c>
      <x:c r="E26" s="97" t="s">
        <x:v>1131</x:v>
      </x:c>
      <x:c r="F26" s="44" t="s">
        <x:v>1063</x:v>
      </x:c>
      <x:c r="G26" s="44" t="str">
        <x:f>IF(COUNTIF('流程步骤记录'!G206:G215,"有问题")&gt;0,"有问题",IF(COUNTIF('流程步骤记录'!G206:G215,"暂时测不了")&gt;0,"暂时测不了",IF(COUNTBLANK('流程步骤记录'!G206:G215)&gt;0,"未填结果",IF(COUNTIF('流程步骤记录'!G206:G215,"通过")=10,IF(COUNTBLANK('流程步骤记录'!H206:L215)&gt;0,"待补证据","通过"),IF(COUNTIF('流程步骤记录'!G206:G215,"还没测")=10,"还没测","进行中")))))</x:f>
        <x:v>暂时测不了</x:v>
      </x:c>
      <x:c r="H26" s="44" t="s">
        <x:v>92</x:v>
      </x:c>
      <x:c r="I26" s="45" t="str">
        <x:v>第十轮</x:v>
      </x:c>
      <x:c r="J26" s="44" t="str">
        <x:v>第十轮：尚未完成同一批次全部十步；浏览器阻塞已解除。当前场景：在排队及续链前，让授权/规则时段到期、观测过期，或取消可执行资格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7" ht="180" customHeight="1">
      <x:c r="A27" s="98" t="s">
        <x:v>1132</x:v>
      </x:c>
      <x:c r="B27" s="98" t="s">
        <x:v>1133</x:v>
      </x:c>
      <x:c r="C27" s="98" t="s">
        <x:v>1023</x:v>
      </x:c>
      <x:c r="D27" s="99" t="s">
        <x:v>1134</x:v>
      </x:c>
      <x:c r="E27" s="99" t="s">
        <x:v>1135</x:v>
      </x:c>
      <x:c r="F27" s="44" t="s">
        <x:v>1063</x:v>
      </x:c>
      <x:c r="G27" s="44" t="str">
        <x:f>IF(COUNTIF('流程步骤记录'!G216:G225,"有问题")&gt;0,"有问题",IF(COUNTIF('流程步骤记录'!G216:G225,"暂时测不了")&gt;0,"暂时测不了",IF(COUNTBLANK('流程步骤记录'!G216:G225)&gt;0,"未填结果",IF(COUNTIF('流程步骤记录'!G216:G225,"通过")=10,IF(COUNTBLANK('流程步骤记录'!H216:L225)&gt;0,"待补证据","通过"),IF(COUNTIF('流程步骤记录'!G216:G225,"还没测")=10,"还没测","进行中")))))</x:f>
        <x:v>暂时测不了</x:v>
      </x:c>
      <x:c r="H27" s="44" t="s">
        <x:v>92</x:v>
      </x:c>
      <x:c r="I27" s="45" t="str">
        <x:v>第十轮</x:v>
      </x:c>
      <x:c r="J27" s="44" t="str">
        <x:v>第十轮：尚未完成同一批次全部十步；浏览器阻塞已解除。当前场景：系统自动条件暂未满足时，用只读和范围受限账号分别操作；再换有权账号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8" ht="180" customHeight="1">
      <x:c r="A28" s="100" t="s">
        <x:v>1136</x:v>
      </x:c>
      <x:c r="B28" s="100" t="s">
        <x:v>1137</x:v>
      </x:c>
      <x:c r="C28" s="100" t="s">
        <x:v>999</x:v>
      </x:c>
      <x:c r="D28" s="101" t="s">
        <x:v>1138</x:v>
      </x:c>
      <x:c r="E28" s="101" t="s">
        <x:v>1139</x:v>
      </x:c>
      <x:c r="F28" s="44" t="s">
        <x:v>1063</x:v>
      </x:c>
      <x:c r="G28" s="44" t="str">
        <x:f>IF(COUNTIF('流程步骤记录'!G226:G235,"有问题")&gt;0,"有问题",IF(COUNTIF('流程步骤记录'!G226:G235,"暂时测不了")&gt;0,"暂时测不了",IF(COUNTBLANK('流程步骤记录'!G226:G235)&gt;0,"未填结果",IF(COUNTIF('流程步骤记录'!G226:G235,"通过")=10,IF(COUNTBLANK('流程步骤记录'!H226:L235)&gt;0,"待补证据","通过"),IF(COUNTIF('流程步骤记录'!G226:G235,"还没测")=10,"还没测","进行中")))))</x:f>
        <x:v>暂时测不了</x:v>
      </x:c>
      <x:c r="H28" s="44" t="s">
        <x:v>92</x:v>
      </x:c>
      <x:c r="I28" s="45" t="str">
        <x:v>第十轮</x:v>
      </x:c>
      <x:c r="J28" s="44" t="str">
        <x:v>第十轮：尚未完成同一批次全部十步；浏览器阻塞已解除。当前场景：换显式直接授权账号人工发起；另用未授直接权限的管理员尝试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9" ht="180" customHeight="1">
      <x:c r="A29" s="102" t="s">
        <x:v>1140</x:v>
      </x:c>
      <x:c r="B29" s="102" t="s">
        <x:v>1141</x:v>
      </x:c>
      <x:c r="C29" s="102" t="s">
        <x:v>1023</x:v>
      </x:c>
      <x:c r="D29" s="103" t="s">
        <x:v>1142</x:v>
      </x:c>
      <x:c r="E29" s="103" t="s">
        <x:v>1143</x:v>
      </x:c>
      <x:c r="F29" s="44" t="s">
        <x:v>1063</x:v>
      </x:c>
      <x:c r="G29" s="44" t="str">
        <x:f>IF(COUNTIF('流程步骤记录'!G236:G245,"有问题")&gt;0,"有问题",IF(COUNTIF('流程步骤记录'!G236:G245,"暂时测不了")&gt;0,"暂时测不了",IF(COUNTBLANK('流程步骤记录'!G236:G245)&gt;0,"未填结果",IF(COUNTIF('流程步骤记录'!G236:G245,"通过")=10,IF(COUNTBLANK('流程步骤记录'!H236:L245)&gt;0,"待补证据","通过"),IF(COUNTIF('流程步骤记录'!G236:G245,"还没测")=10,"还没测","进行中")))))</x:f>
        <x:v>暂时测不了</x:v>
      </x:c>
      <x:c r="H29" s="44" t="s">
        <x:v>92</x:v>
      </x:c>
      <x:c r="I29" s="45" t="str">
        <x:v>第十轮</x:v>
      </x:c>
      <x:c r="J29" s="44" t="str">
        <x:v>第十轮：尚未完成同一批次全部十步；浏览器阻塞已解除。当前场景：设备执行完成后模拟移送发送失败、送达未知、签收超时，再补迟到/重复回复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30" ht="180" customHeight="1">
      <x:c r="A30" s="88" t="s">
        <x:v>1144</x:v>
      </x:c>
      <x:c r="B30" s="88" t="s">
        <x:v>1145</x:v>
      </x:c>
      <x:c r="C30" s="88" t="s">
        <x:v>1146</x:v>
      </x:c>
      <x:c r="D30" s="89" t="s">
        <x:v>1147</x:v>
      </x:c>
      <x:c r="E30" s="89" t="s">
        <x:v>1148</x:v>
      </x:c>
      <x:c r="F30" s="44" t="s">
        <x:v>1063</x:v>
      </x:c>
      <x:c r="G30" s="44" t="str">
        <x:f>IF(COUNTIF('流程步骤记录'!G246:G255,"有问题")&gt;0,"有问题",IF(COUNTIF('流程步骤记录'!G246:G255,"暂时测不了")&gt;0,"暂时测不了",IF(COUNTBLANK('流程步骤记录'!G246:G255)&gt;0,"未填结果",IF(COUNTIF('流程步骤记录'!G246:G255,"通过")=10,IF(COUNTBLANK('流程步骤记录'!H246:L255)&gt;0,"待补证据","通过"),IF(COUNTIF('流程步骤记录'!G246:G255,"还没测")=10,"还没测","进行中")))))</x:f>
        <x:v>暂时测不了</x:v>
      </x:c>
      <x:c r="H30" s="44" t="s">
        <x:v>92</x:v>
      </x:c>
      <x:c r="I30" s="45" t="str">
        <x:v>第十轮</x:v>
      </x:c>
      <x:c r="J30" s="44" t="str">
        <x:v>第十轮：尚未完成同一批次全部十步；浏览器阻塞已解除。当前场景：录入计划和覆盖其时段的天气，产生有效风险后核验并通知上级；先保持风险，再提供解除依据。。局部修复与回归见本轮报告。历史前置记录（需按现状回读，不是本轮通过）：第八轮：未完成整项。已录入四种天气覆盖样本，但天气风险及上级有效回执链未准备齐全。
证据：第八轮报告；r8-current-preconditions.json；r8-frozen-final-summary.json</x:v>
      </x:c>
    </x:row>
    <x:row r="31" ht="180" customHeight="1">
      <x:c r="A31" s="90" t="s">
        <x:v>1149</x:v>
      </x:c>
      <x:c r="B31" s="90" t="s">
        <x:v>1150</x:v>
      </x:c>
      <x:c r="C31" s="90" t="s">
        <x:v>1151</x:v>
      </x:c>
      <x:c r="D31" s="91" t="s">
        <x:v>1152</x:v>
      </x:c>
      <x:c r="E31" s="91" t="s">
        <x:v>1153</x:v>
      </x:c>
      <x:c r="F31" s="44" t="s">
        <x:v>1063</x:v>
      </x:c>
      <x:c r="G31" s="44" t="str">
        <x:f>IF(COUNTIF('流程步骤记录'!G256:G265,"有问题")&gt;0,"有问题",IF(COUNTIF('流程步骤记录'!G256:G265,"暂时测不了")&gt;0,"暂时测不了",IF(COUNTBLANK('流程步骤记录'!G256:G265)&gt;0,"未填结果",IF(COUNTIF('流程步骤记录'!G256:G265,"通过")=10,IF(COUNTBLANK('流程步骤记录'!H256:L265)&gt;0,"待补证据","通过"),IF(COUNTIF('流程步骤记录'!G256:G265,"还没测")=10,"还没测","进行中")))))</x:f>
        <x:v>暂时测不了</x:v>
      </x:c>
      <x:c r="H31" s="44" t="s">
        <x:v>92</x:v>
      </x:c>
      <x:c r="I31" s="45" t="str">
        <x:v>第十轮</x:v>
      </x:c>
      <x:c r="J31" s="44" t="str">
        <x:v>第十轮：尚未完成同一批次全部十步；浏览器阻塞已解除。当前场景：计划到时未发现目标，测试设备异常检查及通知后台；后台处理后分别验证恢复成功和未恢复。。局部修复与回归见本轮报告。历史前置记录（需按现状回读，不是本轮通过）：第八轮：未完成整项。缺独立健康GOOD的恢复样本或所需TCP/光电协议测试回执；MQTT在线和UNKNOWN不能冒充健康恢复。
证据：第八轮报告；r8-current-preconditions.json；r8-frozen-final-summary.json</x:v>
      </x:c>
    </x:row>
    <x:row r="32" ht="180" customHeight="1">
      <x:c r="A32" s="23" t="s">
        <x:v>1154</x:v>
      </x:c>
      <x:c r="B32" s="23" t="s">
        <x:v>1155</x:v>
      </x:c>
      <x:c r="C32" s="23" t="s">
        <x:v>1156</x:v>
      </x:c>
      <x:c r="D32" s="23" t="s">
        <x:v>1157</x:v>
      </x:c>
      <x:c r="E32" s="23" t="s">
        <x:v>1158</x:v>
      </x:c>
      <x:c r="F32" s="20" t="s">
        <x:v>1063</x:v>
      </x:c>
      <x:c r="G32" s="20" t="str">
        <x:f>IF(COUNTIF('流程步骤记录'!G266:G275,"有问题")&gt;0,"有问题",IF(COUNTIF('流程步骤记录'!G266:G275,"暂时测不了")&gt;0,"暂时测不了",IF(COUNTBLANK('流程步骤记录'!G266:G275)&gt;0,"未填结果",IF(COUNTIF('流程步骤记录'!G266:G275,"通过")=10,IF(COUNTBLANK('流程步骤记录'!H266:L275)&gt;0,"待补证据","通过"),IF(COUNTIF('流程步骤记录'!G266:G275,"还没测")=10,"还没测","进行中")))))</x:f>
        <x:v>暂时测不了</x:v>
      </x:c>
      <x:c r="H32" s="20" t="s">
        <x:v>92</x:v>
      </x:c>
      <x:c r="I32" s="21" t="str">
        <x:v>第十轮</x:v>
      </x:c>
      <x:c r="J32" s="20" t="str">
        <x:v>第十轮：尚未完成同一批次全部十步；浏览器阻塞已解除。当前场景：用同一鸟群从发现走到通知、反馈和风险解除；不进入无人机合法性或反制链。。局部修复与回归见本轮报告。历史前置记录（需按现状回读，不是本轮通过）：第八轮部分验证，整项未完成：同一鸟类批次已完成发现、风险生成、核验和通知交接，未进无人机研判；配置未启用阻断实际投递，反馈/解除闭环未完成。
证据：r8-bird-evaluation.json；r8-risk-verification.json；r8-risk-final.json</x:v>
      </x:c>
    </x:row>
    <x:row r="33" ht="180" customHeight="1">
      <x:c r="A33" s="25" t="s">
        <x:v>1159</x:v>
      </x:c>
      <x:c r="B33" s="25" t="s">
        <x:v>1160</x:v>
      </x:c>
      <x:c r="C33" s="25" t="s">
        <x:v>1161</x:v>
      </x:c>
      <x:c r="D33" s="25" t="s">
        <x:v>1162</x:v>
      </x:c>
      <x:c r="E33" s="25" t="s">
        <x:v>1163</x:v>
      </x:c>
      <x:c r="F33" s="20" t="s">
        <x:v>1063</x:v>
      </x:c>
      <x:c r="G33" s="20" t="str">
        <x:f>IF(COUNTIF('流程步骤记录'!G276:G285,"有问题")&gt;0,"有问题",IF(COUNTIF('流程步骤记录'!G276:G285,"暂时测不了")&gt;0,"暂时测不了",IF(COUNTBLANK('流程步骤记录'!G276:G285)&gt;0,"未填结果",IF(COUNTIF('流程步骤记录'!G276:G285,"通过")=10,IF(COUNTBLANK('流程步骤记录'!H276:L285)&gt;0,"待补证据","通过"),IF(COUNTIF('流程步骤记录'!G276:G285,"还没测")=10,"还没测","进行中")))))</x:f>
        <x:v>暂时测不了</x:v>
      </x:c>
      <x:c r="H33" s="20" t="s">
        <x:v>92</x:v>
      </x:c>
      <x:c r="I33" s="21" t="str">
        <x:v>第十轮</x:v>
      </x:c>
      <x:c r="J33" s="20" t="str">
        <x:v>第十轮：尚未完成同一批次全部十步；浏览器阻塞已解除。当前场景：融合箱、5G-A、TDOA观察同一目标，制造掉线和补传后回看全链路。。局部修复与回归见本轮报告。历史前置记录（需按现状回读，不是本轮通过）：第八轮：未完成整项。已实测RADAR/TDOA双源及掉线样本，尚无融合箱/5G-A/TDOA三路完整同批来源及补传链。
证据：第八轮报告；r8-current-preconditions.json；r8-frozen-final-summary.json</x:v>
      </x:c>
    </x:row>
    <x:row r="34" ht="180" customHeight="1">
      <x:c r="A34" s="23" t="s">
        <x:v>1164</x:v>
      </x:c>
      <x:c r="B34" s="23" t="s">
        <x:v>1165</x:v>
      </x:c>
      <x:c r="C34" s="23" t="s">
        <x:v>999</x:v>
      </x:c>
      <x:c r="D34" s="23" t="s">
        <x:v>1166</x:v>
      </x:c>
      <x:c r="E34" s="23" t="s">
        <x:v>1167</x:v>
      </x:c>
      <x:c r="F34" s="20" t="s">
        <x:v>1063</x:v>
      </x:c>
      <x:c r="G34" s="20" t="str">
        <x:f>IF(COUNTIF('流程步骤记录'!G286:G295,"有问题")&gt;0,"有问题",IF(COUNTIF('流程步骤记录'!G286:G295,"暂时测不了")&gt;0,"暂时测不了",IF(COUNTBLANK('流程步骤记录'!G286:G295)&gt;0,"未填结果",IF(COUNTIF('流程步骤记录'!G286:G295,"通过")=10,IF(COUNTBLANK('流程步骤记录'!H286:L295)&gt;0,"待补证据","通过"),IF(COUNTIF('流程步骤记录'!G286:G295,"还没测")=10,"还没测","进行中")))))</x:f>
        <x:v>暂时测不了</x:v>
      </x:c>
      <x:c r="H34" s="20" t="s">
        <x:v>92</x:v>
      </x:c>
      <x:c r="I34" s="21" t="str">
        <x:v>第十轮</x:v>
      </x:c>
      <x:c r="J34" s="20" t="str">
        <x:v>第十轮：尚未完成同一批次全部十步；浏览器阻塞已解除。当前场景：雷达发现、任务式光电跟踪、人工授权、两段设备动作、证据关联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缺光电跟踪和视频回执。
证据：第八轮报告；r8-current-preconditions.json；r8-frozen-final-summary.json</x:v>
      </x:c>
    </x:row>
    <x:row r="35" ht="180" customHeight="1">
      <x:c r="A35" s="25" t="s">
        <x:v>1168</x:v>
      </x:c>
      <x:c r="B35" s="25" t="s">
        <x:v>1169</x:v>
      </x:c>
      <x:c r="C35" s="25" t="s">
        <x:v>1170</x:v>
      </x:c>
      <x:c r="D35" s="25" t="s">
        <x:v>1171</x:v>
      </x:c>
      <x:c r="E35" s="25" t="s">
        <x:v>1172</x:v>
      </x:c>
      <x:c r="F35" s="20" t="s">
        <x:v>1063</x:v>
      </x:c>
      <x:c r="G35" s="20" t="str">
        <x:f>IF(COUNTIF('流程步骤记录'!G296:G305,"有问题")&gt;0,"有问题",IF(COUNTIF('流程步骤记录'!G296:G305,"暂时测不了")&gt;0,"暂时测不了",IF(COUNTBLANK('流程步骤记录'!G296:G305)&gt;0,"未填结果",IF(COUNTIF('流程步骤记录'!G296:G305,"通过")=10,IF(COUNTBLANK('流程步骤记录'!H296:L305)&gt;0,"待补证据","通过"),IF(COUNTIF('流程步骤记录'!G296:G305,"还没测")=10,"还没测","进行中")))))</x:f>
        <x:v>暂时测不了</x:v>
      </x:c>
      <x:c r="H35" s="20" t="s">
        <x:v>92</x:v>
      </x:c>
      <x:c r="I35" s="21" t="str">
        <x:v>第十轮</x:v>
      </x:c>
      <x:c r="J35" s="20" t="str">
        <x:v>第十轮：尚未完成同一批次全部十步；浏览器阻塞已解除。当前场景：已核实事件没有反制记录，也不满足自动干扰完成分支；验证人工交接的实际入口和结果。。局部修复与回归见本轮报告。历史前置记录（需按现状回读，不是本轮通过）：第八轮部分验证，整项未完成：人工交接前提接口已到接收方校验，无反制不是拒绝原因；现无有效处罚接收方，创建返回409且未投递，不能把接口前置检查作为完整前台流程通过。
证据：r8-handoff-recipients.json；r8-api-evidence.jsonl</x:v>
      </x:c>
    </x:row>
    <x:row r="36" ht="180" customHeight="1">
      <x:c r="A36" s="5" t="s">
        <x:v>1173</x:v>
      </x:c>
      <x:c r="B36" s="5" t="s">
        <x:v>1174</x:v>
      </x:c>
      <x:c r="C36" s="5" t="s">
        <x:v>1175</x:v>
      </x:c>
      <x:c r="D36" s="5" t="s">
        <x:v>1176</x:v>
      </x:c>
      <x:c r="E36" s="5" t="s">
        <x:v>1177</x:v>
      </x:c>
      <x:c r="F36" s="20" t="s">
        <x:v>1063</x:v>
      </x:c>
      <x:c r="G36" s="20" t="str">
        <x:f>IF(COUNTIF('流程步骤记录'!G306:G315,"有问题")&gt;0,"有问题",IF(COUNTIF('流程步骤记录'!G306:G315,"暂时测不了")&gt;0,"暂时测不了",IF(COUNTBLANK('流程步骤记录'!G306:G315)&gt;0,"未填结果",IF(COUNTIF('流程步骤记录'!G306:G315,"通过")=10,IF(COUNTBLANK('流程步骤记录'!H306:L315)&gt;0,"待补证据","通过"),IF(COUNTIF('流程步骤记录'!G306:G315,"还没测")=10,"还没测","进行中")))))</x:f>
        <x:v>暂时测不了</x:v>
      </x:c>
      <x:c r="H36" s="20" t="s">
        <x:v>92</x:v>
      </x:c>
      <x:c r="I36" s="21" t="str">
        <x:v>第十轮</x:v>
      </x:c>
      <x:c r="J36" s="20" t="str">
        <x:v>第十轮：尚未完成同一批次全部十步；浏览器阻塞已解除。当前场景：登记测试雷达，完成调测并发送目标，核对前后台同源。。局部修复与回归见本轮报告。历史前置记录（需按现状回读，不是本轮通过）：第八轮：未完成整项。缺独立健康GOOD的恢复样本或所需TCP/光电协议测试回执；MQTT在线和UNKNOWN不能冒充健康恢复。
证据：第八轮报告；r8-current-preconditions.json；r8-frozen-final-summary.json</x:v>
      </x:c>
    </x:row>
    <x:row r="37" ht="180" customHeight="1">
      <x:c r="A37" s="23" t="s">
        <x:v>1178</x:v>
      </x:c>
      <x:c r="B37" s="23" t="s">
        <x:v>1179</x:v>
      </x:c>
      <x:c r="C37" s="23" t="s">
        <x:v>1180</x:v>
      </x:c>
      <x:c r="D37" s="23" t="s">
        <x:v>1181</x:v>
      </x:c>
      <x:c r="E37" s="23" t="s">
        <x:v>1182</x:v>
      </x:c>
      <x:c r="F37" s="20" t="s">
        <x:v>1063</x:v>
      </x:c>
      <x:c r="G37" s="20" t="str">
        <x:f>IF(COUNTIF('流程步骤记录'!G316:G325,"有问题")&gt;0,"有问题",IF(COUNTIF('流程步骤记录'!G316:G325,"暂时测不了")&gt;0,"暂时测不了",IF(COUNTBLANK('流程步骤记录'!G316:G325)&gt;0,"未填结果",IF(COUNTIF('流程步骤记录'!G316:G325,"通过")=10,IF(COUNTBLANK('流程步骤记录'!H316:L325)&gt;0,"待补证据","通过"),IF(COUNTIF('流程步骤记录'!G316:G325,"还没测")=10,"还没测","进行中")))))</x:f>
        <x:v>暂时测不了</x:v>
      </x:c>
      <x:c r="H37" s="20" t="s">
        <x:v>92</x:v>
      </x:c>
      <x:c r="I37" s="21" t="str">
        <x:v>第十轮</x:v>
      </x:c>
      <x:c r="J37" s="20" t="str">
        <x:v>第十轮：尚未完成同一批次全部十步；浏览器阻塞已解除。当前场景：有效工参上报、超时离线、事件去重、新心跳及恢复核验。。局部修复与回归见本轮报告。历史前置记录（需按现状回读，不是本轮通过）：第八轮：未完成整项。缺独立健康GOOD的恢复样本或所需TCP/光电协议测试回执；MQTT在线和UNKNOWN不能冒充健康恢复。
证据：第八轮报告；r8-current-preconditions.json；r8-frozen-final-summary.json</x:v>
      </x:c>
    </x:row>
    <x:row r="38" ht="180" customHeight="1">
      <x:c r="A38" s="25" t="s">
        <x:v>1183</x:v>
      </x:c>
      <x:c r="B38" s="25" t="s">
        <x:v>1184</x:v>
      </x:c>
      <x:c r="C38" s="25" t="s">
        <x:v>1185</x:v>
      </x:c>
      <x:c r="D38" s="25" t="s">
        <x:v>1186</x:v>
      </x:c>
      <x:c r="E38" s="25" t="s">
        <x:v>1187</x:v>
      </x:c>
      <x:c r="F38" s="20" t="s">
        <x:v>1063</x:v>
      </x:c>
      <x:c r="G38" s="20" t="str">
        <x:f>IF(COUNTIF('流程步骤记录'!G326:G335,"有问题")&gt;0,"有问题",IF(COUNTIF('流程步骤记录'!G326:G335,"暂时测不了")&gt;0,"暂时测不了",IF(COUNTBLANK('流程步骤记录'!G326:G335)&gt;0,"未填结果",IF(COUNTIF('流程步骤记录'!G326:G335,"通过")=10,IF(COUNTBLANK('流程步骤记录'!H326:L335)&gt;0,"待补证据","通过"),IF(COUNTIF('流程步骤记录'!G326:G335,"还没测")=10,"还没测","进行中")))))</x:f>
        <x:v>暂时测不了</x:v>
      </x:c>
      <x:c r="H38" s="20" t="s">
        <x:v>92</x:v>
      </x:c>
      <x:c r="I38" s="21" t="str">
        <x:v>第十轮</x:v>
      </x:c>
      <x:c r="J38" s="20" t="str">
        <x:v>第十轮：尚未完成同一批次全部十步；浏览器阻塞已解除。当前场景：前台发现设备异常，后台处理、核验、完成，再回前台确认。。局部修复与回归见本轮报告。历史前置记录（需按现状回读，不是本轮通过）：第八轮：未完成整项。缺独立健康GOOD的恢复样本或所需TCP/光电协议测试回执；MQTT在线和UNKNOWN不能冒充健康恢复。
证据：第八轮报告；r8-current-preconditions.json；r8-frozen-final-summary.json</x:v>
      </x:c>
    </x:row>
    <x:row r="39" ht="180" customHeight="1">
      <x:c r="A39" s="27" t="s">
        <x:v>1188</x:v>
      </x:c>
      <x:c r="B39" s="27" t="s">
        <x:v>1189</x:v>
      </x:c>
      <x:c r="C39" s="27" t="s">
        <x:v>1190</x:v>
      </x:c>
      <x:c r="D39" s="27" t="s">
        <x:v>1191</x:v>
      </x:c>
      <x:c r="E39" s="27" t="s">
        <x:v>1192</x:v>
      </x:c>
      <x:c r="F39" s="20" t="s">
        <x:v>1063</x:v>
      </x:c>
      <x:c r="G39" s="20" t="str">
        <x:f>IF(COUNTIF('流程步骤记录'!G336:G345,"有问题")&gt;0,"有问题",IF(COUNTIF('流程步骤记录'!G336:G345,"暂时测不了")&gt;0,"暂时测不了",IF(COUNTBLANK('流程步骤记录'!G336:G345)&gt;0,"未填结果",IF(COUNTIF('流程步骤记录'!G336:G345,"通过")=10,IF(COUNTBLANK('流程步骤记录'!H336:L345)&gt;0,"待补证据","通过"),IF(COUNTIF('流程步骤记录'!G336:G345,"还没测")=10,"还没测","进行中")))))</x:f>
        <x:v>暂时测不了</x:v>
      </x:c>
      <x:c r="H39" s="20" t="s">
        <x:v>92</x:v>
      </x:c>
      <x:c r="I39" s="21" t="str">
        <x:v>第十轮</x:v>
      </x:c>
      <x:c r="J39" s="20" t="str">
        <x:v>第十轮：尚未完成同一批次全部十步；浏览器阻塞已解除。当前场景：制造未知、旧状态或再次异常，走失败、恢复处理、再次核验。。局部修复与回归见本轮报告。历史前置记录（需按现状回读，不是本轮通过）：第八轮：未完成整项。缺独立健康GOOD的恢复样本或所需TCP/光电协议测试回执；MQTT在线和UNKNOWN不能冒充健康恢复。
证据：第八轮报告；r8-current-preconditions.json；r8-frozen-final-summary.json</x:v>
      </x:c>
    </x:row>
    <x:row r="40" ht="180" customHeight="1">
      <x:c r="A40" s="29" t="s">
        <x:v>1193</x:v>
      </x:c>
      <x:c r="B40" s="29" t="s">
        <x:v>1194</x:v>
      </x:c>
      <x:c r="C40" s="29" t="s">
        <x:v>1195</x:v>
      </x:c>
      <x:c r="D40" s="29" t="s">
        <x:v>1196</x:v>
      </x:c>
      <x:c r="E40" s="29" t="s">
        <x:v>1197</x:v>
      </x:c>
      <x:c r="F40" s="20" t="s">
        <x:v>1063</x:v>
      </x:c>
      <x:c r="G40" s="20" t="str">
        <x:f>IF(COUNTIF('流程步骤记录'!G346:G355,"有问题")&gt;0,"有问题",IF(COUNTIF('流程步骤记录'!G346:G355,"暂时测不了")&gt;0,"暂时测不了",IF(COUNTBLANK('流程步骤记录'!G346:G355)&gt;0,"未填结果",IF(COUNTIF('流程步骤记录'!G346:G355,"通过")=10,IF(COUNTBLANK('流程步骤记录'!H346:L355)&gt;0,"待补证据","通过"),IF(COUNTIF('流程步骤记录'!G346:G355,"还没测")=10,"还没测","进行中")))))</x:f>
        <x:v>暂时测不了</x:v>
      </x:c>
      <x:c r="H40" s="20" t="s">
        <x:v>92</x:v>
      </x:c>
      <x:c r="I40" s="21" t="str">
        <x:v>第十轮</x:v>
      </x:c>
      <x:c r="J40" s="20" t="str">
        <x:v>第十轮：尚未完成同一批次全部十步；浏览器阻塞已解除。当前场景：两个运维人员抢同一任务，提交响应丢失后回查，再撤权验证。。局部修复与回归见本轮报告。历史前置记录（需按现状回读，不是本轮通过）：第八轮部分验证，整项未完成：两账号抢同一QA维护任务：操作员200、管理员409，1条START，处理人唯一；只读维护写403且无变更。告警响应丢失后回查已另测通过，但不能代替同一维护任务的断网/撤权全流程。
证据：r8-maintenance-concurrency.json；r8-maintenance-readonly.json；r8-response-lost-history.json</x:v>
      </x:c>
    </x:row>
    <x:row r="41" ht="180" customHeight="1">
      <x:c r="A41" s="31" t="s">
        <x:v>1198</x:v>
      </x:c>
      <x:c r="B41" s="31" t="s">
        <x:v>1199</x:v>
      </x:c>
      <x:c r="C41" s="31" t="s">
        <x:v>1200</x:v>
      </x:c>
      <x:c r="D41" s="31" t="s">
        <x:v>1201</x:v>
      </x:c>
      <x:c r="E41" s="31" t="s">
        <x:v>1202</x:v>
      </x:c>
      <x:c r="F41" s="20" t="s">
        <x:v>1063</x:v>
      </x:c>
      <x:c r="G41" s="20" t="str">
        <x:f>IF(COUNTIF('流程步骤记录'!G356:G365,"有问题")&gt;0,"有问题",IF(COUNTIF('流程步骤记录'!G356:G365,"暂时测不了")&gt;0,"暂时测不了",IF(COUNTBLANK('流程步骤记录'!G356:G365)&gt;0,"未填结果",IF(COUNTIF('流程步骤记录'!G356:G365,"通过")=10,IF(COUNTBLANK('流程步骤记录'!H356:L365)&gt;0,"待补证据","通过"),IF(COUNTIF('流程步骤记录'!G356:G365,"还没测")=10,"还没测","进行中")))))</x:f>
        <x:v>暂时测不了</x:v>
      </x:c>
      <x:c r="H41" s="20" t="s">
        <x:v>92</x:v>
      </x:c>
      <x:c r="I41" s="21" t="str">
        <x:v>第十轮</x:v>
      </x:c>
      <x:c r="J41" s="20" t="str">
        <x:v>第十轮：尚未完成同一批次全部十步；浏览器阻塞已解除。当前场景：从忙碌删除拒绝，到停用空闲后逻辑删除，再查前后台与历史。。局部修复与回归见本轮报告。历史前置记录（需按现状回读，不是本轮通过）：第八轮：启用设备删除拒绝、空闲停用后删除和详情隐藏已执行；身份复用被数据库挡住但返回500而非业务说明。执行中设备分支仅隔离回归支持，不能算完整闭环通过。
证据：r8-device-lifecycle-api.json</x:v>
      </x:c>
    </x:row>
  </x:sheetData>
  <x:mergeCells>
    <x:mergeCell ref="A3:J3"/>
    <x:mergeCell ref="A4:J4"/>
  </x:mergeCells>
  <x:conditionalFormatting sqref="G6:G31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0" priority="3" operator="equal">
      <x:formula>"有问题"</x:formula>
    </x:cfRule>
    <x:cfRule type="cellIs" dxfId="4" priority="4" operator="equal">
      <x:formula>"暂时测不了"</x:formula>
    </x:cfRule>
    <x:cfRule type="cellIs" dxfId="7" priority="5" operator="equal">
      <x:formula>"进行中"</x:formula>
    </x:cfRule>
    <x:cfRule type="cellIs" dxfId="0" priority="6" operator="equal">
      <x:formula>"未填结果"</x:formula>
    </x:cfRule>
  </x:conditionalFormatting>
  <x:conditionalFormatting sqref="G6:G35">
    <x:cfRule type="cellIs" dxfId="3" priority="7" operator="equal">
      <x:formula>"通过"</x:formula>
    </x:cfRule>
    <x:cfRule type="cellIs" dxfId="0" priority="8" operator="equal">
      <x:formula>"有问题"</x:formula>
    </x:cfRule>
    <x:cfRule type="cellIs" dxfId="4" priority="9" operator="equal">
      <x:formula>"暂时测不了"</x:formula>
    </x:cfRule>
    <x:cfRule type="cellIs" dxfId="2" priority="10" operator="equal">
      <x:formula>"还没测"</x:formula>
    </x:cfRule>
    <x:cfRule type="cellIs" dxfId="4" priority="11" operator="equal">
      <x:formula>"待补证据"</x:formula>
    </x:cfRule>
    <x:cfRule type="cellIs" dxfId="7" priority="12" operator="equal">
      <x:formula>"进行中"</x:formula>
    </x:cfRule>
  </x:conditionalFormatting>
  <x:conditionalFormatting sqref="G36:G41">
    <x:cfRule type="cellIs" dxfId="2" priority="13" operator="equal">
      <x:formula>"还没测"</x:formula>
    </x:cfRule>
    <x:cfRule type="cellIs" dxfId="3" priority="14" operator="equal">
      <x:formula>"通过"</x:formula>
    </x:cfRule>
    <x:cfRule type="cellIs" dxfId="3" priority="15" operator="equal">
      <x:formula>"记录齐全"</x:formula>
    </x:cfRule>
    <x:cfRule type="cellIs" dxfId="0" priority="16" operator="equal">
      <x:formula>"有问题"</x:formula>
    </x:cfRule>
    <x:cfRule type="cellIs" dxfId="4" priority="17" operator="equal">
      <x:formula>"暂时测不了"</x:formula>
    </x:cfRule>
    <x:cfRule type="cellIs" dxfId="4" priority="18" operator="equal">
      <x:formula>"待补证据"</x:formula>
    </x:cfRule>
    <x:cfRule type="cellIs" dxfId="7" priority="19" operator="equal">
      <x:formula>"进行中"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086286f27540f2"/>
  </x:tableParts>
</x:worksheet>
</file>

<file path=xl/worksheets/sheet7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3" ySplit="5" topLeftCell="D6" activePane="bottomRight" state="frozen"/>
    </x:sheetView>
  </x:sheetViews>
  <x:sheetFormatPr defaultColWidth="9" defaultRowHeight="14"/>
  <x:cols>
    <x:col min="1" max="1" width="12" customWidth="1"/>
    <x:col min="2" max="2" width="13" customWidth="1"/>
    <x:col min="3" max="3" width="23" customWidth="1"/>
    <x:col min="4" max="4" width="30" customWidth="1"/>
    <x:col min="5" max="5" width="63" customWidth="1"/>
    <x:col min="6" max="6" width="70" customWidth="1"/>
    <x:col min="7" max="7" width="17" customWidth="1"/>
    <x:col min="8" max="8" width="45" customWidth="1"/>
    <x:col min="9" max="9" width="13" customWidth="1"/>
    <x:col min="10" max="10" width="17" customWidth="1"/>
    <x:col min="11" max="11" width="36" customWidth="1"/>
    <x:col min="12" max="12" width="22" customWidth="1"/>
  </x:cols>
  <x:sheetData>
    <x:row r="1" ht="16.5">
      <x:c r="A1" s="15"/>
    </x:row>
    <x:row r="2" ht="32" customHeight="1">
      <x:c r="A2" s="35" t="s">
        <x:v>1203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</x:row>
    <x:row r="3" ht="34" customHeight="1">
      <x:c r="A3" s="14" t="s">
        <x:v>1204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 ht="34" customHeight="1">
      <x:c r="A4" s="14" t="s">
        <x:v>1205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</x:row>
    <x:row r="5" ht="32" customHeight="1">
      <x:c r="A5" s="37" t="s">
        <x:v>1050</x:v>
      </x:c>
      <x:c r="B5" s="37" t="s">
        <x:v>1206</x:v>
      </x:c>
      <x:c r="C5" s="37" t="s">
        <x:v>1207</x:v>
      </x:c>
      <x:c r="D5" s="37" t="s">
        <x:v>1208</x:v>
      </x:c>
      <x:c r="E5" s="37" t="s">
        <x:v>1209</x:v>
      </x:c>
      <x:c r="F5" s="37" t="s">
        <x:v>1210</x:v>
      </x:c>
      <x:c r="G5" s="37" t="s">
        <x:v>1211</x:v>
      </x:c>
      <x:c r="H5" s="37" t="s">
        <x:v>1212</x:v>
      </x:c>
      <x:c r="I5" s="37" t="s">
        <x:v>84</x:v>
      </x:c>
      <x:c r="J5" s="37" t="s">
        <x:v>85</x:v>
      </x:c>
      <x:c r="K5" s="37" t="s">
        <x:v>1213</x:v>
      </x:c>
      <x:c r="L5" s="37" t="s">
        <x:v>1214</x:v>
      </x:c>
    </x:row>
    <x:row r="6" ht="160" customHeight="1">
      <x:c r="A6" s="38" t="s">
        <x:v>1059</x:v>
      </x:c>
      <x:c r="B6" s="38">
        <x:v>1</x:v>
      </x:c>
      <x:c r="C6" s="38" t="s">
        <x:v>1215</x:v>
      </x:c>
      <x:c r="D6" s="38" t="s">
        <x:v>1060</x:v>
      </x:c>
      <x:c r="E6" s="39" t="s">
        <x:v>1216</x:v>
      </x:c>
      <x:c r="F6" s="39" t="s">
        <x:v>1217</x:v>
      </x:c>
      <x:c r="G6" s="40" t="str">
        <x:v>暂时测不了</x:v>
      </x:c>
      <x:c r="H6" s="40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" s="40" t="s">
        <x:v>92</x:v>
      </x:c>
      <x:c r="J6" s="41">
        <x:v>46293</x:v>
      </x:c>
      <x:c r="K6" s="40" t="str">
        <x:v>第十轮报告；r10-data.json；既有轮次证据</x:v>
      </x:c>
      <x:c r="L6" s="40" t="s">
        <x:v>1218</x:v>
      </x:c>
    </x:row>
    <x:row r="7" ht="160" customHeight="1">
      <x:c r="A7" s="42" t="s">
        <x:v>1059</x:v>
      </x:c>
      <x:c r="B7" s="42">
        <x:v>2</x:v>
      </x:c>
      <x:c r="C7" s="42" t="s">
        <x:v>1219</x:v>
      </x:c>
      <x:c r="D7" s="42" t="s">
        <x:v>1060</x:v>
      </x:c>
      <x:c r="E7" s="43" t="s">
        <x:v>1220</x:v>
      </x:c>
      <x:c r="F7" s="43" t="s">
        <x:v>1221</x:v>
      </x:c>
      <x:c r="G7" s="44" t="str">
        <x:v>暂时测不了</x:v>
      </x:c>
      <x:c r="H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" s="44" t="s">
        <x:v>92</x:v>
      </x:c>
      <x:c r="J7" s="45">
        <x:v>46293</x:v>
      </x:c>
      <x:c r="K7" s="44" t="str">
        <x:v>第十轮报告；r10-data.json；既有轮次证据</x:v>
      </x:c>
      <x:c r="L7" s="44" t="s">
        <x:v>1218</x:v>
      </x:c>
    </x:row>
    <x:row r="8" ht="160" customHeight="1">
      <x:c r="A8" s="42" t="s">
        <x:v>1059</x:v>
      </x:c>
      <x:c r="B8" s="42">
        <x:v>3</x:v>
      </x:c>
      <x:c r="C8" s="42" t="s">
        <x:v>1222</x:v>
      </x:c>
      <x:c r="D8" s="42" t="s">
        <x:v>1060</x:v>
      </x:c>
      <x:c r="E8" s="43" t="s">
        <x:v>1223</x:v>
      </x:c>
      <x:c r="F8" s="43" t="s">
        <x:v>1224</x:v>
      </x:c>
      <x:c r="G8" s="44" t="str">
        <x:v>暂时测不了</x:v>
      </x:c>
      <x:c r="H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" s="44" t="s">
        <x:v>92</x:v>
      </x:c>
      <x:c r="J8" s="45">
        <x:v>46293</x:v>
      </x:c>
      <x:c r="K8" s="44" t="str">
        <x:v>第十轮报告；r10-data.json；既有轮次证据</x:v>
      </x:c>
      <x:c r="L8" s="44" t="s">
        <x:v>1218</x:v>
      </x:c>
    </x:row>
    <x:row r="9" ht="160" customHeight="1">
      <x:c r="A9" s="42" t="s">
        <x:v>1059</x:v>
      </x:c>
      <x:c r="B9" s="42">
        <x:v>4</x:v>
      </x:c>
      <x:c r="C9" s="42" t="s">
        <x:v>993</x:v>
      </x:c>
      <x:c r="D9" s="42" t="s">
        <x:v>1060</x:v>
      </x:c>
      <x:c r="E9" s="43" t="s">
        <x:v>1225</x:v>
      </x:c>
      <x:c r="F9" s="43" t="s">
        <x:v>1226</x:v>
      </x:c>
      <x:c r="G9" s="44" t="str">
        <x:v>暂时测不了</x:v>
      </x:c>
      <x:c r="H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" s="44" t="s">
        <x:v>92</x:v>
      </x:c>
      <x:c r="J9" s="45">
        <x:v>46293</x:v>
      </x:c>
      <x:c r="K9" s="44" t="str">
        <x:v>第十轮报告；r10-data.json；既有轮次证据</x:v>
      </x:c>
      <x:c r="L9" s="44" t="s">
        <x:v>1218</x:v>
      </x:c>
    </x:row>
    <x:row r="10" ht="160" customHeight="1">
      <x:c r="A10" s="42" t="s">
        <x:v>1059</x:v>
      </x:c>
      <x:c r="B10" s="42">
        <x:v>5</x:v>
      </x:c>
      <x:c r="C10" s="42" t="s">
        <x:v>1227</x:v>
      </x:c>
      <x:c r="D10" s="42" t="s">
        <x:v>1060</x:v>
      </x:c>
      <x:c r="E10" s="43" t="s">
        <x:v>1228</x:v>
      </x:c>
      <x:c r="F10" s="43" t="s">
        <x:v>1229</x:v>
      </x:c>
      <x:c r="G10" s="44" t="str">
        <x:v>暂时测不了</x:v>
      </x:c>
      <x:c r="H1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" s="44" t="s">
        <x:v>92</x:v>
      </x:c>
      <x:c r="J10" s="45">
        <x:v>46293</x:v>
      </x:c>
      <x:c r="K10" s="44" t="str">
        <x:v>第十轮报告；r10-data.json；既有轮次证据</x:v>
      </x:c>
      <x:c r="L10" s="44" t="s">
        <x:v>1218</x:v>
      </x:c>
    </x:row>
    <x:row r="11" ht="160" customHeight="1">
      <x:c r="A11" s="42" t="s">
        <x:v>1059</x:v>
      </x:c>
      <x:c r="B11" s="42">
        <x:v>6</x:v>
      </x:c>
      <x:c r="C11" s="42" t="s">
        <x:v>1230</x:v>
      </x:c>
      <x:c r="D11" s="42" t="s">
        <x:v>1060</x:v>
      </x:c>
      <x:c r="E11" s="43" t="s">
        <x:v>1231</x:v>
      </x:c>
      <x:c r="F11" s="43" t="s">
        <x:v>1232</x:v>
      </x:c>
      <x:c r="G11" s="44" t="str">
        <x:v>暂时测不了</x:v>
      </x:c>
      <x:c r="H11" s="44" t="str">
        <x:v>第十轮：本步尚未作为同一事件完整链路验收。当前步骤：等待人工接手，发起申请；换有权审批账号批准，再由执行账号操作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" s="44" t="s">
        <x:v>92</x:v>
      </x:c>
      <x:c r="J11" s="45">
        <x:v>46293</x:v>
      </x:c>
      <x:c r="K11" s="44" t="str">
        <x:v>第十轮报告；r10-data.json；既有轮次证据</x:v>
      </x:c>
      <x:c r="L11" s="44" t="s">
        <x:v>1218</x:v>
      </x:c>
    </x:row>
    <x:row r="12" ht="160" customHeight="1">
      <x:c r="A12" s="42" t="s">
        <x:v>1059</x:v>
      </x:c>
      <x:c r="B12" s="42">
        <x:v>7</x:v>
      </x:c>
      <x:c r="C12" s="42" t="s">
        <x:v>1233</x:v>
      </x:c>
      <x:c r="D12" s="42" t="s">
        <x:v>1060</x:v>
      </x:c>
      <x:c r="E12" s="43" t="s">
        <x:v>1234</x:v>
      </x:c>
      <x:c r="F12" s="43" t="s">
        <x:v>1235</x:v>
      </x:c>
      <x:c r="G12" s="44" t="str">
        <x:v>暂时测不了</x:v>
      </x:c>
      <x:c r="H1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" s="44" t="s">
        <x:v>92</x:v>
      </x:c>
      <x:c r="J12" s="45">
        <x:v>46293</x:v>
      </x:c>
      <x:c r="K12" s="44" t="str">
        <x:v>第十轮报告；r10-data.json；既有轮次证据</x:v>
      </x:c>
      <x:c r="L12" s="44" t="s">
        <x:v>1218</x:v>
      </x:c>
    </x:row>
    <x:row r="13" ht="160" customHeight="1">
      <x:c r="A13" s="42" t="s">
        <x:v>1059</x:v>
      </x:c>
      <x:c r="B13" s="42">
        <x:v>8</x:v>
      </x:c>
      <x:c r="C13" s="42" t="s">
        <x:v>1236</x:v>
      </x:c>
      <x:c r="D13" s="42" t="s">
        <x:v>1060</x:v>
      </x:c>
      <x:c r="E13" s="43" t="s">
        <x:v>1237</x:v>
      </x:c>
      <x:c r="F13" s="43" t="s">
        <x:v>1238</x:v>
      </x:c>
      <x:c r="G13" s="44" t="str">
        <x:v>暂时测不了</x:v>
      </x:c>
      <x:c r="H1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" s="44" t="s">
        <x:v>92</x:v>
      </x:c>
      <x:c r="J13" s="45">
        <x:v>46293</x:v>
      </x:c>
      <x:c r="K13" s="44" t="str">
        <x:v>第十轮报告；r10-data.json；既有轮次证据</x:v>
      </x:c>
      <x:c r="L13" s="44" t="s">
        <x:v>1218</x:v>
      </x:c>
    </x:row>
    <x:row r="14" ht="160" customHeight="1">
      <x:c r="A14" s="42" t="s">
        <x:v>1059</x:v>
      </x:c>
      <x:c r="B14" s="42">
        <x:v>9</x:v>
      </x:c>
      <x:c r="C14" s="42" t="s">
        <x:v>1239</x:v>
      </x:c>
      <x:c r="D14" s="42" t="s">
        <x:v>1060</x:v>
      </x:c>
      <x:c r="E14" s="43" t="s">
        <x:v>1240</x:v>
      </x:c>
      <x:c r="F14" s="43" t="s">
        <x:v>1241</x:v>
      </x:c>
      <x:c r="G14" s="44" t="str">
        <x:v>暂时测不了</x:v>
      </x:c>
      <x:c r="H1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" s="44" t="s">
        <x:v>92</x:v>
      </x:c>
      <x:c r="J14" s="45">
        <x:v>46293</x:v>
      </x:c>
      <x:c r="K14" s="44" t="str">
        <x:v>第十轮报告；r10-data.json；既有轮次证据</x:v>
      </x:c>
      <x:c r="L14" s="44" t="s">
        <x:v>1218</x:v>
      </x:c>
    </x:row>
    <x:row r="15" ht="160" customHeight="1">
      <x:c r="A15" s="42" t="s">
        <x:v>1059</x:v>
      </x:c>
      <x:c r="B15" s="42">
        <x:v>10</x:v>
      </x:c>
      <x:c r="C15" s="42" t="s">
        <x:v>1242</x:v>
      </x:c>
      <x:c r="D15" s="42" t="s">
        <x:v>1060</x:v>
      </x:c>
      <x:c r="E15" s="43" t="s">
        <x:v>1243</x:v>
      </x:c>
      <x:c r="F15" s="43" t="s">
        <x:v>1244</x:v>
      </x:c>
      <x:c r="G15" s="44" t="str">
        <x:v>暂时测不了</x:v>
      </x:c>
      <x:c r="H1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" s="44" t="s">
        <x:v>92</x:v>
      </x:c>
      <x:c r="J15" s="45">
        <x:v>46293</x:v>
      </x:c>
      <x:c r="K15" s="44" t="str">
        <x:v>第十轮报告；r10-data.json；既有轮次证据</x:v>
      </x:c>
      <x:c r="L15" s="44" t="s">
        <x:v>1218</x:v>
      </x:c>
    </x:row>
    <x:row r="16" ht="160" customHeight="1">
      <x:c r="A16" s="46" t="s">
        <x:v>1064</x:v>
      </x:c>
      <x:c r="B16" s="46">
        <x:v>1</x:v>
      </x:c>
      <x:c r="C16" s="46" t="s">
        <x:v>1215</x:v>
      </x:c>
      <x:c r="D16" s="46" t="s">
        <x:v>1065</x:v>
      </x:c>
      <x:c r="E16" s="47" t="s">
        <x:v>1216</x:v>
      </x:c>
      <x:c r="F16" s="47" t="s">
        <x:v>1217</x:v>
      </x:c>
      <x:c r="G16" s="48" t="str">
        <x:v>暂时测不了</x:v>
      </x:c>
      <x:c r="H16" s="48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" s="48" t="s">
        <x:v>92</x:v>
      </x:c>
      <x:c r="J16" s="49">
        <x:v>46293</x:v>
      </x:c>
      <x:c r="K16" s="48" t="str">
        <x:v>第十轮报告；r10-data.json；既有轮次证据</x:v>
      </x:c>
      <x:c r="L16" s="48" t="s">
        <x:v>1218</x:v>
      </x:c>
    </x:row>
    <x:row r="17" ht="160" customHeight="1">
      <x:c r="A17" s="50" t="s">
        <x:v>1064</x:v>
      </x:c>
      <x:c r="B17" s="50">
        <x:v>2</x:v>
      </x:c>
      <x:c r="C17" s="50" t="s">
        <x:v>1219</x:v>
      </x:c>
      <x:c r="D17" s="50" t="s">
        <x:v>1065</x:v>
      </x:c>
      <x:c r="E17" s="51" t="s">
        <x:v>1220</x:v>
      </x:c>
      <x:c r="F17" s="51" t="s">
        <x:v>1221</x:v>
      </x:c>
      <x:c r="G17" s="44" t="str">
        <x:v>暂时测不了</x:v>
      </x:c>
      <x:c r="H1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" s="44" t="s">
        <x:v>92</x:v>
      </x:c>
      <x:c r="J17" s="45">
        <x:v>46293</x:v>
      </x:c>
      <x:c r="K17" s="44" t="str">
        <x:v>第十轮报告；r10-data.json；既有轮次证据</x:v>
      </x:c>
      <x:c r="L17" s="44" t="s">
        <x:v>1218</x:v>
      </x:c>
    </x:row>
    <x:row r="18" ht="160" customHeight="1">
      <x:c r="A18" s="50" t="s">
        <x:v>1064</x:v>
      </x:c>
      <x:c r="B18" s="50">
        <x:v>3</x:v>
      </x:c>
      <x:c r="C18" s="50" t="s">
        <x:v>1222</x:v>
      </x:c>
      <x:c r="D18" s="50" t="s">
        <x:v>1065</x:v>
      </x:c>
      <x:c r="E18" s="51" t="s">
        <x:v>1223</x:v>
      </x:c>
      <x:c r="F18" s="51" t="s">
        <x:v>1224</x:v>
      </x:c>
      <x:c r="G18" s="44" t="str">
        <x:v>暂时测不了</x:v>
      </x:c>
      <x:c r="H1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" s="44" t="s">
        <x:v>92</x:v>
      </x:c>
      <x:c r="J18" s="45">
        <x:v>46293</x:v>
      </x:c>
      <x:c r="K18" s="44" t="str">
        <x:v>第十轮报告；r10-data.json；既有轮次证据</x:v>
      </x:c>
      <x:c r="L18" s="44" t="s">
        <x:v>1218</x:v>
      </x:c>
    </x:row>
    <x:row r="19" ht="160" customHeight="1">
      <x:c r="A19" s="50" t="s">
        <x:v>1064</x:v>
      </x:c>
      <x:c r="B19" s="50">
        <x:v>4</x:v>
      </x:c>
      <x:c r="C19" s="50" t="s">
        <x:v>993</x:v>
      </x:c>
      <x:c r="D19" s="50" t="s">
        <x:v>1065</x:v>
      </x:c>
      <x:c r="E19" s="51" t="s">
        <x:v>1225</x:v>
      </x:c>
      <x:c r="F19" s="51" t="s">
        <x:v>1226</x:v>
      </x:c>
      <x:c r="G19" s="44" t="str">
        <x:v>暂时测不了</x:v>
      </x:c>
      <x:c r="H1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" s="44" t="s">
        <x:v>92</x:v>
      </x:c>
      <x:c r="J19" s="45">
        <x:v>46293</x:v>
      </x:c>
      <x:c r="K19" s="44" t="str">
        <x:v>第十轮报告；r10-data.json；既有轮次证据</x:v>
      </x:c>
      <x:c r="L19" s="44" t="s">
        <x:v>1218</x:v>
      </x:c>
    </x:row>
    <x:row r="20" ht="160" customHeight="1">
      <x:c r="A20" s="50" t="s">
        <x:v>1064</x:v>
      </x:c>
      <x:c r="B20" s="50">
        <x:v>5</x:v>
      </x:c>
      <x:c r="C20" s="50" t="s">
        <x:v>1227</x:v>
      </x:c>
      <x:c r="D20" s="50" t="s">
        <x:v>1065</x:v>
      </x:c>
      <x:c r="E20" s="51" t="s">
        <x:v>1228</x:v>
      </x:c>
      <x:c r="F20" s="51" t="s">
        <x:v>1229</x:v>
      </x:c>
      <x:c r="G20" s="44" t="str">
        <x:v>暂时测不了</x:v>
      </x:c>
      <x:c r="H2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" s="44" t="s">
        <x:v>92</x:v>
      </x:c>
      <x:c r="J20" s="45">
        <x:v>46293</x:v>
      </x:c>
      <x:c r="K20" s="44" t="str">
        <x:v>第十轮报告；r10-data.json；既有轮次证据</x:v>
      </x:c>
      <x:c r="L20" s="44" t="s">
        <x:v>1218</x:v>
      </x:c>
    </x:row>
    <x:row r="21" ht="160" customHeight="1">
      <x:c r="A21" s="50" t="s">
        <x:v>1064</x:v>
      </x:c>
      <x:c r="B21" s="50">
        <x:v>6</x:v>
      </x:c>
      <x:c r="C21" s="50" t="s">
        <x:v>1230</x:v>
      </x:c>
      <x:c r="D21" s="50" t="s">
        <x:v>1065</x:v>
      </x:c>
      <x:c r="E21" s="51" t="s">
        <x:v>1231</x:v>
      </x:c>
      <x:c r="F21" s="51" t="s">
        <x:v>1232</x:v>
      </x:c>
      <x:c r="G21" s="44" t="str">
        <x:v>暂时测不了</x:v>
      </x:c>
      <x:c r="H21" s="44" t="str">
        <x:v>第十轮：本步尚未作为同一事件完整链路验收。当前步骤：等待人工接手，发起申请；换有权审批账号批准，再由执行账号操作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" s="44" t="s">
        <x:v>92</x:v>
      </x:c>
      <x:c r="J21" s="45">
        <x:v>46293</x:v>
      </x:c>
      <x:c r="K21" s="44" t="str">
        <x:v>第十轮报告；r10-data.json；既有轮次证据</x:v>
      </x:c>
      <x:c r="L21" s="44" t="s">
        <x:v>1218</x:v>
      </x:c>
    </x:row>
    <x:row r="22" ht="160" customHeight="1">
      <x:c r="A22" s="50" t="s">
        <x:v>1064</x:v>
      </x:c>
      <x:c r="B22" s="50">
        <x:v>7</x:v>
      </x:c>
      <x:c r="C22" s="50" t="s">
        <x:v>1233</x:v>
      </x:c>
      <x:c r="D22" s="50" t="s">
        <x:v>1065</x:v>
      </x:c>
      <x:c r="E22" s="51" t="s">
        <x:v>1234</x:v>
      </x:c>
      <x:c r="F22" s="51" t="s">
        <x:v>1235</x:v>
      </x:c>
      <x:c r="G22" s="44" t="str">
        <x:v>暂时测不了</x:v>
      </x:c>
      <x:c r="H2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" s="44" t="s">
        <x:v>92</x:v>
      </x:c>
      <x:c r="J22" s="45">
        <x:v>46293</x:v>
      </x:c>
      <x:c r="K22" s="44" t="str">
        <x:v>第十轮报告；r10-data.json；既有轮次证据</x:v>
      </x:c>
      <x:c r="L22" s="44" t="s">
        <x:v>1218</x:v>
      </x:c>
    </x:row>
    <x:row r="23" ht="160" customHeight="1">
      <x:c r="A23" s="50" t="s">
        <x:v>1064</x:v>
      </x:c>
      <x:c r="B23" s="50">
        <x:v>8</x:v>
      </x:c>
      <x:c r="C23" s="50" t="s">
        <x:v>1236</x:v>
      </x:c>
      <x:c r="D23" s="50" t="s">
        <x:v>1065</x:v>
      </x:c>
      <x:c r="E23" s="51" t="s">
        <x:v>1237</x:v>
      </x:c>
      <x:c r="F23" s="51" t="s">
        <x:v>1238</x:v>
      </x:c>
      <x:c r="G23" s="44" t="str">
        <x:v>暂时测不了</x:v>
      </x:c>
      <x:c r="H2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" s="44" t="s">
        <x:v>92</x:v>
      </x:c>
      <x:c r="J23" s="45">
        <x:v>46293</x:v>
      </x:c>
      <x:c r="K23" s="44" t="str">
        <x:v>第十轮报告；r10-data.json；既有轮次证据</x:v>
      </x:c>
      <x:c r="L23" s="44" t="s">
        <x:v>1218</x:v>
      </x:c>
    </x:row>
    <x:row r="24" ht="160" customHeight="1">
      <x:c r="A24" s="50" t="s">
        <x:v>1064</x:v>
      </x:c>
      <x:c r="B24" s="50">
        <x:v>9</x:v>
      </x:c>
      <x:c r="C24" s="50" t="s">
        <x:v>1239</x:v>
      </x:c>
      <x:c r="D24" s="50" t="s">
        <x:v>1065</x:v>
      </x:c>
      <x:c r="E24" s="51" t="s">
        <x:v>1240</x:v>
      </x:c>
      <x:c r="F24" s="51" t="s">
        <x:v>1241</x:v>
      </x:c>
      <x:c r="G24" s="44" t="str">
        <x:v>暂时测不了</x:v>
      </x:c>
      <x:c r="H2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" s="44" t="s">
        <x:v>92</x:v>
      </x:c>
      <x:c r="J24" s="45">
        <x:v>46293</x:v>
      </x:c>
      <x:c r="K24" s="44" t="str">
        <x:v>第十轮报告；r10-data.json；既有轮次证据</x:v>
      </x:c>
      <x:c r="L24" s="44" t="s">
        <x:v>1218</x:v>
      </x:c>
    </x:row>
    <x:row r="25" ht="160" customHeight="1">
      <x:c r="A25" s="50" t="s">
        <x:v>1064</x:v>
      </x:c>
      <x:c r="B25" s="50">
        <x:v>10</x:v>
      </x:c>
      <x:c r="C25" s="50" t="s">
        <x:v>1242</x:v>
      </x:c>
      <x:c r="D25" s="50" t="s">
        <x:v>1065</x:v>
      </x:c>
      <x:c r="E25" s="51" t="s">
        <x:v>1243</x:v>
      </x:c>
      <x:c r="F25" s="51" t="s">
        <x:v>1244</x:v>
      </x:c>
      <x:c r="G25" s="44" t="str">
        <x:v>暂时测不了</x:v>
      </x:c>
      <x:c r="H2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5" s="44" t="s">
        <x:v>92</x:v>
      </x:c>
      <x:c r="J25" s="45">
        <x:v>46293</x:v>
      </x:c>
      <x:c r="K25" s="44" t="str">
        <x:v>第十轮报告；r10-data.json；既有轮次证据</x:v>
      </x:c>
      <x:c r="L25" s="44" t="s">
        <x:v>1218</x:v>
      </x:c>
    </x:row>
    <x:row r="26" ht="160" customHeight="1">
      <x:c r="A26" s="52" t="s">
        <x:v>1066</x:v>
      </x:c>
      <x:c r="B26" s="52">
        <x:v>1</x:v>
      </x:c>
      <x:c r="C26" s="52" t="s">
        <x:v>1215</x:v>
      </x:c>
      <x:c r="D26" s="52" t="s">
        <x:v>1067</x:v>
      </x:c>
      <x:c r="E26" s="53" t="s">
        <x:v>1216</x:v>
      </x:c>
      <x:c r="F26" s="53" t="s">
        <x:v>1217</x:v>
      </x:c>
      <x:c r="G26" s="54" t="str">
        <x:v>暂时测不了</x:v>
      </x:c>
      <x:c r="H26" s="54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6" s="54" t="s">
        <x:v>92</x:v>
      </x:c>
      <x:c r="J26" s="55">
        <x:v>46293</x:v>
      </x:c>
      <x:c r="K26" s="54" t="str">
        <x:v>第十轮报告；r10-data.json；既有轮次证据</x:v>
      </x:c>
      <x:c r="L26" s="54" t="s">
        <x:v>1218</x:v>
      </x:c>
    </x:row>
    <x:row r="27" ht="160" customHeight="1">
      <x:c r="A27" s="56" t="s">
        <x:v>1066</x:v>
      </x:c>
      <x:c r="B27" s="56">
        <x:v>2</x:v>
      </x:c>
      <x:c r="C27" s="56" t="s">
        <x:v>1219</x:v>
      </x:c>
      <x:c r="D27" s="56" t="s">
        <x:v>1067</x:v>
      </x:c>
      <x:c r="E27" s="57" t="s">
        <x:v>1220</x:v>
      </x:c>
      <x:c r="F27" s="57" t="s">
        <x:v>1221</x:v>
      </x:c>
      <x:c r="G27" s="44" t="str">
        <x:v>暂时测不了</x:v>
      </x:c>
      <x:c r="H2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7" s="44" t="s">
        <x:v>92</x:v>
      </x:c>
      <x:c r="J27" s="45">
        <x:v>46293</x:v>
      </x:c>
      <x:c r="K27" s="44" t="str">
        <x:v>第十轮报告；r10-data.json；既有轮次证据</x:v>
      </x:c>
      <x:c r="L27" s="44" t="s">
        <x:v>1218</x:v>
      </x:c>
    </x:row>
    <x:row r="28" ht="160" customHeight="1">
      <x:c r="A28" s="56" t="s">
        <x:v>1066</x:v>
      </x:c>
      <x:c r="B28" s="56">
        <x:v>3</x:v>
      </x:c>
      <x:c r="C28" s="56" t="s">
        <x:v>1222</x:v>
      </x:c>
      <x:c r="D28" s="56" t="s">
        <x:v>1067</x:v>
      </x:c>
      <x:c r="E28" s="57" t="s">
        <x:v>1223</x:v>
      </x:c>
      <x:c r="F28" s="57" t="s">
        <x:v>1224</x:v>
      </x:c>
      <x:c r="G28" s="44" t="str">
        <x:v>暂时测不了</x:v>
      </x:c>
      <x:c r="H2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8" s="44" t="s">
        <x:v>92</x:v>
      </x:c>
      <x:c r="J28" s="45">
        <x:v>46293</x:v>
      </x:c>
      <x:c r="K28" s="44" t="str">
        <x:v>第十轮报告；r10-data.json；既有轮次证据</x:v>
      </x:c>
      <x:c r="L28" s="44" t="s">
        <x:v>1218</x:v>
      </x:c>
    </x:row>
    <x:row r="29" ht="160" customHeight="1">
      <x:c r="A29" s="56" t="s">
        <x:v>1066</x:v>
      </x:c>
      <x:c r="B29" s="56">
        <x:v>4</x:v>
      </x:c>
      <x:c r="C29" s="56" t="s">
        <x:v>993</x:v>
      </x:c>
      <x:c r="D29" s="56" t="s">
        <x:v>1067</x:v>
      </x:c>
      <x:c r="E29" s="57" t="s">
        <x:v>1225</x:v>
      </x:c>
      <x:c r="F29" s="57" t="s">
        <x:v>1226</x:v>
      </x:c>
      <x:c r="G29" s="44" t="str">
        <x:v>暂时测不了</x:v>
      </x:c>
      <x:c r="H2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9" s="44" t="s">
        <x:v>92</x:v>
      </x:c>
      <x:c r="J29" s="45">
        <x:v>46293</x:v>
      </x:c>
      <x:c r="K29" s="44" t="str">
        <x:v>第十轮报告；r10-data.json；既有轮次证据</x:v>
      </x:c>
      <x:c r="L29" s="44" t="s">
        <x:v>1218</x:v>
      </x:c>
    </x:row>
    <x:row r="30" ht="160" customHeight="1">
      <x:c r="A30" s="56" t="s">
        <x:v>1066</x:v>
      </x:c>
      <x:c r="B30" s="56">
        <x:v>5</x:v>
      </x:c>
      <x:c r="C30" s="56" t="s">
        <x:v>1227</x:v>
      </x:c>
      <x:c r="D30" s="56" t="s">
        <x:v>1067</x:v>
      </x:c>
      <x:c r="E30" s="57" t="s">
        <x:v>1228</x:v>
      </x:c>
      <x:c r="F30" s="57" t="s">
        <x:v>1229</x:v>
      </x:c>
      <x:c r="G30" s="44" t="str">
        <x:v>暂时测不了</x:v>
      </x:c>
      <x:c r="H3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0" s="44" t="s">
        <x:v>92</x:v>
      </x:c>
      <x:c r="J30" s="45">
        <x:v>46293</x:v>
      </x:c>
      <x:c r="K30" s="44" t="str">
        <x:v>第十轮报告；r10-data.json；既有轮次证据</x:v>
      </x:c>
      <x:c r="L30" s="44" t="s">
        <x:v>1218</x:v>
      </x:c>
    </x:row>
    <x:row r="31" ht="160" customHeight="1">
      <x:c r="A31" s="56" t="s">
        <x:v>1066</x:v>
      </x:c>
      <x:c r="B31" s="56">
        <x:v>6</x:v>
      </x:c>
      <x:c r="C31" s="56" t="s">
        <x:v>1230</x:v>
      </x:c>
      <x:c r="D31" s="56" t="s">
        <x:v>1067</x:v>
      </x:c>
      <x:c r="E31" s="57" t="s">
        <x:v>1245</x:v>
      </x:c>
      <x:c r="F31" s="57" t="s">
        <x:v>1246</x:v>
      </x:c>
      <x:c r="G31" s="44" t="str">
        <x:v>暂时测不了</x:v>
      </x:c>
      <x:c r="H3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1" s="44" t="s">
        <x:v>92</x:v>
      </x:c>
      <x:c r="J31" s="45">
        <x:v>46293</x:v>
      </x:c>
      <x:c r="K31" s="44" t="str">
        <x:v>第十轮报告；r10-data.json；既有轮次证据</x:v>
      </x:c>
      <x:c r="L31" s="44" t="s">
        <x:v>1218</x:v>
      </x:c>
    </x:row>
    <x:row r="32" ht="160" customHeight="1">
      <x:c r="A32" s="56" t="s">
        <x:v>1066</x:v>
      </x:c>
      <x:c r="B32" s="56">
        <x:v>7</x:v>
      </x:c>
      <x:c r="C32" s="56" t="s">
        <x:v>1233</x:v>
      </x:c>
      <x:c r="D32" s="56" t="s">
        <x:v>1067</x:v>
      </x:c>
      <x:c r="E32" s="57" t="s">
        <x:v>1234</x:v>
      </x:c>
      <x:c r="F32" s="57" t="s">
        <x:v>1235</x:v>
      </x:c>
      <x:c r="G32" s="44" t="str">
        <x:v>暂时测不了</x:v>
      </x:c>
      <x:c r="H3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2" s="44" t="s">
        <x:v>92</x:v>
      </x:c>
      <x:c r="J32" s="45">
        <x:v>46293</x:v>
      </x:c>
      <x:c r="K32" s="44" t="str">
        <x:v>第十轮报告；r10-data.json；既有轮次证据</x:v>
      </x:c>
      <x:c r="L32" s="44" t="s">
        <x:v>1218</x:v>
      </x:c>
    </x:row>
    <x:row r="33" ht="160" customHeight="1">
      <x:c r="A33" s="56" t="s">
        <x:v>1066</x:v>
      </x:c>
      <x:c r="B33" s="56">
        <x:v>8</x:v>
      </x:c>
      <x:c r="C33" s="56" t="s">
        <x:v>1236</x:v>
      </x:c>
      <x:c r="D33" s="56" t="s">
        <x:v>1067</x:v>
      </x:c>
      <x:c r="E33" s="57" t="s">
        <x:v>1237</x:v>
      </x:c>
      <x:c r="F33" s="57" t="s">
        <x:v>1238</x:v>
      </x:c>
      <x:c r="G33" s="44" t="str">
        <x:v>暂时测不了</x:v>
      </x:c>
      <x:c r="H3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3" s="44" t="s">
        <x:v>92</x:v>
      </x:c>
      <x:c r="J33" s="45">
        <x:v>46293</x:v>
      </x:c>
      <x:c r="K33" s="44" t="str">
        <x:v>第十轮报告；r10-data.json；既有轮次证据</x:v>
      </x:c>
      <x:c r="L33" s="44" t="s">
        <x:v>1218</x:v>
      </x:c>
    </x:row>
    <x:row r="34" ht="160" customHeight="1">
      <x:c r="A34" s="56" t="s">
        <x:v>1066</x:v>
      </x:c>
      <x:c r="B34" s="56">
        <x:v>9</x:v>
      </x:c>
      <x:c r="C34" s="56" t="s">
        <x:v>1239</x:v>
      </x:c>
      <x:c r="D34" s="56" t="s">
        <x:v>1067</x:v>
      </x:c>
      <x:c r="E34" s="57" t="s">
        <x:v>1240</x:v>
      </x:c>
      <x:c r="F34" s="57" t="s">
        <x:v>1241</x:v>
      </x:c>
      <x:c r="G34" s="44" t="str">
        <x:v>暂时测不了</x:v>
      </x:c>
      <x:c r="H3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4" s="44" t="s">
        <x:v>92</x:v>
      </x:c>
      <x:c r="J34" s="45">
        <x:v>46293</x:v>
      </x:c>
      <x:c r="K34" s="44" t="str">
        <x:v>第十轮报告；r10-data.json；既有轮次证据</x:v>
      </x:c>
      <x:c r="L34" s="44" t="s">
        <x:v>1218</x:v>
      </x:c>
    </x:row>
    <x:row r="35" ht="160" customHeight="1">
      <x:c r="A35" s="56" t="s">
        <x:v>1066</x:v>
      </x:c>
      <x:c r="B35" s="56">
        <x:v>10</x:v>
      </x:c>
      <x:c r="C35" s="56" t="s">
        <x:v>1242</x:v>
      </x:c>
      <x:c r="D35" s="56" t="s">
        <x:v>1067</x:v>
      </x:c>
      <x:c r="E35" s="57" t="s">
        <x:v>1243</x:v>
      </x:c>
      <x:c r="F35" s="57" t="s">
        <x:v>1244</x:v>
      </x:c>
      <x:c r="G35" s="44" t="str">
        <x:v>暂时测不了</x:v>
      </x:c>
      <x:c r="H3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5" s="44" t="s">
        <x:v>92</x:v>
      </x:c>
      <x:c r="J35" s="45">
        <x:v>46293</x:v>
      </x:c>
      <x:c r="K35" s="44" t="str">
        <x:v>第十轮报告；r10-data.json；既有轮次证据</x:v>
      </x:c>
      <x:c r="L35" s="44" t="s">
        <x:v>1218</x:v>
      </x:c>
    </x:row>
    <x:row r="36" ht="160" customHeight="1">
      <x:c r="A36" s="58" t="s">
        <x:v>1068</x:v>
      </x:c>
      <x:c r="B36" s="58">
        <x:v>1</x:v>
      </x:c>
      <x:c r="C36" s="58" t="s">
        <x:v>1215</x:v>
      </x:c>
      <x:c r="D36" s="58" t="s">
        <x:v>1069</x:v>
      </x:c>
      <x:c r="E36" s="59" t="s">
        <x:v>1216</x:v>
      </x:c>
      <x:c r="F36" s="59" t="s">
        <x:v>1217</x:v>
      </x:c>
      <x:c r="G36" s="60" t="str">
        <x:v>暂时测不了</x:v>
      </x:c>
      <x:c r="H36" s="60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6" s="60" t="s">
        <x:v>92</x:v>
      </x:c>
      <x:c r="J36" s="61">
        <x:v>46293</x:v>
      </x:c>
      <x:c r="K36" s="60" t="str">
        <x:v>第十轮报告；r10-data.json；既有轮次证据</x:v>
      </x:c>
      <x:c r="L36" s="60" t="s">
        <x:v>1218</x:v>
      </x:c>
    </x:row>
    <x:row r="37" ht="160" customHeight="1">
      <x:c r="A37" s="62" t="s">
        <x:v>1068</x:v>
      </x:c>
      <x:c r="B37" s="62">
        <x:v>2</x:v>
      </x:c>
      <x:c r="C37" s="62" t="s">
        <x:v>1219</x:v>
      </x:c>
      <x:c r="D37" s="62" t="s">
        <x:v>1069</x:v>
      </x:c>
      <x:c r="E37" s="63" t="s">
        <x:v>1220</x:v>
      </x:c>
      <x:c r="F37" s="63" t="s">
        <x:v>1221</x:v>
      </x:c>
      <x:c r="G37" s="44" t="str">
        <x:v>暂时测不了</x:v>
      </x:c>
      <x:c r="H3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7" s="44" t="s">
        <x:v>92</x:v>
      </x:c>
      <x:c r="J37" s="45">
        <x:v>46293</x:v>
      </x:c>
      <x:c r="K37" s="44" t="str">
        <x:v>第十轮报告；r10-data.json；既有轮次证据</x:v>
      </x:c>
      <x:c r="L37" s="44" t="s">
        <x:v>1218</x:v>
      </x:c>
    </x:row>
    <x:row r="38" ht="160" customHeight="1">
      <x:c r="A38" s="62" t="s">
        <x:v>1068</x:v>
      </x:c>
      <x:c r="B38" s="62">
        <x:v>3</x:v>
      </x:c>
      <x:c r="C38" s="62" t="s">
        <x:v>1222</x:v>
      </x:c>
      <x:c r="D38" s="62" t="s">
        <x:v>1069</x:v>
      </x:c>
      <x:c r="E38" s="63" t="s">
        <x:v>1223</x:v>
      </x:c>
      <x:c r="F38" s="63" t="s">
        <x:v>1224</x:v>
      </x:c>
      <x:c r="G38" s="44" t="str">
        <x:v>暂时测不了</x:v>
      </x:c>
      <x:c r="H3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8" s="44" t="s">
        <x:v>92</x:v>
      </x:c>
      <x:c r="J38" s="45">
        <x:v>46293</x:v>
      </x:c>
      <x:c r="K38" s="44" t="str">
        <x:v>第十轮报告；r10-data.json；既有轮次证据</x:v>
      </x:c>
      <x:c r="L38" s="44" t="s">
        <x:v>1218</x:v>
      </x:c>
    </x:row>
    <x:row r="39" ht="160" customHeight="1">
      <x:c r="A39" s="62" t="s">
        <x:v>1068</x:v>
      </x:c>
      <x:c r="B39" s="62">
        <x:v>4</x:v>
      </x:c>
      <x:c r="C39" s="62" t="s">
        <x:v>993</x:v>
      </x:c>
      <x:c r="D39" s="62" t="s">
        <x:v>1069</x:v>
      </x:c>
      <x:c r="E39" s="63" t="s">
        <x:v>1225</x:v>
      </x:c>
      <x:c r="F39" s="63" t="s">
        <x:v>1226</x:v>
      </x:c>
      <x:c r="G39" s="44" t="str">
        <x:v>暂时测不了</x:v>
      </x:c>
      <x:c r="H3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9" s="44" t="s">
        <x:v>92</x:v>
      </x:c>
      <x:c r="J39" s="45">
        <x:v>46293</x:v>
      </x:c>
      <x:c r="K39" s="44" t="str">
        <x:v>第十轮报告；r10-data.json；既有轮次证据</x:v>
      </x:c>
      <x:c r="L39" s="44" t="s">
        <x:v>1218</x:v>
      </x:c>
    </x:row>
    <x:row r="40" ht="160" customHeight="1">
      <x:c r="A40" s="62" t="s">
        <x:v>1068</x:v>
      </x:c>
      <x:c r="B40" s="62">
        <x:v>5</x:v>
      </x:c>
      <x:c r="C40" s="62" t="s">
        <x:v>1227</x:v>
      </x:c>
      <x:c r="D40" s="62" t="s">
        <x:v>1069</x:v>
      </x:c>
      <x:c r="E40" s="63" t="s">
        <x:v>1228</x:v>
      </x:c>
      <x:c r="F40" s="63" t="s">
        <x:v>1229</x:v>
      </x:c>
      <x:c r="G40" s="44" t="str">
        <x:v>暂时测不了</x:v>
      </x:c>
      <x:c r="H4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0" s="44" t="s">
        <x:v>92</x:v>
      </x:c>
      <x:c r="J40" s="45">
        <x:v>46293</x:v>
      </x:c>
      <x:c r="K40" s="44" t="str">
        <x:v>第十轮报告；r10-data.json；既有轮次证据</x:v>
      </x:c>
      <x:c r="L40" s="44" t="s">
        <x:v>1218</x:v>
      </x:c>
    </x:row>
    <x:row r="41" ht="160" customHeight="1">
      <x:c r="A41" s="62" t="s">
        <x:v>1068</x:v>
      </x:c>
      <x:c r="B41" s="62">
        <x:v>6</x:v>
      </x:c>
      <x:c r="C41" s="62" t="s">
        <x:v>1230</x:v>
      </x:c>
      <x:c r="D41" s="62" t="s">
        <x:v>1069</x:v>
      </x:c>
      <x:c r="E41" s="63" t="s">
        <x:v>1245</x:v>
      </x:c>
      <x:c r="F41" s="63" t="s">
        <x:v>1246</x:v>
      </x:c>
      <x:c r="G41" s="44" t="str">
        <x:v>暂时测不了</x:v>
      </x:c>
      <x:c r="H4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1" s="44" t="s">
        <x:v>92</x:v>
      </x:c>
      <x:c r="J41" s="45">
        <x:v>46293</x:v>
      </x:c>
      <x:c r="K41" s="44" t="str">
        <x:v>第十轮报告；r10-data.json；既有轮次证据</x:v>
      </x:c>
      <x:c r="L41" s="44" t="s">
        <x:v>1218</x:v>
      </x:c>
    </x:row>
    <x:row r="42" ht="160" customHeight="1">
      <x:c r="A42" s="62" t="s">
        <x:v>1068</x:v>
      </x:c>
      <x:c r="B42" s="62">
        <x:v>7</x:v>
      </x:c>
      <x:c r="C42" s="62" t="s">
        <x:v>1233</x:v>
      </x:c>
      <x:c r="D42" s="62" t="s">
        <x:v>1069</x:v>
      </x:c>
      <x:c r="E42" s="63" t="s">
        <x:v>1234</x:v>
      </x:c>
      <x:c r="F42" s="63" t="s">
        <x:v>1235</x:v>
      </x:c>
      <x:c r="G42" s="44" t="str">
        <x:v>暂时测不了</x:v>
      </x:c>
      <x:c r="H4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2" s="44" t="s">
        <x:v>92</x:v>
      </x:c>
      <x:c r="J42" s="45">
        <x:v>46293</x:v>
      </x:c>
      <x:c r="K42" s="44" t="str">
        <x:v>第十轮报告；r10-data.json；既有轮次证据</x:v>
      </x:c>
      <x:c r="L42" s="44" t="s">
        <x:v>1218</x:v>
      </x:c>
    </x:row>
    <x:row r="43" ht="160" customHeight="1">
      <x:c r="A43" s="62" t="s">
        <x:v>1068</x:v>
      </x:c>
      <x:c r="B43" s="62">
        <x:v>8</x:v>
      </x:c>
      <x:c r="C43" s="62" t="s">
        <x:v>1236</x:v>
      </x:c>
      <x:c r="D43" s="62" t="s">
        <x:v>1069</x:v>
      </x:c>
      <x:c r="E43" s="63" t="s">
        <x:v>1237</x:v>
      </x:c>
      <x:c r="F43" s="63" t="s">
        <x:v>1238</x:v>
      </x:c>
      <x:c r="G43" s="44" t="str">
        <x:v>暂时测不了</x:v>
      </x:c>
      <x:c r="H4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3" s="44" t="s">
        <x:v>92</x:v>
      </x:c>
      <x:c r="J43" s="45">
        <x:v>46293</x:v>
      </x:c>
      <x:c r="K43" s="44" t="str">
        <x:v>第十轮报告；r10-data.json；既有轮次证据</x:v>
      </x:c>
      <x:c r="L43" s="44" t="s">
        <x:v>1218</x:v>
      </x:c>
    </x:row>
    <x:row r="44" ht="160" customHeight="1">
      <x:c r="A44" s="62" t="s">
        <x:v>1068</x:v>
      </x:c>
      <x:c r="B44" s="62">
        <x:v>9</x:v>
      </x:c>
      <x:c r="C44" s="62" t="s">
        <x:v>1239</x:v>
      </x:c>
      <x:c r="D44" s="62" t="s">
        <x:v>1069</x:v>
      </x:c>
      <x:c r="E44" s="63" t="s">
        <x:v>1240</x:v>
      </x:c>
      <x:c r="F44" s="63" t="s">
        <x:v>1241</x:v>
      </x:c>
      <x:c r="G44" s="44" t="str">
        <x:v>暂时测不了</x:v>
      </x:c>
      <x:c r="H4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4" s="44" t="s">
        <x:v>92</x:v>
      </x:c>
      <x:c r="J44" s="45">
        <x:v>46293</x:v>
      </x:c>
      <x:c r="K44" s="44" t="str">
        <x:v>第十轮报告；r10-data.json；既有轮次证据</x:v>
      </x:c>
      <x:c r="L44" s="44" t="s">
        <x:v>1218</x:v>
      </x:c>
    </x:row>
    <x:row r="45" ht="160" customHeight="1">
      <x:c r="A45" s="62" t="s">
        <x:v>1068</x:v>
      </x:c>
      <x:c r="B45" s="62">
        <x:v>10</x:v>
      </x:c>
      <x:c r="C45" s="62" t="s">
        <x:v>1242</x:v>
      </x:c>
      <x:c r="D45" s="62" t="s">
        <x:v>1069</x:v>
      </x:c>
      <x:c r="E45" s="63" t="s">
        <x:v>1243</x:v>
      </x:c>
      <x:c r="F45" s="63" t="s">
        <x:v>1244</x:v>
      </x:c>
      <x:c r="G45" s="44" t="str">
        <x:v>暂时测不了</x:v>
      </x:c>
      <x:c r="H4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5" s="44" t="s">
        <x:v>92</x:v>
      </x:c>
      <x:c r="J45" s="45">
        <x:v>46293</x:v>
      </x:c>
      <x:c r="K45" s="44" t="str">
        <x:v>第十轮报告；r10-data.json；既有轮次证据</x:v>
      </x:c>
      <x:c r="L45" s="44" t="s">
        <x:v>1218</x:v>
      </x:c>
    </x:row>
    <x:row r="46" ht="160" customHeight="1">
      <x:c r="A46" s="64" t="s">
        <x:v>1070</x:v>
      </x:c>
      <x:c r="B46" s="64">
        <x:v>1</x:v>
      </x:c>
      <x:c r="C46" s="64" t="s">
        <x:v>1215</x:v>
      </x:c>
      <x:c r="D46" s="64" t="s">
        <x:v>1071</x:v>
      </x:c>
      <x:c r="E46" s="65" t="s">
        <x:v>1216</x:v>
      </x:c>
      <x:c r="F46" s="65" t="s">
        <x:v>1217</x:v>
      </x:c>
      <x:c r="G46" s="66" t="str">
        <x:v>暂时测不了</x:v>
      </x:c>
      <x:c r="H46" s="66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6" s="66" t="s">
        <x:v>92</x:v>
      </x:c>
      <x:c r="J46" s="67">
        <x:v>46293</x:v>
      </x:c>
      <x:c r="K46" s="66" t="str">
        <x:v>第十轮报告；r10-data.json；既有轮次证据</x:v>
      </x:c>
      <x:c r="L46" s="66" t="s">
        <x:v>1218</x:v>
      </x:c>
    </x:row>
    <x:row r="47" ht="160" customHeight="1">
      <x:c r="A47" s="68" t="s">
        <x:v>1070</x:v>
      </x:c>
      <x:c r="B47" s="68">
        <x:v>2</x:v>
      </x:c>
      <x:c r="C47" s="68" t="s">
        <x:v>1219</x:v>
      </x:c>
      <x:c r="D47" s="68" t="s">
        <x:v>1071</x:v>
      </x:c>
      <x:c r="E47" s="69" t="s">
        <x:v>1220</x:v>
      </x:c>
      <x:c r="F47" s="69" t="s">
        <x:v>1221</x:v>
      </x:c>
      <x:c r="G47" s="44" t="str">
        <x:v>暂时测不了</x:v>
      </x:c>
      <x:c r="H4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7" s="44" t="s">
        <x:v>92</x:v>
      </x:c>
      <x:c r="J47" s="45">
        <x:v>46293</x:v>
      </x:c>
      <x:c r="K47" s="44" t="str">
        <x:v>第十轮报告；r10-data.json；既有轮次证据</x:v>
      </x:c>
      <x:c r="L47" s="44" t="s">
        <x:v>1218</x:v>
      </x:c>
    </x:row>
    <x:row r="48" ht="160" customHeight="1">
      <x:c r="A48" s="68" t="s">
        <x:v>1070</x:v>
      </x:c>
      <x:c r="B48" s="68">
        <x:v>3</x:v>
      </x:c>
      <x:c r="C48" s="68" t="s">
        <x:v>1222</x:v>
      </x:c>
      <x:c r="D48" s="68" t="s">
        <x:v>1071</x:v>
      </x:c>
      <x:c r="E48" s="69" t="s">
        <x:v>1223</x:v>
      </x:c>
      <x:c r="F48" s="69" t="s">
        <x:v>1224</x:v>
      </x:c>
      <x:c r="G48" s="44" t="str">
        <x:v>暂时测不了</x:v>
      </x:c>
      <x:c r="H4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8" s="44" t="s">
        <x:v>92</x:v>
      </x:c>
      <x:c r="J48" s="45">
        <x:v>46293</x:v>
      </x:c>
      <x:c r="K48" s="44" t="str">
        <x:v>第十轮报告；r10-data.json；既有轮次证据</x:v>
      </x:c>
      <x:c r="L48" s="44" t="s">
        <x:v>1218</x:v>
      </x:c>
    </x:row>
    <x:row r="49" ht="160" customHeight="1">
      <x:c r="A49" s="68" t="s">
        <x:v>1070</x:v>
      </x:c>
      <x:c r="B49" s="68">
        <x:v>4</x:v>
      </x:c>
      <x:c r="C49" s="68" t="s">
        <x:v>993</x:v>
      </x:c>
      <x:c r="D49" s="68" t="s">
        <x:v>1071</x:v>
      </x:c>
      <x:c r="E49" s="69" t="s">
        <x:v>1247</x:v>
      </x:c>
      <x:c r="F49" s="69" t="s">
        <x:v>1248</x:v>
      </x:c>
      <x:c r="G49" s="44" t="str">
        <x:v>暂时测不了</x:v>
      </x:c>
      <x:c r="H4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9" s="44" t="s">
        <x:v>92</x:v>
      </x:c>
      <x:c r="J49" s="45">
        <x:v>46293</x:v>
      </x:c>
      <x:c r="K49" s="44" t="str">
        <x:v>第十轮报告；r10-data.json；既有轮次证据</x:v>
      </x:c>
      <x:c r="L49" s="44" t="s">
        <x:v>1218</x:v>
      </x:c>
    </x:row>
    <x:row r="50" ht="160" customHeight="1">
      <x:c r="A50" s="68" t="s">
        <x:v>1070</x:v>
      </x:c>
      <x:c r="B50" s="68">
        <x:v>5</x:v>
      </x:c>
      <x:c r="C50" s="68" t="s">
        <x:v>1227</x:v>
      </x:c>
      <x:c r="D50" s="68" t="s">
        <x:v>1071</x:v>
      </x:c>
      <x:c r="E50" s="69" t="s">
        <x:v>1228</x:v>
      </x:c>
      <x:c r="F50" s="69" t="s">
        <x:v>1229</x:v>
      </x:c>
      <x:c r="G50" s="44" t="str">
        <x:v>暂时测不了</x:v>
      </x:c>
      <x:c r="H5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0" s="44" t="s">
        <x:v>92</x:v>
      </x:c>
      <x:c r="J50" s="45">
        <x:v>46293</x:v>
      </x:c>
      <x:c r="K50" s="44" t="str">
        <x:v>第十轮报告；r10-data.json；既有轮次证据</x:v>
      </x:c>
      <x:c r="L50" s="44" t="s">
        <x:v>1218</x:v>
      </x:c>
    </x:row>
    <x:row r="51" ht="160" customHeight="1">
      <x:c r="A51" s="68" t="s">
        <x:v>1070</x:v>
      </x:c>
      <x:c r="B51" s="68">
        <x:v>6</x:v>
      </x:c>
      <x:c r="C51" s="68" t="s">
        <x:v>1230</x:v>
      </x:c>
      <x:c r="D51" s="68" t="s">
        <x:v>1071</x:v>
      </x:c>
      <x:c r="E51" s="69" t="s">
        <x:v>1231</x:v>
      </x:c>
      <x:c r="F51" s="69" t="s">
        <x:v>1232</x:v>
      </x:c>
      <x:c r="G51" s="44" t="str">
        <x:v>暂时测不了</x:v>
      </x:c>
      <x:c r="H51" s="44" t="str">
        <x:v>第十轮：本步尚未作为同一事件完整链路验收。当前步骤：等待人工接手，发起申请；换有权审批账号批准，再由执行账号操作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1" s="44" t="s">
        <x:v>92</x:v>
      </x:c>
      <x:c r="J51" s="45">
        <x:v>46293</x:v>
      </x:c>
      <x:c r="K51" s="44" t="str">
        <x:v>第十轮报告；r10-data.json；既有轮次证据</x:v>
      </x:c>
      <x:c r="L51" s="44" t="s">
        <x:v>1218</x:v>
      </x:c>
    </x:row>
    <x:row r="52" ht="160" customHeight="1">
      <x:c r="A52" s="68" t="s">
        <x:v>1070</x:v>
      </x:c>
      <x:c r="B52" s="68">
        <x:v>7</x:v>
      </x:c>
      <x:c r="C52" s="68" t="s">
        <x:v>1233</x:v>
      </x:c>
      <x:c r="D52" s="68" t="s">
        <x:v>1071</x:v>
      </x:c>
      <x:c r="E52" s="69" t="s">
        <x:v>1234</x:v>
      </x:c>
      <x:c r="F52" s="69" t="s">
        <x:v>1235</x:v>
      </x:c>
      <x:c r="G52" s="44" t="str">
        <x:v>暂时测不了</x:v>
      </x:c>
      <x:c r="H5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2" s="44" t="s">
        <x:v>92</x:v>
      </x:c>
      <x:c r="J52" s="45">
        <x:v>46293</x:v>
      </x:c>
      <x:c r="K52" s="44" t="str">
        <x:v>第十轮报告；r10-data.json；既有轮次证据</x:v>
      </x:c>
      <x:c r="L52" s="44" t="s">
        <x:v>1218</x:v>
      </x:c>
    </x:row>
    <x:row r="53" ht="160" customHeight="1">
      <x:c r="A53" s="68" t="s">
        <x:v>1070</x:v>
      </x:c>
      <x:c r="B53" s="68">
        <x:v>8</x:v>
      </x:c>
      <x:c r="C53" s="68" t="s">
        <x:v>1236</x:v>
      </x:c>
      <x:c r="D53" s="68" t="s">
        <x:v>1071</x:v>
      </x:c>
      <x:c r="E53" s="69" t="s">
        <x:v>1237</x:v>
      </x:c>
      <x:c r="F53" s="69" t="s">
        <x:v>1238</x:v>
      </x:c>
      <x:c r="G53" s="44" t="str">
        <x:v>暂时测不了</x:v>
      </x:c>
      <x:c r="H5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3" s="44" t="s">
        <x:v>92</x:v>
      </x:c>
      <x:c r="J53" s="45">
        <x:v>46293</x:v>
      </x:c>
      <x:c r="K53" s="44" t="str">
        <x:v>第十轮报告；r10-data.json；既有轮次证据</x:v>
      </x:c>
      <x:c r="L53" s="44" t="s">
        <x:v>1218</x:v>
      </x:c>
    </x:row>
    <x:row r="54" ht="160" customHeight="1">
      <x:c r="A54" s="68" t="s">
        <x:v>1070</x:v>
      </x:c>
      <x:c r="B54" s="68">
        <x:v>9</x:v>
      </x:c>
      <x:c r="C54" s="68" t="s">
        <x:v>1239</x:v>
      </x:c>
      <x:c r="D54" s="68" t="s">
        <x:v>1071</x:v>
      </x:c>
      <x:c r="E54" s="69" t="s">
        <x:v>1240</x:v>
      </x:c>
      <x:c r="F54" s="69" t="s">
        <x:v>1241</x:v>
      </x:c>
      <x:c r="G54" s="44" t="str">
        <x:v>暂时测不了</x:v>
      </x:c>
      <x:c r="H5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4" s="44" t="s">
        <x:v>92</x:v>
      </x:c>
      <x:c r="J54" s="45">
        <x:v>46293</x:v>
      </x:c>
      <x:c r="K54" s="44" t="str">
        <x:v>第十轮报告；r10-data.json；既有轮次证据</x:v>
      </x:c>
      <x:c r="L54" s="44" t="s">
        <x:v>1218</x:v>
      </x:c>
    </x:row>
    <x:row r="55" ht="160" customHeight="1">
      <x:c r="A55" s="68" t="s">
        <x:v>1070</x:v>
      </x:c>
      <x:c r="B55" s="68">
        <x:v>10</x:v>
      </x:c>
      <x:c r="C55" s="68" t="s">
        <x:v>1242</x:v>
      </x:c>
      <x:c r="D55" s="68" t="s">
        <x:v>1071</x:v>
      </x:c>
      <x:c r="E55" s="69" t="s">
        <x:v>1243</x:v>
      </x:c>
      <x:c r="F55" s="69" t="s">
        <x:v>1244</x:v>
      </x:c>
      <x:c r="G55" s="44" t="str">
        <x:v>暂时测不了</x:v>
      </x:c>
      <x:c r="H5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5" s="44" t="s">
        <x:v>92</x:v>
      </x:c>
      <x:c r="J55" s="45">
        <x:v>46293</x:v>
      </x:c>
      <x:c r="K55" s="44" t="str">
        <x:v>第十轮报告；r10-data.json；既有轮次证据</x:v>
      </x:c>
      <x:c r="L55" s="44" t="s">
        <x:v>1218</x:v>
      </x:c>
    </x:row>
    <x:row r="56" ht="160" customHeight="1">
      <x:c r="A56" s="70" t="s">
        <x:v>1072</x:v>
      </x:c>
      <x:c r="B56" s="70">
        <x:v>1</x:v>
      </x:c>
      <x:c r="C56" s="70" t="s">
        <x:v>1215</x:v>
      </x:c>
      <x:c r="D56" s="70" t="s">
        <x:v>1073</x:v>
      </x:c>
      <x:c r="E56" s="71" t="s">
        <x:v>1216</x:v>
      </x:c>
      <x:c r="F56" s="71" t="s">
        <x:v>1217</x:v>
      </x:c>
      <x:c r="G56" s="72" t="str">
        <x:v>暂时测不了</x:v>
      </x:c>
      <x:c r="H56" s="72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6" s="72" t="s">
        <x:v>92</x:v>
      </x:c>
      <x:c r="J56" s="73">
        <x:v>46293</x:v>
      </x:c>
      <x:c r="K56" s="72" t="str">
        <x:v>第十轮报告；r10-data.json；既有轮次证据</x:v>
      </x:c>
      <x:c r="L56" s="72" t="s">
        <x:v>1218</x:v>
      </x:c>
    </x:row>
    <x:row r="57" ht="160" customHeight="1">
      <x:c r="A57" s="74" t="s">
        <x:v>1072</x:v>
      </x:c>
      <x:c r="B57" s="74">
        <x:v>2</x:v>
      </x:c>
      <x:c r="C57" s="74" t="s">
        <x:v>1219</x:v>
      </x:c>
      <x:c r="D57" s="74" t="s">
        <x:v>1073</x:v>
      </x:c>
      <x:c r="E57" s="75" t="s">
        <x:v>1220</x:v>
      </x:c>
      <x:c r="F57" s="75" t="s">
        <x:v>1221</x:v>
      </x:c>
      <x:c r="G57" s="44" t="str">
        <x:v>暂时测不了</x:v>
      </x:c>
      <x:c r="H5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7" s="44" t="s">
        <x:v>92</x:v>
      </x:c>
      <x:c r="J57" s="45">
        <x:v>46293</x:v>
      </x:c>
      <x:c r="K57" s="44" t="str">
        <x:v>第十轮报告；r10-data.json；既有轮次证据</x:v>
      </x:c>
      <x:c r="L57" s="44" t="s">
        <x:v>1218</x:v>
      </x:c>
    </x:row>
    <x:row r="58" ht="160" customHeight="1">
      <x:c r="A58" s="74" t="s">
        <x:v>1072</x:v>
      </x:c>
      <x:c r="B58" s="74">
        <x:v>3</x:v>
      </x:c>
      <x:c r="C58" s="74" t="s">
        <x:v>1222</x:v>
      </x:c>
      <x:c r="D58" s="74" t="s">
        <x:v>1073</x:v>
      </x:c>
      <x:c r="E58" s="75" t="s">
        <x:v>1223</x:v>
      </x:c>
      <x:c r="F58" s="75" t="s">
        <x:v>1224</x:v>
      </x:c>
      <x:c r="G58" s="44" t="str">
        <x:v>暂时测不了</x:v>
      </x:c>
      <x:c r="H5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8" s="44" t="s">
        <x:v>92</x:v>
      </x:c>
      <x:c r="J58" s="45">
        <x:v>46293</x:v>
      </x:c>
      <x:c r="K58" s="44" t="str">
        <x:v>第十轮报告；r10-data.json；既有轮次证据</x:v>
      </x:c>
      <x:c r="L58" s="44" t="s">
        <x:v>1218</x:v>
      </x:c>
    </x:row>
    <x:row r="59" ht="160" customHeight="1">
      <x:c r="A59" s="74" t="s">
        <x:v>1072</x:v>
      </x:c>
      <x:c r="B59" s="74">
        <x:v>4</x:v>
      </x:c>
      <x:c r="C59" s="74" t="s">
        <x:v>993</x:v>
      </x:c>
      <x:c r="D59" s="74" t="s">
        <x:v>1073</x:v>
      </x:c>
      <x:c r="E59" s="75" t="s">
        <x:v>1247</x:v>
      </x:c>
      <x:c r="F59" s="75" t="s">
        <x:v>1248</x:v>
      </x:c>
      <x:c r="G59" s="44" t="str">
        <x:v>暂时测不了</x:v>
      </x:c>
      <x:c r="H5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9" s="44" t="s">
        <x:v>92</x:v>
      </x:c>
      <x:c r="J59" s="45">
        <x:v>46293</x:v>
      </x:c>
      <x:c r="K59" s="44" t="str">
        <x:v>第十轮报告；r10-data.json；既有轮次证据</x:v>
      </x:c>
      <x:c r="L59" s="44" t="s">
        <x:v>1218</x:v>
      </x:c>
    </x:row>
    <x:row r="60" ht="160" customHeight="1">
      <x:c r="A60" s="74" t="s">
        <x:v>1072</x:v>
      </x:c>
      <x:c r="B60" s="74">
        <x:v>5</x:v>
      </x:c>
      <x:c r="C60" s="74" t="s">
        <x:v>1227</x:v>
      </x:c>
      <x:c r="D60" s="74" t="s">
        <x:v>1073</x:v>
      </x:c>
      <x:c r="E60" s="75" t="s">
        <x:v>1228</x:v>
      </x:c>
      <x:c r="F60" s="75" t="s">
        <x:v>1229</x:v>
      </x:c>
      <x:c r="G60" s="44" t="str">
        <x:v>暂时测不了</x:v>
      </x:c>
      <x:c r="H6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0" s="44" t="s">
        <x:v>92</x:v>
      </x:c>
      <x:c r="J60" s="45">
        <x:v>46293</x:v>
      </x:c>
      <x:c r="K60" s="44" t="str">
        <x:v>第十轮报告；r10-data.json；既有轮次证据</x:v>
      </x:c>
      <x:c r="L60" s="44" t="s">
        <x:v>1218</x:v>
      </x:c>
    </x:row>
    <x:row r="61" ht="160" customHeight="1">
      <x:c r="A61" s="74" t="s">
        <x:v>1072</x:v>
      </x:c>
      <x:c r="B61" s="74">
        <x:v>6</x:v>
      </x:c>
      <x:c r="C61" s="74" t="s">
        <x:v>1230</x:v>
      </x:c>
      <x:c r="D61" s="74" t="s">
        <x:v>1073</x:v>
      </x:c>
      <x:c r="E61" s="75" t="s">
        <x:v>1231</x:v>
      </x:c>
      <x:c r="F61" s="75" t="s">
        <x:v>1232</x:v>
      </x:c>
      <x:c r="G61" s="44" t="str">
        <x:v>暂时测不了</x:v>
      </x:c>
      <x:c r="H61" s="44" t="str">
        <x:v>第十轮：本步尚未作为同一事件完整链路验收。当前步骤：等待人工接手，发起申请；换有权审批账号批准，再由执行账号操作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1" s="44" t="s">
        <x:v>92</x:v>
      </x:c>
      <x:c r="J61" s="45">
        <x:v>46293</x:v>
      </x:c>
      <x:c r="K61" s="44" t="str">
        <x:v>第十轮报告；r10-data.json；既有轮次证据</x:v>
      </x:c>
      <x:c r="L61" s="44" t="s">
        <x:v>1218</x:v>
      </x:c>
    </x:row>
    <x:row r="62" ht="160" customHeight="1">
      <x:c r="A62" s="74" t="s">
        <x:v>1072</x:v>
      </x:c>
      <x:c r="B62" s="74">
        <x:v>7</x:v>
      </x:c>
      <x:c r="C62" s="74" t="s">
        <x:v>1233</x:v>
      </x:c>
      <x:c r="D62" s="74" t="s">
        <x:v>1073</x:v>
      </x:c>
      <x:c r="E62" s="75" t="s">
        <x:v>1234</x:v>
      </x:c>
      <x:c r="F62" s="75" t="s">
        <x:v>1235</x:v>
      </x:c>
      <x:c r="G62" s="44" t="str">
        <x:v>暂时测不了</x:v>
      </x:c>
      <x:c r="H6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2" s="44" t="s">
        <x:v>92</x:v>
      </x:c>
      <x:c r="J62" s="45">
        <x:v>46293</x:v>
      </x:c>
      <x:c r="K62" s="44" t="str">
        <x:v>第十轮报告；r10-data.json；既有轮次证据</x:v>
      </x:c>
      <x:c r="L62" s="44" t="s">
        <x:v>1218</x:v>
      </x:c>
    </x:row>
    <x:row r="63" ht="160" customHeight="1">
      <x:c r="A63" s="74" t="s">
        <x:v>1072</x:v>
      </x:c>
      <x:c r="B63" s="74">
        <x:v>8</x:v>
      </x:c>
      <x:c r="C63" s="74" t="s">
        <x:v>1236</x:v>
      </x:c>
      <x:c r="D63" s="74" t="s">
        <x:v>1073</x:v>
      </x:c>
      <x:c r="E63" s="75" t="s">
        <x:v>1237</x:v>
      </x:c>
      <x:c r="F63" s="75" t="s">
        <x:v>1238</x:v>
      </x:c>
      <x:c r="G63" s="44" t="str">
        <x:v>暂时测不了</x:v>
      </x:c>
      <x:c r="H6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3" s="44" t="s">
        <x:v>92</x:v>
      </x:c>
      <x:c r="J63" s="45">
        <x:v>46293</x:v>
      </x:c>
      <x:c r="K63" s="44" t="str">
        <x:v>第十轮报告；r10-data.json；既有轮次证据</x:v>
      </x:c>
      <x:c r="L63" s="44" t="s">
        <x:v>1218</x:v>
      </x:c>
    </x:row>
    <x:row r="64" ht="160" customHeight="1">
      <x:c r="A64" s="74" t="s">
        <x:v>1072</x:v>
      </x:c>
      <x:c r="B64" s="74">
        <x:v>9</x:v>
      </x:c>
      <x:c r="C64" s="74" t="s">
        <x:v>1239</x:v>
      </x:c>
      <x:c r="D64" s="74" t="s">
        <x:v>1073</x:v>
      </x:c>
      <x:c r="E64" s="75" t="s">
        <x:v>1240</x:v>
      </x:c>
      <x:c r="F64" s="75" t="s">
        <x:v>1241</x:v>
      </x:c>
      <x:c r="G64" s="44" t="str">
        <x:v>暂时测不了</x:v>
      </x:c>
      <x:c r="H6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4" s="44" t="s">
        <x:v>92</x:v>
      </x:c>
      <x:c r="J64" s="45">
        <x:v>46293</x:v>
      </x:c>
      <x:c r="K64" s="44" t="str">
        <x:v>第十轮报告；r10-data.json；既有轮次证据</x:v>
      </x:c>
      <x:c r="L64" s="44" t="s">
        <x:v>1218</x:v>
      </x:c>
    </x:row>
    <x:row r="65" ht="160" customHeight="1">
      <x:c r="A65" s="74" t="s">
        <x:v>1072</x:v>
      </x:c>
      <x:c r="B65" s="74">
        <x:v>10</x:v>
      </x:c>
      <x:c r="C65" s="74" t="s">
        <x:v>1242</x:v>
      </x:c>
      <x:c r="D65" s="74" t="s">
        <x:v>1073</x:v>
      </x:c>
      <x:c r="E65" s="75" t="s">
        <x:v>1243</x:v>
      </x:c>
      <x:c r="F65" s="75" t="s">
        <x:v>1244</x:v>
      </x:c>
      <x:c r="G65" s="44" t="str">
        <x:v>暂时测不了</x:v>
      </x:c>
      <x:c r="H6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5" s="44" t="s">
        <x:v>92</x:v>
      </x:c>
      <x:c r="J65" s="45">
        <x:v>46293</x:v>
      </x:c>
      <x:c r="K65" s="44" t="str">
        <x:v>第十轮报告；r10-data.json；既有轮次证据</x:v>
      </x:c>
      <x:c r="L65" s="44" t="s">
        <x:v>1218</x:v>
      </x:c>
    </x:row>
    <x:row r="66" ht="160" customHeight="1">
      <x:c r="A66" s="76" t="s">
        <x:v>1074</x:v>
      </x:c>
      <x:c r="B66" s="76">
        <x:v>1</x:v>
      </x:c>
      <x:c r="C66" s="76" t="s">
        <x:v>1215</x:v>
      </x:c>
      <x:c r="D66" s="76" t="s">
        <x:v>1075</x:v>
      </x:c>
      <x:c r="E66" s="77" t="s">
        <x:v>1216</x:v>
      </x:c>
      <x:c r="F66" s="77" t="s">
        <x:v>1217</x:v>
      </x:c>
      <x:c r="G66" s="78" t="str">
        <x:v>暂时测不了</x:v>
      </x:c>
      <x:c r="H66" s="78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6" s="78" t="s">
        <x:v>92</x:v>
      </x:c>
      <x:c r="J66" s="79">
        <x:v>46293</x:v>
      </x:c>
      <x:c r="K66" s="78" t="str">
        <x:v>第十轮报告；r10-data.json；既有轮次证据</x:v>
      </x:c>
      <x:c r="L66" s="78" t="s">
        <x:v>1218</x:v>
      </x:c>
    </x:row>
    <x:row r="67" ht="160" customHeight="1">
      <x:c r="A67" s="80" t="s">
        <x:v>1074</x:v>
      </x:c>
      <x:c r="B67" s="80">
        <x:v>2</x:v>
      </x:c>
      <x:c r="C67" s="80" t="s">
        <x:v>1219</x:v>
      </x:c>
      <x:c r="D67" s="80" t="s">
        <x:v>1075</x:v>
      </x:c>
      <x:c r="E67" s="81" t="s">
        <x:v>1220</x:v>
      </x:c>
      <x:c r="F67" s="81" t="s">
        <x:v>1221</x:v>
      </x:c>
      <x:c r="G67" s="44" t="str">
        <x:v>暂时测不了</x:v>
      </x:c>
      <x:c r="H6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7" s="44" t="s">
        <x:v>92</x:v>
      </x:c>
      <x:c r="J67" s="45">
        <x:v>46293</x:v>
      </x:c>
      <x:c r="K67" s="44" t="str">
        <x:v>第十轮报告；r10-data.json；既有轮次证据</x:v>
      </x:c>
      <x:c r="L67" s="44" t="s">
        <x:v>1218</x:v>
      </x:c>
    </x:row>
    <x:row r="68" ht="160" customHeight="1">
      <x:c r="A68" s="80" t="s">
        <x:v>1074</x:v>
      </x:c>
      <x:c r="B68" s="80">
        <x:v>3</x:v>
      </x:c>
      <x:c r="C68" s="80" t="s">
        <x:v>1222</x:v>
      </x:c>
      <x:c r="D68" s="80" t="s">
        <x:v>1075</x:v>
      </x:c>
      <x:c r="E68" s="81" t="s">
        <x:v>1223</x:v>
      </x:c>
      <x:c r="F68" s="81" t="s">
        <x:v>1224</x:v>
      </x:c>
      <x:c r="G68" s="44" t="str">
        <x:v>暂时测不了</x:v>
      </x:c>
      <x:c r="H6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8" s="44" t="s">
        <x:v>92</x:v>
      </x:c>
      <x:c r="J68" s="45">
        <x:v>46293</x:v>
      </x:c>
      <x:c r="K68" s="44" t="str">
        <x:v>第十轮报告；r10-data.json；既有轮次证据</x:v>
      </x:c>
      <x:c r="L68" s="44" t="s">
        <x:v>1218</x:v>
      </x:c>
    </x:row>
    <x:row r="69" ht="160" customHeight="1">
      <x:c r="A69" s="80" t="s">
        <x:v>1074</x:v>
      </x:c>
      <x:c r="B69" s="80">
        <x:v>4</x:v>
      </x:c>
      <x:c r="C69" s="80" t="s">
        <x:v>993</x:v>
      </x:c>
      <x:c r="D69" s="80" t="s">
        <x:v>1075</x:v>
      </x:c>
      <x:c r="E69" s="81" t="s">
        <x:v>1247</x:v>
      </x:c>
      <x:c r="F69" s="81" t="s">
        <x:v>1248</x:v>
      </x:c>
      <x:c r="G69" s="44" t="str">
        <x:v>暂时测不了</x:v>
      </x:c>
      <x:c r="H6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9" s="44" t="s">
        <x:v>92</x:v>
      </x:c>
      <x:c r="J69" s="45">
        <x:v>46293</x:v>
      </x:c>
      <x:c r="K69" s="44" t="str">
        <x:v>第十轮报告；r10-data.json；既有轮次证据</x:v>
      </x:c>
      <x:c r="L69" s="44" t="s">
        <x:v>1218</x:v>
      </x:c>
    </x:row>
    <x:row r="70" ht="160" customHeight="1">
      <x:c r="A70" s="80" t="s">
        <x:v>1074</x:v>
      </x:c>
      <x:c r="B70" s="80">
        <x:v>5</x:v>
      </x:c>
      <x:c r="C70" s="80" t="s">
        <x:v>1227</x:v>
      </x:c>
      <x:c r="D70" s="80" t="s">
        <x:v>1075</x:v>
      </x:c>
      <x:c r="E70" s="81" t="s">
        <x:v>1228</x:v>
      </x:c>
      <x:c r="F70" s="81" t="s">
        <x:v>1229</x:v>
      </x:c>
      <x:c r="G70" s="44" t="str">
        <x:v>暂时测不了</x:v>
      </x:c>
      <x:c r="H7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0" s="44" t="s">
        <x:v>92</x:v>
      </x:c>
      <x:c r="J70" s="45">
        <x:v>46293</x:v>
      </x:c>
      <x:c r="K70" s="44" t="str">
        <x:v>第十轮报告；r10-data.json；既有轮次证据</x:v>
      </x:c>
      <x:c r="L70" s="44" t="s">
        <x:v>1218</x:v>
      </x:c>
    </x:row>
    <x:row r="71" ht="160" customHeight="1">
      <x:c r="A71" s="80" t="s">
        <x:v>1074</x:v>
      </x:c>
      <x:c r="B71" s="80">
        <x:v>6</x:v>
      </x:c>
      <x:c r="C71" s="80" t="s">
        <x:v>1230</x:v>
      </x:c>
      <x:c r="D71" s="80" t="s">
        <x:v>1075</x:v>
      </x:c>
      <x:c r="E71" s="81" t="s">
        <x:v>1245</x:v>
      </x:c>
      <x:c r="F71" s="81" t="s">
        <x:v>1246</x:v>
      </x:c>
      <x:c r="G71" s="44" t="str">
        <x:v>暂时测不了</x:v>
      </x:c>
      <x:c r="H7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1" s="44" t="s">
        <x:v>92</x:v>
      </x:c>
      <x:c r="J71" s="45">
        <x:v>46293</x:v>
      </x:c>
      <x:c r="K71" s="44" t="str">
        <x:v>第十轮报告；r10-data.json；既有轮次证据</x:v>
      </x:c>
      <x:c r="L71" s="44" t="s">
        <x:v>1218</x:v>
      </x:c>
    </x:row>
    <x:row r="72" ht="160" customHeight="1">
      <x:c r="A72" s="80" t="s">
        <x:v>1074</x:v>
      </x:c>
      <x:c r="B72" s="80">
        <x:v>7</x:v>
      </x:c>
      <x:c r="C72" s="80" t="s">
        <x:v>1233</x:v>
      </x:c>
      <x:c r="D72" s="80" t="s">
        <x:v>1075</x:v>
      </x:c>
      <x:c r="E72" s="81" t="s">
        <x:v>1234</x:v>
      </x:c>
      <x:c r="F72" s="81" t="s">
        <x:v>1235</x:v>
      </x:c>
      <x:c r="G72" s="44" t="str">
        <x:v>暂时测不了</x:v>
      </x:c>
      <x:c r="H7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2" s="44" t="s">
        <x:v>92</x:v>
      </x:c>
      <x:c r="J72" s="45">
        <x:v>46293</x:v>
      </x:c>
      <x:c r="K72" s="44" t="str">
        <x:v>第十轮报告；r10-data.json；既有轮次证据</x:v>
      </x:c>
      <x:c r="L72" s="44" t="s">
        <x:v>1218</x:v>
      </x:c>
    </x:row>
    <x:row r="73" ht="160" customHeight="1">
      <x:c r="A73" s="80" t="s">
        <x:v>1074</x:v>
      </x:c>
      <x:c r="B73" s="80">
        <x:v>8</x:v>
      </x:c>
      <x:c r="C73" s="80" t="s">
        <x:v>1236</x:v>
      </x:c>
      <x:c r="D73" s="80" t="s">
        <x:v>1075</x:v>
      </x:c>
      <x:c r="E73" s="81" t="s">
        <x:v>1237</x:v>
      </x:c>
      <x:c r="F73" s="81" t="s">
        <x:v>1238</x:v>
      </x:c>
      <x:c r="G73" s="44" t="str">
        <x:v>暂时测不了</x:v>
      </x:c>
      <x:c r="H7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3" s="44" t="s">
        <x:v>92</x:v>
      </x:c>
      <x:c r="J73" s="45">
        <x:v>46293</x:v>
      </x:c>
      <x:c r="K73" s="44" t="str">
        <x:v>第十轮报告；r10-data.json；既有轮次证据</x:v>
      </x:c>
      <x:c r="L73" s="44" t="s">
        <x:v>1218</x:v>
      </x:c>
    </x:row>
    <x:row r="74" ht="160" customHeight="1">
      <x:c r="A74" s="80" t="s">
        <x:v>1074</x:v>
      </x:c>
      <x:c r="B74" s="80">
        <x:v>9</x:v>
      </x:c>
      <x:c r="C74" s="80" t="s">
        <x:v>1239</x:v>
      </x:c>
      <x:c r="D74" s="80" t="s">
        <x:v>1075</x:v>
      </x:c>
      <x:c r="E74" s="81" t="s">
        <x:v>1240</x:v>
      </x:c>
      <x:c r="F74" s="81" t="s">
        <x:v>1241</x:v>
      </x:c>
      <x:c r="G74" s="44" t="str">
        <x:v>暂时测不了</x:v>
      </x:c>
      <x:c r="H7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4" s="44" t="s">
        <x:v>92</x:v>
      </x:c>
      <x:c r="J74" s="45">
        <x:v>46293</x:v>
      </x:c>
      <x:c r="K74" s="44" t="str">
        <x:v>第十轮报告；r10-data.json；既有轮次证据</x:v>
      </x:c>
      <x:c r="L74" s="44" t="s">
        <x:v>1218</x:v>
      </x:c>
    </x:row>
    <x:row r="75" ht="160" customHeight="1">
      <x:c r="A75" s="80" t="s">
        <x:v>1074</x:v>
      </x:c>
      <x:c r="B75" s="80">
        <x:v>10</x:v>
      </x:c>
      <x:c r="C75" s="80" t="s">
        <x:v>1242</x:v>
      </x:c>
      <x:c r="D75" s="80" t="s">
        <x:v>1075</x:v>
      </x:c>
      <x:c r="E75" s="81" t="s">
        <x:v>1243</x:v>
      </x:c>
      <x:c r="F75" s="81" t="s">
        <x:v>1244</x:v>
      </x:c>
      <x:c r="G75" s="44" t="str">
        <x:v>暂时测不了</x:v>
      </x:c>
      <x:c r="H7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5" s="44" t="s">
        <x:v>92</x:v>
      </x:c>
      <x:c r="J75" s="45">
        <x:v>46293</x:v>
      </x:c>
      <x:c r="K75" s="44" t="str">
        <x:v>第十轮报告；r10-data.json；既有轮次证据</x:v>
      </x:c>
      <x:c r="L75" s="44" t="s">
        <x:v>1218</x:v>
      </x:c>
    </x:row>
    <x:row r="76" ht="160" customHeight="1">
      <x:c r="A76" s="82" t="s">
        <x:v>1076</x:v>
      </x:c>
      <x:c r="B76" s="82">
        <x:v>1</x:v>
      </x:c>
      <x:c r="C76" s="82" t="s">
        <x:v>1215</x:v>
      </x:c>
      <x:c r="D76" s="82" t="s">
        <x:v>1077</x:v>
      </x:c>
      <x:c r="E76" s="83" t="s">
        <x:v>1216</x:v>
      </x:c>
      <x:c r="F76" s="83" t="s">
        <x:v>1217</x:v>
      </x:c>
      <x:c r="G76" s="84" t="str">
        <x:v>暂时测不了</x:v>
      </x:c>
      <x:c r="H76" s="84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6" s="84" t="s">
        <x:v>92</x:v>
      </x:c>
      <x:c r="J76" s="85">
        <x:v>46293</x:v>
      </x:c>
      <x:c r="K76" s="84" t="str">
        <x:v>第十轮报告；r10-data.json；既有轮次证据</x:v>
      </x:c>
      <x:c r="L76" s="84" t="s">
        <x:v>1218</x:v>
      </x:c>
    </x:row>
    <x:row r="77" ht="160" customHeight="1">
      <x:c r="A77" s="86" t="s">
        <x:v>1076</x:v>
      </x:c>
      <x:c r="B77" s="86">
        <x:v>2</x:v>
      </x:c>
      <x:c r="C77" s="86" t="s">
        <x:v>1219</x:v>
      </x:c>
      <x:c r="D77" s="86" t="s">
        <x:v>1077</x:v>
      </x:c>
      <x:c r="E77" s="87" t="s">
        <x:v>1220</x:v>
      </x:c>
      <x:c r="F77" s="87" t="s">
        <x:v>1221</x:v>
      </x:c>
      <x:c r="G77" s="44" t="str">
        <x:v>暂时测不了</x:v>
      </x:c>
      <x:c r="H7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7" s="44" t="s">
        <x:v>92</x:v>
      </x:c>
      <x:c r="J77" s="45">
        <x:v>46293</x:v>
      </x:c>
      <x:c r="K77" s="44" t="str">
        <x:v>第十轮报告；r10-data.json；既有轮次证据</x:v>
      </x:c>
      <x:c r="L77" s="44" t="s">
        <x:v>1218</x:v>
      </x:c>
    </x:row>
    <x:row r="78" ht="160" customHeight="1">
      <x:c r="A78" s="86" t="s">
        <x:v>1076</x:v>
      </x:c>
      <x:c r="B78" s="86">
        <x:v>3</x:v>
      </x:c>
      <x:c r="C78" s="86" t="s">
        <x:v>1222</x:v>
      </x:c>
      <x:c r="D78" s="86" t="s">
        <x:v>1077</x:v>
      </x:c>
      <x:c r="E78" s="87" t="s">
        <x:v>1223</x:v>
      </x:c>
      <x:c r="F78" s="87" t="s">
        <x:v>1224</x:v>
      </x:c>
      <x:c r="G78" s="44" t="str">
        <x:v>暂时测不了</x:v>
      </x:c>
      <x:c r="H7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8" s="44" t="s">
        <x:v>92</x:v>
      </x:c>
      <x:c r="J78" s="45">
        <x:v>46293</x:v>
      </x:c>
      <x:c r="K78" s="44" t="str">
        <x:v>第十轮报告；r10-data.json；既有轮次证据</x:v>
      </x:c>
      <x:c r="L78" s="44" t="s">
        <x:v>1218</x:v>
      </x:c>
    </x:row>
    <x:row r="79" ht="160" customHeight="1">
      <x:c r="A79" s="86" t="s">
        <x:v>1076</x:v>
      </x:c>
      <x:c r="B79" s="86">
        <x:v>4</x:v>
      </x:c>
      <x:c r="C79" s="86" t="s">
        <x:v>993</x:v>
      </x:c>
      <x:c r="D79" s="86" t="s">
        <x:v>1077</x:v>
      </x:c>
      <x:c r="E79" s="87" t="s">
        <x:v>1247</x:v>
      </x:c>
      <x:c r="F79" s="87" t="s">
        <x:v>1248</x:v>
      </x:c>
      <x:c r="G79" s="44" t="str">
        <x:v>暂时测不了</x:v>
      </x:c>
      <x:c r="H7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9" s="44" t="s">
        <x:v>92</x:v>
      </x:c>
      <x:c r="J79" s="45">
        <x:v>46293</x:v>
      </x:c>
      <x:c r="K79" s="44" t="str">
        <x:v>第十轮报告；r10-data.json；既有轮次证据</x:v>
      </x:c>
      <x:c r="L79" s="44" t="s">
        <x:v>1218</x:v>
      </x:c>
    </x:row>
    <x:row r="80" ht="160" customHeight="1">
      <x:c r="A80" s="86" t="s">
        <x:v>1076</x:v>
      </x:c>
      <x:c r="B80" s="86">
        <x:v>5</x:v>
      </x:c>
      <x:c r="C80" s="86" t="s">
        <x:v>1227</x:v>
      </x:c>
      <x:c r="D80" s="86" t="s">
        <x:v>1077</x:v>
      </x:c>
      <x:c r="E80" s="87" t="s">
        <x:v>1228</x:v>
      </x:c>
      <x:c r="F80" s="87" t="s">
        <x:v>1229</x:v>
      </x:c>
      <x:c r="G80" s="44" t="str">
        <x:v>暂时测不了</x:v>
      </x:c>
      <x:c r="H8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0" s="44" t="s">
        <x:v>92</x:v>
      </x:c>
      <x:c r="J80" s="45">
        <x:v>46293</x:v>
      </x:c>
      <x:c r="K80" s="44" t="str">
        <x:v>第十轮报告；r10-data.json；既有轮次证据</x:v>
      </x:c>
      <x:c r="L80" s="44" t="s">
        <x:v>1218</x:v>
      </x:c>
    </x:row>
    <x:row r="81" ht="160" customHeight="1">
      <x:c r="A81" s="86" t="s">
        <x:v>1076</x:v>
      </x:c>
      <x:c r="B81" s="86">
        <x:v>6</x:v>
      </x:c>
      <x:c r="C81" s="86" t="s">
        <x:v>1230</x:v>
      </x:c>
      <x:c r="D81" s="86" t="s">
        <x:v>1077</x:v>
      </x:c>
      <x:c r="E81" s="87" t="s">
        <x:v>1245</x:v>
      </x:c>
      <x:c r="F81" s="87" t="s">
        <x:v>1246</x:v>
      </x:c>
      <x:c r="G81" s="44" t="str">
        <x:v>暂时测不了</x:v>
      </x:c>
      <x:c r="H8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1" s="44" t="s">
        <x:v>92</x:v>
      </x:c>
      <x:c r="J81" s="45">
        <x:v>46293</x:v>
      </x:c>
      <x:c r="K81" s="44" t="str">
        <x:v>第十轮报告；r10-data.json；既有轮次证据</x:v>
      </x:c>
      <x:c r="L81" s="44" t="s">
        <x:v>1218</x:v>
      </x:c>
    </x:row>
    <x:row r="82" ht="160" customHeight="1">
      <x:c r="A82" s="86" t="s">
        <x:v>1076</x:v>
      </x:c>
      <x:c r="B82" s="86">
        <x:v>7</x:v>
      </x:c>
      <x:c r="C82" s="86" t="s">
        <x:v>1233</x:v>
      </x:c>
      <x:c r="D82" s="86" t="s">
        <x:v>1077</x:v>
      </x:c>
      <x:c r="E82" s="87" t="s">
        <x:v>1234</x:v>
      </x:c>
      <x:c r="F82" s="87" t="s">
        <x:v>1235</x:v>
      </x:c>
      <x:c r="G82" s="44" t="str">
        <x:v>暂时测不了</x:v>
      </x:c>
      <x:c r="H8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2" s="44" t="s">
        <x:v>92</x:v>
      </x:c>
      <x:c r="J82" s="45">
        <x:v>46293</x:v>
      </x:c>
      <x:c r="K82" s="44" t="str">
        <x:v>第十轮报告；r10-data.json；既有轮次证据</x:v>
      </x:c>
      <x:c r="L82" s="44" t="s">
        <x:v>1218</x:v>
      </x:c>
    </x:row>
    <x:row r="83" ht="160" customHeight="1">
      <x:c r="A83" s="86" t="s">
        <x:v>1076</x:v>
      </x:c>
      <x:c r="B83" s="86">
        <x:v>8</x:v>
      </x:c>
      <x:c r="C83" s="86" t="s">
        <x:v>1236</x:v>
      </x:c>
      <x:c r="D83" s="86" t="s">
        <x:v>1077</x:v>
      </x:c>
      <x:c r="E83" s="87" t="s">
        <x:v>1237</x:v>
      </x:c>
      <x:c r="F83" s="87" t="s">
        <x:v>1238</x:v>
      </x:c>
      <x:c r="G83" s="44" t="str">
        <x:v>暂时测不了</x:v>
      </x:c>
      <x:c r="H8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3" s="44" t="s">
        <x:v>92</x:v>
      </x:c>
      <x:c r="J83" s="45">
        <x:v>46293</x:v>
      </x:c>
      <x:c r="K83" s="44" t="str">
        <x:v>第十轮报告；r10-data.json；既有轮次证据</x:v>
      </x:c>
      <x:c r="L83" s="44" t="s">
        <x:v>1218</x:v>
      </x:c>
    </x:row>
    <x:row r="84" ht="160" customHeight="1">
      <x:c r="A84" s="86" t="s">
        <x:v>1076</x:v>
      </x:c>
      <x:c r="B84" s="86">
        <x:v>9</x:v>
      </x:c>
      <x:c r="C84" s="86" t="s">
        <x:v>1239</x:v>
      </x:c>
      <x:c r="D84" s="86" t="s">
        <x:v>1077</x:v>
      </x:c>
      <x:c r="E84" s="87" t="s">
        <x:v>1240</x:v>
      </x:c>
      <x:c r="F84" s="87" t="s">
        <x:v>1241</x:v>
      </x:c>
      <x:c r="G84" s="44" t="str">
        <x:v>暂时测不了</x:v>
      </x:c>
      <x:c r="H8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4" s="44" t="s">
        <x:v>92</x:v>
      </x:c>
      <x:c r="J84" s="45">
        <x:v>46293</x:v>
      </x:c>
      <x:c r="K84" s="44" t="str">
        <x:v>第十轮报告；r10-data.json；既有轮次证据</x:v>
      </x:c>
      <x:c r="L84" s="44" t="s">
        <x:v>1218</x:v>
      </x:c>
    </x:row>
    <x:row r="85" ht="160" customHeight="1">
      <x:c r="A85" s="86" t="s">
        <x:v>1076</x:v>
      </x:c>
      <x:c r="B85" s="86">
        <x:v>10</x:v>
      </x:c>
      <x:c r="C85" s="86" t="s">
        <x:v>1242</x:v>
      </x:c>
      <x:c r="D85" s="86" t="s">
        <x:v>1077</x:v>
      </x:c>
      <x:c r="E85" s="87" t="s">
        <x:v>1243</x:v>
      </x:c>
      <x:c r="F85" s="87" t="s">
        <x:v>1244</x:v>
      </x:c>
      <x:c r="G85" s="44" t="str">
        <x:v>暂时测不了</x:v>
      </x:c>
      <x:c r="H8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5" s="44" t="s">
        <x:v>92</x:v>
      </x:c>
      <x:c r="J85" s="45">
        <x:v>46293</x:v>
      </x:c>
      <x:c r="K85" s="44" t="str">
        <x:v>第十轮报告；r10-data.json；既有轮次证据</x:v>
      </x:c>
      <x:c r="L85" s="44" t="s">
        <x:v>1218</x:v>
      </x:c>
    </x:row>
    <x:row r="86" ht="160" customHeight="1">
      <x:c r="A86" s="38" t="s">
        <x:v>1078</x:v>
      </x:c>
      <x:c r="B86" s="38">
        <x:v>1</x:v>
      </x:c>
      <x:c r="C86" s="38" t="s">
        <x:v>1215</x:v>
      </x:c>
      <x:c r="D86" s="38" t="s">
        <x:v>1079</x:v>
      </x:c>
      <x:c r="E86" s="39" t="s">
        <x:v>1249</x:v>
      </x:c>
      <x:c r="F86" s="39" t="s">
        <x:v>1250</x:v>
      </x:c>
      <x:c r="G86" s="40" t="str">
        <x:v>暂时测不了</x:v>
      </x:c>
      <x:c r="H86" s="40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6" s="40" t="s">
        <x:v>92</x:v>
      </x:c>
      <x:c r="J86" s="41">
        <x:v>46293</x:v>
      </x:c>
      <x:c r="K86" s="40" t="str">
        <x:v>第十轮报告；r10-data.json；既有轮次证据</x:v>
      </x:c>
      <x:c r="L86" s="40" t="s">
        <x:v>1218</x:v>
      </x:c>
    </x:row>
    <x:row r="87" ht="160" customHeight="1">
      <x:c r="A87" s="42" t="s">
        <x:v>1078</x:v>
      </x:c>
      <x:c r="B87" s="42">
        <x:v>2</x:v>
      </x:c>
      <x:c r="C87" s="42" t="s">
        <x:v>1219</x:v>
      </x:c>
      <x:c r="D87" s="42" t="s">
        <x:v>1079</x:v>
      </x:c>
      <x:c r="E87" s="43" t="s">
        <x:v>1220</x:v>
      </x:c>
      <x:c r="F87" s="43" t="s">
        <x:v>1221</x:v>
      </x:c>
      <x:c r="G87" s="44" t="str">
        <x:v>暂时测不了</x:v>
      </x:c>
      <x:c r="H8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7" s="44" t="s">
        <x:v>92</x:v>
      </x:c>
      <x:c r="J87" s="45">
        <x:v>46293</x:v>
      </x:c>
      <x:c r="K87" s="44" t="str">
        <x:v>第十轮报告；r10-data.json；既有轮次证据</x:v>
      </x:c>
      <x:c r="L87" s="44" t="s">
        <x:v>1218</x:v>
      </x:c>
    </x:row>
    <x:row r="88" ht="160" customHeight="1">
      <x:c r="A88" s="42" t="s">
        <x:v>1078</x:v>
      </x:c>
      <x:c r="B88" s="42">
        <x:v>3</x:v>
      </x:c>
      <x:c r="C88" s="42" t="s">
        <x:v>1222</x:v>
      </x:c>
      <x:c r="D88" s="42" t="s">
        <x:v>1079</x:v>
      </x:c>
      <x:c r="E88" s="43" t="s">
        <x:v>1223</x:v>
      </x:c>
      <x:c r="F88" s="43" t="s">
        <x:v>1251</x:v>
      </x:c>
      <x:c r="G88" s="44" t="str">
        <x:v>暂时测不了</x:v>
      </x:c>
      <x:c r="H8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8" s="44" t="s">
        <x:v>92</x:v>
      </x:c>
      <x:c r="J88" s="45">
        <x:v>46293</x:v>
      </x:c>
      <x:c r="K88" s="44" t="str">
        <x:v>第十轮报告；r10-data.json；既有轮次证据</x:v>
      </x:c>
      <x:c r="L88" s="44" t="s">
        <x:v>1218</x:v>
      </x:c>
    </x:row>
    <x:row r="89" ht="160" customHeight="1">
      <x:c r="A89" s="42" t="s">
        <x:v>1078</x:v>
      </x:c>
      <x:c r="B89" s="42">
        <x:v>4</x:v>
      </x:c>
      <x:c r="C89" s="42" t="s">
        <x:v>1252</x:v>
      </x:c>
      <x:c r="D89" s="42" t="s">
        <x:v>1079</x:v>
      </x:c>
      <x:c r="E89" s="43" t="s">
        <x:v>1253</x:v>
      </x:c>
      <x:c r="F89" s="43" t="s">
        <x:v>1254</x:v>
      </x:c>
      <x:c r="G89" s="44" t="str">
        <x:v>暂时测不了</x:v>
      </x:c>
      <x:c r="H89" s="44" t="str">
        <x:v>第十轮：本步尚未作为同一事件完整链路验收。当前步骤：查看研判和告警列表，不人为捏造告警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9" s="44" t="s">
        <x:v>92</x:v>
      </x:c>
      <x:c r="J89" s="45">
        <x:v>46293</x:v>
      </x:c>
      <x:c r="K89" s="44" t="str">
        <x:v>第十轮报告；r10-data.json；既有轮次证据</x:v>
      </x:c>
      <x:c r="L89" s="44" t="s">
        <x:v>1218</x:v>
      </x:c>
    </x:row>
    <x:row r="90" ht="160" customHeight="1">
      <x:c r="A90" s="42" t="s">
        <x:v>1078</x:v>
      </x:c>
      <x:c r="B90" s="42">
        <x:v>5</x:v>
      </x:c>
      <x:c r="C90" s="42" t="s">
        <x:v>1255</x:v>
      </x:c>
      <x:c r="D90" s="42" t="s">
        <x:v>1079</x:v>
      </x:c>
      <x:c r="E90" s="43" t="s">
        <x:v>1256</x:v>
      </x:c>
      <x:c r="F90" s="43" t="s">
        <x:v>1257</x:v>
      </x:c>
      <x:c r="G90" s="44" t="str">
        <x:v>暂时测不了</x:v>
      </x:c>
      <x:c r="H90" s="44" t="str">
        <x:v>第十轮：本步尚未作为同一事件完整链路验收。当前步骤：核对该目标相关的通知任务与收件箱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0" s="44" t="s">
        <x:v>92</x:v>
      </x:c>
      <x:c r="J90" s="45">
        <x:v>46293</x:v>
      </x:c>
      <x:c r="K90" s="44" t="str">
        <x:v>第十轮报告；r10-data.json；既有轮次证据</x:v>
      </x:c>
      <x:c r="L90" s="44" t="s">
        <x:v>1218</x:v>
      </x:c>
    </x:row>
    <x:row r="91" ht="160" customHeight="1">
      <x:c r="A91" s="42" t="s">
        <x:v>1078</x:v>
      </x:c>
      <x:c r="B91" s="42">
        <x:v>6</x:v>
      </x:c>
      <x:c r="C91" s="42" t="s">
        <x:v>1258</x:v>
      </x:c>
      <x:c r="D91" s="42" t="s">
        <x:v>1079</x:v>
      </x:c>
      <x:c r="E91" s="43" t="s">
        <x:v>1259</x:v>
      </x:c>
      <x:c r="F91" s="43" t="s">
        <x:v>1260</x:v>
      </x:c>
      <x:c r="G91" s="44" t="str">
        <x:v>暂时测不了</x:v>
      </x:c>
      <x:c r="H9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1" s="44" t="s">
        <x:v>92</x:v>
      </x:c>
      <x:c r="J91" s="45">
        <x:v>46293</x:v>
      </x:c>
      <x:c r="K91" s="44" t="str">
        <x:v>第十轮报告；r10-data.json；既有轮次证据</x:v>
      </x:c>
      <x:c r="L91" s="44" t="s">
        <x:v>1218</x:v>
      </x:c>
    </x:row>
    <x:row r="92" ht="160" customHeight="1">
      <x:c r="A92" s="42" t="s">
        <x:v>1078</x:v>
      </x:c>
      <x:c r="B92" s="42">
        <x:v>7</x:v>
      </x:c>
      <x:c r="C92" s="42" t="s">
        <x:v>1261</x:v>
      </x:c>
      <x:c r="D92" s="42" t="s">
        <x:v>1079</x:v>
      </x:c>
      <x:c r="E92" s="43" t="s">
        <x:v>1262</x:v>
      </x:c>
      <x:c r="F92" s="43" t="s">
        <x:v>1263</x:v>
      </x:c>
      <x:c r="G92" s="44" t="str">
        <x:v>暂时测不了</x:v>
      </x:c>
      <x:c r="H9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2" s="44" t="s">
        <x:v>92</x:v>
      </x:c>
      <x:c r="J92" s="45">
        <x:v>46293</x:v>
      </x:c>
      <x:c r="K92" s="44" t="str">
        <x:v>第十轮报告；r10-data.json；既有轮次证据</x:v>
      </x:c>
      <x:c r="L92" s="44" t="s">
        <x:v>1218</x:v>
      </x:c>
    </x:row>
    <x:row r="93" ht="160" customHeight="1">
      <x:c r="A93" s="42" t="s">
        <x:v>1078</x:v>
      </x:c>
      <x:c r="B93" s="42">
        <x:v>8</x:v>
      </x:c>
      <x:c r="C93" s="42" t="s">
        <x:v>1264</x:v>
      </x:c>
      <x:c r="D93" s="42" t="s">
        <x:v>1079</x:v>
      </x:c>
      <x:c r="E93" s="43" t="s">
        <x:v>1265</x:v>
      </x:c>
      <x:c r="F93" s="43" t="s">
        <x:v>1266</x:v>
      </x:c>
      <x:c r="G93" s="44" t="str">
        <x:v>暂时测不了</x:v>
      </x:c>
      <x:c r="H9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3" s="44" t="s">
        <x:v>92</x:v>
      </x:c>
      <x:c r="J93" s="45">
        <x:v>46293</x:v>
      </x:c>
      <x:c r="K93" s="44" t="str">
        <x:v>第十轮报告；r10-data.json；既有轮次证据</x:v>
      </x:c>
      <x:c r="L93" s="44" t="s">
        <x:v>1218</x:v>
      </x:c>
    </x:row>
    <x:row r="94" ht="160" customHeight="1">
      <x:c r="A94" s="42" t="s">
        <x:v>1078</x:v>
      </x:c>
      <x:c r="B94" s="42">
        <x:v>9</x:v>
      </x:c>
      <x:c r="C94" s="42" t="s">
        <x:v>1239</x:v>
      </x:c>
      <x:c r="D94" s="42" t="s">
        <x:v>1079</x:v>
      </x:c>
      <x:c r="E94" s="43" t="s">
        <x:v>1240</x:v>
      </x:c>
      <x:c r="F94" s="43" t="s">
        <x:v>1241</x:v>
      </x:c>
      <x:c r="G94" s="44" t="str">
        <x:v>暂时测不了</x:v>
      </x:c>
      <x:c r="H9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4" s="44" t="s">
        <x:v>92</x:v>
      </x:c>
      <x:c r="J94" s="45">
        <x:v>46293</x:v>
      </x:c>
      <x:c r="K94" s="44" t="str">
        <x:v>第十轮报告；r10-data.json；既有轮次证据</x:v>
      </x:c>
      <x:c r="L94" s="44" t="s">
        <x:v>1218</x:v>
      </x:c>
    </x:row>
    <x:row r="95" ht="160" customHeight="1">
      <x:c r="A95" s="42" t="s">
        <x:v>1078</x:v>
      </x:c>
      <x:c r="B95" s="42">
        <x:v>10</x:v>
      </x:c>
      <x:c r="C95" s="42" t="s">
        <x:v>1242</x:v>
      </x:c>
      <x:c r="D95" s="42" t="s">
        <x:v>1079</x:v>
      </x:c>
      <x:c r="E95" s="43" t="s">
        <x:v>1243</x:v>
      </x:c>
      <x:c r="F95" s="43" t="s">
        <x:v>1244</x:v>
      </x:c>
      <x:c r="G95" s="44" t="str">
        <x:v>暂时测不了</x:v>
      </x:c>
      <x:c r="H9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5" s="44" t="s">
        <x:v>92</x:v>
      </x:c>
      <x:c r="J95" s="45">
        <x:v>46293</x:v>
      </x:c>
      <x:c r="K95" s="44" t="str">
        <x:v>第十轮报告；r10-data.json；既有轮次证据</x:v>
      </x:c>
      <x:c r="L95" s="44" t="s">
        <x:v>1218</x:v>
      </x:c>
    </x:row>
    <x:row r="96" ht="160" customHeight="1">
      <x:c r="A96" s="46" t="s">
        <x:v>1082</x:v>
      </x:c>
      <x:c r="B96" s="46">
        <x:v>1</x:v>
      </x:c>
      <x:c r="C96" s="46" t="s">
        <x:v>1215</x:v>
      </x:c>
      <x:c r="D96" s="46" t="s">
        <x:v>1083</x:v>
      </x:c>
      <x:c r="E96" s="47" t="s">
        <x:v>1267</x:v>
      </x:c>
      <x:c r="F96" s="47" t="s">
        <x:v>1268</x:v>
      </x:c>
      <x:c r="G96" s="48" t="str">
        <x:v>暂时测不了</x:v>
      </x:c>
      <x:c r="H96" s="48" t="str">
        <x:v>第十轮：本步尚未作为同一事件完整链路验收。当前步骤：按M4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96" s="48" t="s">
        <x:v>92</x:v>
      </x:c>
      <x:c r="J96" s="49">
        <x:v>46293</x:v>
      </x:c>
      <x:c r="K96" s="48" t="str">
        <x:v>第十轮报告；r10-data.json；既有轮次证据</x:v>
      </x:c>
      <x:c r="L96" s="48" t="s">
        <x:v>1218</x:v>
      </x:c>
    </x:row>
    <x:row r="97" ht="160" customHeight="1">
      <x:c r="A97" s="50" t="s">
        <x:v>1082</x:v>
      </x:c>
      <x:c r="B97" s="50">
        <x:v>2</x:v>
      </x:c>
      <x:c r="C97" s="50" t="s">
        <x:v>1219</x:v>
      </x:c>
      <x:c r="D97" s="50" t="s">
        <x:v>1083</x:v>
      </x:c>
      <x:c r="E97" s="51" t="s">
        <x:v>1220</x:v>
      </x:c>
      <x:c r="F97" s="51" t="s">
        <x:v>1221</x:v>
      </x:c>
      <x:c r="G97" s="44" t="str">
        <x:v>暂时测不了</x:v>
      </x:c>
      <x:c r="H9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97" s="44" t="s">
        <x:v>92</x:v>
      </x:c>
      <x:c r="J97" s="45">
        <x:v>46293</x:v>
      </x:c>
      <x:c r="K97" s="44" t="str">
        <x:v>第十轮报告；r10-data.json；既有轮次证据</x:v>
      </x:c>
      <x:c r="L97" s="44" t="s">
        <x:v>1218</x:v>
      </x:c>
    </x:row>
    <x:row r="98" ht="160" customHeight="1">
      <x:c r="A98" s="50" t="s">
        <x:v>1082</x:v>
      </x:c>
      <x:c r="B98" s="50">
        <x:v>3</x:v>
      </x:c>
      <x:c r="C98" s="50" t="s">
        <x:v>1222</x:v>
      </x:c>
      <x:c r="D98" s="50" t="s">
        <x:v>1083</x:v>
      </x:c>
      <x:c r="E98" s="51" t="s">
        <x:v>1223</x:v>
      </x:c>
      <x:c r="F98" s="51" t="s">
        <x:v>1224</x:v>
      </x:c>
      <x:c r="G98" s="44" t="str">
        <x:v>暂时测不了</x:v>
      </x:c>
      <x:c r="H9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98" s="44" t="s">
        <x:v>92</x:v>
      </x:c>
      <x:c r="J98" s="45">
        <x:v>46293</x:v>
      </x:c>
      <x:c r="K98" s="44" t="str">
        <x:v>第十轮报告；r10-data.json；既有轮次证据</x:v>
      </x:c>
      <x:c r="L98" s="44" t="s">
        <x:v>1218</x:v>
      </x:c>
    </x:row>
    <x:row r="99" ht="160" customHeight="1">
      <x:c r="A99" s="50" t="s">
        <x:v>1082</x:v>
      </x:c>
      <x:c r="B99" s="50">
        <x:v>4</x:v>
      </x:c>
      <x:c r="C99" s="50" t="s">
        <x:v>1269</x:v>
      </x:c>
      <x:c r="D99" s="50" t="s">
        <x:v>1083</x:v>
      </x:c>
      <x:c r="E99" s="51" t="s">
        <x:v>1270</x:v>
      </x:c>
      <x:c r="F99" s="51" t="s">
        <x:v>1271</x:v>
      </x:c>
      <x:c r="G99" s="44" t="str">
        <x:v>暂时测不了</x:v>
      </x:c>
      <x:c r="H99" s="44" t="str">
        <x:v>第十轮：本步尚未作为同一事件完整链路验收。当前步骤：先确认处于待核实，值班人员选择误报并说明原因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99" s="44" t="s">
        <x:v>92</x:v>
      </x:c>
      <x:c r="J99" s="45">
        <x:v>46293</x:v>
      </x:c>
      <x:c r="K99" s="44" t="str">
        <x:v>第十轮报告；r10-data.json；既有轮次证据</x:v>
      </x:c>
      <x:c r="L99" s="44" t="s">
        <x:v>1218</x:v>
      </x:c>
    </x:row>
    <x:row r="100" ht="160" customHeight="1">
      <x:c r="A100" s="50" t="s">
        <x:v>1082</x:v>
      </x:c>
      <x:c r="B100" s="50">
        <x:v>5</x:v>
      </x:c>
      <x:c r="C100" s="50" t="s">
        <x:v>1272</x:v>
      </x:c>
      <x:c r="D100" s="50" t="s">
        <x:v>1083</x:v>
      </x:c>
      <x:c r="E100" s="51" t="s">
        <x:v>1273</x:v>
      </x:c>
      <x:c r="F100" s="51" t="s">
        <x:v>1274</x:v>
      </x:c>
      <x:c r="G100" s="44" t="str">
        <x:v>暂时测不了</x:v>
      </x:c>
      <x:c r="H100" s="44" t="str">
        <x:v>第十轮：本步尚未作为同一事件完整链路验收。当前步骤：查看该事件短信与电话记录并等待调度检查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0" s="44" t="s">
        <x:v>92</x:v>
      </x:c>
      <x:c r="J100" s="45">
        <x:v>46293</x:v>
      </x:c>
      <x:c r="K100" s="44" t="str">
        <x:v>第十轮报告；r10-data.json；既有轮次证据</x:v>
      </x:c>
      <x:c r="L100" s="44" t="s">
        <x:v>1218</x:v>
      </x:c>
    </x:row>
    <x:row r="101" ht="160" customHeight="1">
      <x:c r="A101" s="50" t="s">
        <x:v>1082</x:v>
      </x:c>
      <x:c r="B101" s="50">
        <x:v>6</x:v>
      </x:c>
      <x:c r="C101" s="50" t="s">
        <x:v>1258</x:v>
      </x:c>
      <x:c r="D101" s="50" t="s">
        <x:v>1083</x:v>
      </x:c>
      <x:c r="E101" s="51" t="s">
        <x:v>1259</x:v>
      </x:c>
      <x:c r="F101" s="51" t="s">
        <x:v>1275</x:v>
      </x:c>
      <x:c r="G101" s="44" t="str">
        <x:v>暂时测不了</x:v>
      </x:c>
      <x:c r="H10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1" s="44" t="s">
        <x:v>92</x:v>
      </x:c>
      <x:c r="J101" s="45">
        <x:v>46293</x:v>
      </x:c>
      <x:c r="K101" s="44" t="str">
        <x:v>第十轮报告；r10-data.json；既有轮次证据</x:v>
      </x:c>
      <x:c r="L101" s="44" t="s">
        <x:v>1218</x:v>
      </x:c>
    </x:row>
    <x:row r="102" ht="160" customHeight="1">
      <x:c r="A102" s="50" t="s">
        <x:v>1082</x:v>
      </x:c>
      <x:c r="B102" s="50">
        <x:v>7</x:v>
      </x:c>
      <x:c r="C102" s="50" t="s">
        <x:v>1261</x:v>
      </x:c>
      <x:c r="D102" s="50" t="s">
        <x:v>1083</x:v>
      </x:c>
      <x:c r="E102" s="51" t="s">
        <x:v>1262</x:v>
      </x:c>
      <x:c r="F102" s="51" t="s">
        <x:v>1263</x:v>
      </x:c>
      <x:c r="G102" s="44" t="str">
        <x:v>暂时测不了</x:v>
      </x:c>
      <x:c r="H10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2" s="44" t="s">
        <x:v>92</x:v>
      </x:c>
      <x:c r="J102" s="45">
        <x:v>46293</x:v>
      </x:c>
      <x:c r="K102" s="44" t="str">
        <x:v>第十轮报告；r10-data.json；既有轮次证据</x:v>
      </x:c>
      <x:c r="L102" s="44" t="s">
        <x:v>1218</x:v>
      </x:c>
    </x:row>
    <x:row r="103" ht="160" customHeight="1">
      <x:c r="A103" s="50" t="s">
        <x:v>1082</x:v>
      </x:c>
      <x:c r="B103" s="50">
        <x:v>8</x:v>
      </x:c>
      <x:c r="C103" s="50" t="s">
        <x:v>1264</x:v>
      </x:c>
      <x:c r="D103" s="50" t="s">
        <x:v>1083</x:v>
      </x:c>
      <x:c r="E103" s="51" t="s">
        <x:v>1265</x:v>
      </x:c>
      <x:c r="F103" s="51" t="s">
        <x:v>1266</x:v>
      </x:c>
      <x:c r="G103" s="44" t="str">
        <x:v>暂时测不了</x:v>
      </x:c>
      <x:c r="H10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3" s="44" t="s">
        <x:v>92</x:v>
      </x:c>
      <x:c r="J103" s="45">
        <x:v>46293</x:v>
      </x:c>
      <x:c r="K103" s="44" t="str">
        <x:v>第十轮报告；r10-data.json；既有轮次证据</x:v>
      </x:c>
      <x:c r="L103" s="44" t="s">
        <x:v>1218</x:v>
      </x:c>
    </x:row>
    <x:row r="104" ht="160" customHeight="1">
      <x:c r="A104" s="50" t="s">
        <x:v>1082</x:v>
      </x:c>
      <x:c r="B104" s="50">
        <x:v>9</x:v>
      </x:c>
      <x:c r="C104" s="50" t="s">
        <x:v>1239</x:v>
      </x:c>
      <x:c r="D104" s="50" t="s">
        <x:v>1083</x:v>
      </x:c>
      <x:c r="E104" s="51" t="s">
        <x:v>1240</x:v>
      </x:c>
      <x:c r="F104" s="51" t="s">
        <x:v>1241</x:v>
      </x:c>
      <x:c r="G104" s="44" t="str">
        <x:v>暂时测不了</x:v>
      </x:c>
      <x:c r="H10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4" s="44" t="s">
        <x:v>92</x:v>
      </x:c>
      <x:c r="J104" s="45">
        <x:v>46293</x:v>
      </x:c>
      <x:c r="K104" s="44" t="str">
        <x:v>第十轮报告；r10-data.json；既有轮次证据</x:v>
      </x:c>
      <x:c r="L104" s="44" t="s">
        <x:v>1218</x:v>
      </x:c>
    </x:row>
    <x:row r="105" ht="160" customHeight="1">
      <x:c r="A105" s="50" t="s">
        <x:v>1082</x:v>
      </x:c>
      <x:c r="B105" s="50">
        <x:v>10</x:v>
      </x:c>
      <x:c r="C105" s="50" t="s">
        <x:v>1242</x:v>
      </x:c>
      <x:c r="D105" s="50" t="s">
        <x:v>1083</x:v>
      </x:c>
      <x:c r="E105" s="51" t="s">
        <x:v>1243</x:v>
      </x:c>
      <x:c r="F105" s="51" t="s">
        <x:v>1244</x:v>
      </x:c>
      <x:c r="G105" s="44" t="str">
        <x:v>暂时测不了</x:v>
      </x:c>
      <x:c r="H10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5" s="44" t="s">
        <x:v>92</x:v>
      </x:c>
      <x:c r="J105" s="45">
        <x:v>46293</x:v>
      </x:c>
      <x:c r="K105" s="44" t="str">
        <x:v>第十轮报告；r10-data.json；既有轮次证据</x:v>
      </x:c>
      <x:c r="L105" s="44" t="s">
        <x:v>1218</x:v>
      </x:c>
    </x:row>
    <x:row r="106" ht="160" customHeight="1">
      <x:c r="A106" s="52" t="s">
        <x:v>1086</x:v>
      </x:c>
      <x:c r="B106" s="52">
        <x:v>1</x:v>
      </x:c>
      <x:c r="C106" s="52" t="s">
        <x:v>1215</x:v>
      </x:c>
      <x:c r="D106" s="52" t="s">
        <x:v>1087</x:v>
      </x:c>
      <x:c r="E106" s="53" t="s">
        <x:v>1249</x:v>
      </x:c>
      <x:c r="F106" s="53" t="s">
        <x:v>1276</x:v>
      </x:c>
      <x:c r="G106" s="54" t="str">
        <x:v>暂时测不了</x:v>
      </x:c>
      <x:c r="H106" s="54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6" s="54" t="s">
        <x:v>92</x:v>
      </x:c>
      <x:c r="J106" s="55">
        <x:v>46293</x:v>
      </x:c>
      <x:c r="K106" s="54" t="str">
        <x:v>第十轮报告；r10-data.json；既有轮次证据</x:v>
      </x:c>
      <x:c r="L106" s="54" t="s">
        <x:v>1218</x:v>
      </x:c>
    </x:row>
    <x:row r="107" ht="160" customHeight="1">
      <x:c r="A107" s="56" t="s">
        <x:v>1086</x:v>
      </x:c>
      <x:c r="B107" s="56">
        <x:v>2</x:v>
      </x:c>
      <x:c r="C107" s="56" t="s">
        <x:v>1219</x:v>
      </x:c>
      <x:c r="D107" s="56" t="s">
        <x:v>1087</x:v>
      </x:c>
      <x:c r="E107" s="57" t="s">
        <x:v>1220</x:v>
      </x:c>
      <x:c r="F107" s="57" t="s">
        <x:v>1221</x:v>
      </x:c>
      <x:c r="G107" s="44" t="str">
        <x:v>暂时测不了</x:v>
      </x:c>
      <x:c r="H10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7" s="44" t="s">
        <x:v>92</x:v>
      </x:c>
      <x:c r="J107" s="45">
        <x:v>46293</x:v>
      </x:c>
      <x:c r="K107" s="44" t="str">
        <x:v>第十轮报告；r10-data.json；既有轮次证据</x:v>
      </x:c>
      <x:c r="L107" s="44" t="s">
        <x:v>1218</x:v>
      </x:c>
    </x:row>
    <x:row r="108" ht="160" customHeight="1">
      <x:c r="A108" s="56" t="s">
        <x:v>1086</x:v>
      </x:c>
      <x:c r="B108" s="56">
        <x:v>3</x:v>
      </x:c>
      <x:c r="C108" s="56" t="s">
        <x:v>1222</x:v>
      </x:c>
      <x:c r="D108" s="56" t="s">
        <x:v>1087</x:v>
      </x:c>
      <x:c r="E108" s="57" t="s">
        <x:v>1223</x:v>
      </x:c>
      <x:c r="F108" s="57" t="s">
        <x:v>1224</x:v>
      </x:c>
      <x:c r="G108" s="44" t="str">
        <x:v>暂时测不了</x:v>
      </x:c>
      <x:c r="H10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8" s="44" t="s">
        <x:v>92</x:v>
      </x:c>
      <x:c r="J108" s="45">
        <x:v>46293</x:v>
      </x:c>
      <x:c r="K108" s="44" t="str">
        <x:v>第十轮报告；r10-data.json；既有轮次证据</x:v>
      </x:c>
      <x:c r="L108" s="44" t="s">
        <x:v>1218</x:v>
      </x:c>
    </x:row>
    <x:row r="109" ht="160" customHeight="1">
      <x:c r="A109" s="56" t="s">
        <x:v>1086</x:v>
      </x:c>
      <x:c r="B109" s="56">
        <x:v>4</x:v>
      </x:c>
      <x:c r="C109" s="56" t="s">
        <x:v>993</x:v>
      </x:c>
      <x:c r="D109" s="56" t="s">
        <x:v>1087</x:v>
      </x:c>
      <x:c r="E109" s="57" t="s">
        <x:v>1247</x:v>
      </x:c>
      <x:c r="F109" s="57" t="s">
        <x:v>1248</x:v>
      </x:c>
      <x:c r="G109" s="44" t="str">
        <x:v>暂时测不了</x:v>
      </x:c>
      <x:c r="H10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9" s="44" t="s">
        <x:v>92</x:v>
      </x:c>
      <x:c r="J109" s="45">
        <x:v>46293</x:v>
      </x:c>
      <x:c r="K109" s="44" t="str">
        <x:v>第十轮报告；r10-data.json；既有轮次证据</x:v>
      </x:c>
      <x:c r="L109" s="44" t="s">
        <x:v>1218</x:v>
      </x:c>
    </x:row>
    <x:row r="110" ht="160" customHeight="1">
      <x:c r="A110" s="56" t="s">
        <x:v>1086</x:v>
      </x:c>
      <x:c r="B110" s="56">
        <x:v>5</x:v>
      </x:c>
      <x:c r="C110" s="56" t="s">
        <x:v>1227</x:v>
      </x:c>
      <x:c r="D110" s="56" t="s">
        <x:v>1087</x:v>
      </x:c>
      <x:c r="E110" s="57" t="s">
        <x:v>1277</x:v>
      </x:c>
      <x:c r="F110" s="57" t="s">
        <x:v>1089</x:v>
      </x:c>
      <x:c r="G110" s="44" t="str">
        <x:v>暂时测不了</x:v>
      </x:c>
      <x:c r="H110" s="44" t="str">
        <x:v>第十轮：本步尚未作为同一事件完整链路验收。当前步骤：检查短信发送/送达、观察开始/结束、电话接通/播放与新位置；按本轮条件操作目标。 短信送达后，目标持续上报飞离区域的有效位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0" s="44" t="s">
        <x:v>92</x:v>
      </x:c>
      <x:c r="J110" s="45">
        <x:v>46293</x:v>
      </x:c>
      <x:c r="K110" s="44" t="str">
        <x:v>第十轮报告；r10-data.json；既有轮次证据</x:v>
      </x:c>
      <x:c r="L110" s="44" t="s">
        <x:v>1218</x:v>
      </x:c>
    </x:row>
    <x:row r="111" ht="160" customHeight="1">
      <x:c r="A111" s="56" t="s">
        <x:v>1086</x:v>
      </x:c>
      <x:c r="B111" s="56">
        <x:v>6</x:v>
      </x:c>
      <x:c r="C111" s="56" t="s">
        <x:v>1258</x:v>
      </x:c>
      <x:c r="D111" s="56" t="s">
        <x:v>1087</x:v>
      </x:c>
      <x:c r="E111" s="57" t="s">
        <x:v>1259</x:v>
      </x:c>
      <x:c r="F111" s="57" t="s">
        <x:v>1278</x:v>
      </x:c>
      <x:c r="G111" s="44" t="str">
        <x:v>暂时测不了</x:v>
      </x:c>
      <x:c r="H11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1" s="44" t="s">
        <x:v>92</x:v>
      </x:c>
      <x:c r="J111" s="45">
        <x:v>46293</x:v>
      </x:c>
      <x:c r="K111" s="44" t="str">
        <x:v>第十轮报告；r10-data.json；既有轮次证据</x:v>
      </x:c>
      <x:c r="L111" s="44" t="s">
        <x:v>1218</x:v>
      </x:c>
    </x:row>
    <x:row r="112" ht="160" customHeight="1">
      <x:c r="A112" s="56" t="s">
        <x:v>1086</x:v>
      </x:c>
      <x:c r="B112" s="56">
        <x:v>7</x:v>
      </x:c>
      <x:c r="C112" s="56" t="s">
        <x:v>1261</x:v>
      </x:c>
      <x:c r="D112" s="56" t="s">
        <x:v>1087</x:v>
      </x:c>
      <x:c r="E112" s="57" t="s">
        <x:v>1262</x:v>
      </x:c>
      <x:c r="F112" s="57" t="s">
        <x:v>1263</x:v>
      </x:c>
      <x:c r="G112" s="44" t="str">
        <x:v>暂时测不了</x:v>
      </x:c>
      <x:c r="H11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2" s="44" t="s">
        <x:v>92</x:v>
      </x:c>
      <x:c r="J112" s="45">
        <x:v>46293</x:v>
      </x:c>
      <x:c r="K112" s="44" t="str">
        <x:v>第十轮报告；r10-data.json；既有轮次证据</x:v>
      </x:c>
      <x:c r="L112" s="44" t="s">
        <x:v>1218</x:v>
      </x:c>
    </x:row>
    <x:row r="113" ht="160" customHeight="1">
      <x:c r="A113" s="56" t="s">
        <x:v>1086</x:v>
      </x:c>
      <x:c r="B113" s="56">
        <x:v>8</x:v>
      </x:c>
      <x:c r="C113" s="56" t="s">
        <x:v>1264</x:v>
      </x:c>
      <x:c r="D113" s="56" t="s">
        <x:v>1087</x:v>
      </x:c>
      <x:c r="E113" s="57" t="s">
        <x:v>1265</x:v>
      </x:c>
      <x:c r="F113" s="57" t="s">
        <x:v>1279</x:v>
      </x:c>
      <x:c r="G113" s="44" t="str">
        <x:v>暂时测不了</x:v>
      </x:c>
      <x:c r="H11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3" s="44" t="s">
        <x:v>92</x:v>
      </x:c>
      <x:c r="J113" s="45">
        <x:v>46293</x:v>
      </x:c>
      <x:c r="K113" s="44" t="str">
        <x:v>第十轮报告；r10-data.json；既有轮次证据</x:v>
      </x:c>
      <x:c r="L113" s="44" t="s">
        <x:v>1218</x:v>
      </x:c>
    </x:row>
    <x:row r="114" ht="160" customHeight="1">
      <x:c r="A114" s="56" t="s">
        <x:v>1086</x:v>
      </x:c>
      <x:c r="B114" s="56">
        <x:v>9</x:v>
      </x:c>
      <x:c r="C114" s="56" t="s">
        <x:v>1239</x:v>
      </x:c>
      <x:c r="D114" s="56" t="s">
        <x:v>1087</x:v>
      </x:c>
      <x:c r="E114" s="57" t="s">
        <x:v>1240</x:v>
      </x:c>
      <x:c r="F114" s="57" t="s">
        <x:v>1241</x:v>
      </x:c>
      <x:c r="G114" s="44" t="str">
        <x:v>暂时测不了</x:v>
      </x:c>
      <x:c r="H11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4" s="44" t="s">
        <x:v>92</x:v>
      </x:c>
      <x:c r="J114" s="45">
        <x:v>46293</x:v>
      </x:c>
      <x:c r="K114" s="44" t="str">
        <x:v>第十轮报告；r10-data.json；既有轮次证据</x:v>
      </x:c>
      <x:c r="L114" s="44" t="s">
        <x:v>1218</x:v>
      </x:c>
    </x:row>
    <x:row r="115" ht="160" customHeight="1">
      <x:c r="A115" s="56" t="s">
        <x:v>1086</x:v>
      </x:c>
      <x:c r="B115" s="56">
        <x:v>10</x:v>
      </x:c>
      <x:c r="C115" s="56" t="s">
        <x:v>1242</x:v>
      </x:c>
      <x:c r="D115" s="56" t="s">
        <x:v>1087</x:v>
      </x:c>
      <x:c r="E115" s="57" t="s">
        <x:v>1243</x:v>
      </x:c>
      <x:c r="F115" s="57" t="s">
        <x:v>1244</x:v>
      </x:c>
      <x:c r="G115" s="44" t="str">
        <x:v>暂时测不了</x:v>
      </x:c>
      <x:c r="H11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5" s="44" t="s">
        <x:v>92</x:v>
      </x:c>
      <x:c r="J115" s="45">
        <x:v>46293</x:v>
      </x:c>
      <x:c r="K115" s="44" t="str">
        <x:v>第十轮报告；r10-data.json；既有轮次证据</x:v>
      </x:c>
      <x:c r="L115" s="44" t="s">
        <x:v>1218</x:v>
      </x:c>
    </x:row>
    <x:row r="116" ht="160" customHeight="1">
      <x:c r="A116" s="58" t="s">
        <x:v>1090</x:v>
      </x:c>
      <x:c r="B116" s="58">
        <x:v>1</x:v>
      </x:c>
      <x:c r="C116" s="58" t="s">
        <x:v>1215</x:v>
      </x:c>
      <x:c r="D116" s="58" t="s">
        <x:v>1091</x:v>
      </x:c>
      <x:c r="E116" s="59" t="s">
        <x:v>1249</x:v>
      </x:c>
      <x:c r="F116" s="59" t="s">
        <x:v>1280</x:v>
      </x:c>
      <x:c r="G116" s="60" t="str">
        <x:v>暂时测不了</x:v>
      </x:c>
      <x:c r="H116" s="60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6" s="60" t="s">
        <x:v>92</x:v>
      </x:c>
      <x:c r="J116" s="61">
        <x:v>46293</x:v>
      </x:c>
      <x:c r="K116" s="60" t="str">
        <x:v>第十轮报告；r10-data.json；既有轮次证据</x:v>
      </x:c>
      <x:c r="L116" s="60" t="s">
        <x:v>1218</x:v>
      </x:c>
    </x:row>
    <x:row r="117" ht="160" customHeight="1">
      <x:c r="A117" s="62" t="s">
        <x:v>1090</x:v>
      </x:c>
      <x:c r="B117" s="62">
        <x:v>2</x:v>
      </x:c>
      <x:c r="C117" s="62" t="s">
        <x:v>1219</x:v>
      </x:c>
      <x:c r="D117" s="62" t="s">
        <x:v>1091</x:v>
      </x:c>
      <x:c r="E117" s="63" t="s">
        <x:v>1220</x:v>
      </x:c>
      <x:c r="F117" s="63" t="s">
        <x:v>1221</x:v>
      </x:c>
      <x:c r="G117" s="44" t="str">
        <x:v>暂时测不了</x:v>
      </x:c>
      <x:c r="H11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7" s="44" t="s">
        <x:v>92</x:v>
      </x:c>
      <x:c r="J117" s="45">
        <x:v>46293</x:v>
      </x:c>
      <x:c r="K117" s="44" t="str">
        <x:v>第十轮报告；r10-data.json；既有轮次证据</x:v>
      </x:c>
      <x:c r="L117" s="44" t="s">
        <x:v>1218</x:v>
      </x:c>
    </x:row>
    <x:row r="118" ht="160" customHeight="1">
      <x:c r="A118" s="62" t="s">
        <x:v>1090</x:v>
      </x:c>
      <x:c r="B118" s="62">
        <x:v>3</x:v>
      </x:c>
      <x:c r="C118" s="62" t="s">
        <x:v>1222</x:v>
      </x:c>
      <x:c r="D118" s="62" t="s">
        <x:v>1091</x:v>
      </x:c>
      <x:c r="E118" s="63" t="s">
        <x:v>1223</x:v>
      </x:c>
      <x:c r="F118" s="63" t="s">
        <x:v>1224</x:v>
      </x:c>
      <x:c r="G118" s="44" t="str">
        <x:v>暂时测不了</x:v>
      </x:c>
      <x:c r="H11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8" s="44" t="s">
        <x:v>92</x:v>
      </x:c>
      <x:c r="J118" s="45">
        <x:v>46293</x:v>
      </x:c>
      <x:c r="K118" s="44" t="str">
        <x:v>第十轮报告；r10-data.json；既有轮次证据</x:v>
      </x:c>
      <x:c r="L118" s="44" t="s">
        <x:v>1218</x:v>
      </x:c>
    </x:row>
    <x:row r="119" ht="160" customHeight="1">
      <x:c r="A119" s="62" t="s">
        <x:v>1090</x:v>
      </x:c>
      <x:c r="B119" s="62">
        <x:v>4</x:v>
      </x:c>
      <x:c r="C119" s="62" t="s">
        <x:v>993</x:v>
      </x:c>
      <x:c r="D119" s="62" t="s">
        <x:v>1091</x:v>
      </x:c>
      <x:c r="E119" s="63" t="s">
        <x:v>1247</x:v>
      </x:c>
      <x:c r="F119" s="63" t="s">
        <x:v>1248</x:v>
      </x:c>
      <x:c r="G119" s="44" t="str">
        <x:v>暂时测不了</x:v>
      </x:c>
      <x:c r="H11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9" s="44" t="s">
        <x:v>92</x:v>
      </x:c>
      <x:c r="J119" s="45">
        <x:v>46293</x:v>
      </x:c>
      <x:c r="K119" s="44" t="str">
        <x:v>第十轮报告；r10-data.json；既有轮次证据</x:v>
      </x:c>
      <x:c r="L119" s="44" t="s">
        <x:v>1218</x:v>
      </x:c>
    </x:row>
    <x:row r="120" ht="160" customHeight="1">
      <x:c r="A120" s="62" t="s">
        <x:v>1090</x:v>
      </x:c>
      <x:c r="B120" s="62">
        <x:v>5</x:v>
      </x:c>
      <x:c r="C120" s="62" t="s">
        <x:v>1227</x:v>
      </x:c>
      <x:c r="D120" s="62" t="s">
        <x:v>1091</x:v>
      </x:c>
      <x:c r="E120" s="63" t="s">
        <x:v>1281</x:v>
      </x:c>
      <x:c r="F120" s="63" t="s">
        <x:v>1093</x:v>
      </x:c>
      <x:c r="G120" s="44" t="str">
        <x:v>暂时测不了</x:v>
      </x:c>
      <x:c r="H120" s="44" t="str">
        <x:v>第十轮：本步尚未作为同一事件完整链路验收。当前步骤：检查短信发送/送达、观察开始/结束、电话接通/播放与新位置；按本轮条件操作目标。 短信后仍在域，电话播放完成后飞离并继续上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0" s="44" t="s">
        <x:v>92</x:v>
      </x:c>
      <x:c r="J120" s="45">
        <x:v>46293</x:v>
      </x:c>
      <x:c r="K120" s="44" t="str">
        <x:v>第十轮报告；r10-data.json；既有轮次证据</x:v>
      </x:c>
      <x:c r="L120" s="44" t="s">
        <x:v>1218</x:v>
      </x:c>
    </x:row>
    <x:row r="121" ht="160" customHeight="1">
      <x:c r="A121" s="62" t="s">
        <x:v>1090</x:v>
      </x:c>
      <x:c r="B121" s="62">
        <x:v>6</x:v>
      </x:c>
      <x:c r="C121" s="62" t="s">
        <x:v>1258</x:v>
      </x:c>
      <x:c r="D121" s="62" t="s">
        <x:v>1091</x:v>
      </x:c>
      <x:c r="E121" s="63" t="s">
        <x:v>1259</x:v>
      </x:c>
      <x:c r="F121" s="63" t="s">
        <x:v>1282</x:v>
      </x:c>
      <x:c r="G121" s="44" t="str">
        <x:v>暂时测不了</x:v>
      </x:c>
      <x:c r="H12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1" s="44" t="s">
        <x:v>92</x:v>
      </x:c>
      <x:c r="J121" s="45">
        <x:v>46293</x:v>
      </x:c>
      <x:c r="K121" s="44" t="str">
        <x:v>第十轮报告；r10-data.json；既有轮次证据</x:v>
      </x:c>
      <x:c r="L121" s="44" t="s">
        <x:v>1218</x:v>
      </x:c>
    </x:row>
    <x:row r="122" ht="160" customHeight="1">
      <x:c r="A122" s="62" t="s">
        <x:v>1090</x:v>
      </x:c>
      <x:c r="B122" s="62">
        <x:v>7</x:v>
      </x:c>
      <x:c r="C122" s="62" t="s">
        <x:v>1261</x:v>
      </x:c>
      <x:c r="D122" s="62" t="s">
        <x:v>1091</x:v>
      </x:c>
      <x:c r="E122" s="63" t="s">
        <x:v>1262</x:v>
      </x:c>
      <x:c r="F122" s="63" t="s">
        <x:v>1263</x:v>
      </x:c>
      <x:c r="G122" s="44" t="str">
        <x:v>暂时测不了</x:v>
      </x:c>
      <x:c r="H12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2" s="44" t="s">
        <x:v>92</x:v>
      </x:c>
      <x:c r="J122" s="45">
        <x:v>46293</x:v>
      </x:c>
      <x:c r="K122" s="44" t="str">
        <x:v>第十轮报告；r10-data.json；既有轮次证据</x:v>
      </x:c>
      <x:c r="L122" s="44" t="s">
        <x:v>1218</x:v>
      </x:c>
    </x:row>
    <x:row r="123" ht="160" customHeight="1">
      <x:c r="A123" s="62" t="s">
        <x:v>1090</x:v>
      </x:c>
      <x:c r="B123" s="62">
        <x:v>8</x:v>
      </x:c>
      <x:c r="C123" s="62" t="s">
        <x:v>1264</x:v>
      </x:c>
      <x:c r="D123" s="62" t="s">
        <x:v>1091</x:v>
      </x:c>
      <x:c r="E123" s="63" t="s">
        <x:v>1265</x:v>
      </x:c>
      <x:c r="F123" s="63" t="s">
        <x:v>1279</x:v>
      </x:c>
      <x:c r="G123" s="44" t="str">
        <x:v>暂时测不了</x:v>
      </x:c>
      <x:c r="H12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3" s="44" t="s">
        <x:v>92</x:v>
      </x:c>
      <x:c r="J123" s="45">
        <x:v>46293</x:v>
      </x:c>
      <x:c r="K123" s="44" t="str">
        <x:v>第十轮报告；r10-data.json；既有轮次证据</x:v>
      </x:c>
      <x:c r="L123" s="44" t="s">
        <x:v>1218</x:v>
      </x:c>
    </x:row>
    <x:row r="124" ht="160" customHeight="1">
      <x:c r="A124" s="62" t="s">
        <x:v>1090</x:v>
      </x:c>
      <x:c r="B124" s="62">
        <x:v>9</x:v>
      </x:c>
      <x:c r="C124" s="62" t="s">
        <x:v>1239</x:v>
      </x:c>
      <x:c r="D124" s="62" t="s">
        <x:v>1091</x:v>
      </x:c>
      <x:c r="E124" s="63" t="s">
        <x:v>1240</x:v>
      </x:c>
      <x:c r="F124" s="63" t="s">
        <x:v>1241</x:v>
      </x:c>
      <x:c r="G124" s="44" t="str">
        <x:v>暂时测不了</x:v>
      </x:c>
      <x:c r="H12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4" s="44" t="s">
        <x:v>92</x:v>
      </x:c>
      <x:c r="J124" s="45">
        <x:v>46293</x:v>
      </x:c>
      <x:c r="K124" s="44" t="str">
        <x:v>第十轮报告；r10-data.json；既有轮次证据</x:v>
      </x:c>
      <x:c r="L124" s="44" t="s">
        <x:v>1218</x:v>
      </x:c>
    </x:row>
    <x:row r="125" ht="160" customHeight="1">
      <x:c r="A125" s="62" t="s">
        <x:v>1090</x:v>
      </x:c>
      <x:c r="B125" s="62">
        <x:v>10</x:v>
      </x:c>
      <x:c r="C125" s="62" t="s">
        <x:v>1242</x:v>
      </x:c>
      <x:c r="D125" s="62" t="s">
        <x:v>1091</x:v>
      </x:c>
      <x:c r="E125" s="63" t="s">
        <x:v>1243</x:v>
      </x:c>
      <x:c r="F125" s="63" t="s">
        <x:v>1244</x:v>
      </x:c>
      <x:c r="G125" s="44" t="str">
        <x:v>暂时测不了</x:v>
      </x:c>
      <x:c r="H12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5" s="44" t="s">
        <x:v>92</x:v>
      </x:c>
      <x:c r="J125" s="45">
        <x:v>46293</x:v>
      </x:c>
      <x:c r="K125" s="44" t="str">
        <x:v>第十轮报告；r10-data.json；既有轮次证据</x:v>
      </x:c>
      <x:c r="L125" s="44" t="s">
        <x:v>1218</x:v>
      </x:c>
    </x:row>
    <x:row r="126" ht="160" customHeight="1">
      <x:c r="A126" s="64" t="s">
        <x:v>1094</x:v>
      </x:c>
      <x:c r="B126" s="64">
        <x:v>1</x:v>
      </x:c>
      <x:c r="C126" s="64" t="s">
        <x:v>1215</x:v>
      </x:c>
      <x:c r="D126" s="64" t="s">
        <x:v>1095</x:v>
      </x:c>
      <x:c r="E126" s="65" t="s">
        <x:v>1249</x:v>
      </x:c>
      <x:c r="F126" s="65" t="s">
        <x:v>1283</x:v>
      </x:c>
      <x:c r="G126" s="66" t="str">
        <x:v>暂时测不了</x:v>
      </x:c>
      <x:c r="H126" s="66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6" s="66" t="s">
        <x:v>92</x:v>
      </x:c>
      <x:c r="J126" s="67">
        <x:v>46293</x:v>
      </x:c>
      <x:c r="K126" s="66" t="str">
        <x:v>第十轮报告；r10-data.json；既有轮次证据</x:v>
      </x:c>
      <x:c r="L126" s="66" t="s">
        <x:v>1218</x:v>
      </x:c>
    </x:row>
    <x:row r="127" ht="160" customHeight="1">
      <x:c r="A127" s="68" t="s">
        <x:v>1094</x:v>
      </x:c>
      <x:c r="B127" s="68">
        <x:v>2</x:v>
      </x:c>
      <x:c r="C127" s="68" t="s">
        <x:v>1219</x:v>
      </x:c>
      <x:c r="D127" s="68" t="s">
        <x:v>1095</x:v>
      </x:c>
      <x:c r="E127" s="69" t="s">
        <x:v>1220</x:v>
      </x:c>
      <x:c r="F127" s="69" t="s">
        <x:v>1221</x:v>
      </x:c>
      <x:c r="G127" s="44" t="str">
        <x:v>暂时测不了</x:v>
      </x:c>
      <x:c r="H12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7" s="44" t="s">
        <x:v>92</x:v>
      </x:c>
      <x:c r="J127" s="45">
        <x:v>46293</x:v>
      </x:c>
      <x:c r="K127" s="44" t="str">
        <x:v>第十轮报告；r10-data.json；既有轮次证据</x:v>
      </x:c>
      <x:c r="L127" s="44" t="s">
        <x:v>1218</x:v>
      </x:c>
    </x:row>
    <x:row r="128" ht="160" customHeight="1">
      <x:c r="A128" s="68" t="s">
        <x:v>1094</x:v>
      </x:c>
      <x:c r="B128" s="68">
        <x:v>3</x:v>
      </x:c>
      <x:c r="C128" s="68" t="s">
        <x:v>1222</x:v>
      </x:c>
      <x:c r="D128" s="68" t="s">
        <x:v>1095</x:v>
      </x:c>
      <x:c r="E128" s="69" t="s">
        <x:v>1223</x:v>
      </x:c>
      <x:c r="F128" s="69" t="s">
        <x:v>1224</x:v>
      </x:c>
      <x:c r="G128" s="44" t="str">
        <x:v>暂时测不了</x:v>
      </x:c>
      <x:c r="H12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8" s="44" t="s">
        <x:v>92</x:v>
      </x:c>
      <x:c r="J128" s="45">
        <x:v>46293</x:v>
      </x:c>
      <x:c r="K128" s="44" t="str">
        <x:v>第十轮报告；r10-data.json；既有轮次证据</x:v>
      </x:c>
      <x:c r="L128" s="44" t="s">
        <x:v>1218</x:v>
      </x:c>
    </x:row>
    <x:row r="129" ht="160" customHeight="1">
      <x:c r="A129" s="68" t="s">
        <x:v>1094</x:v>
      </x:c>
      <x:c r="B129" s="68">
        <x:v>4</x:v>
      </x:c>
      <x:c r="C129" s="68" t="s">
        <x:v>993</x:v>
      </x:c>
      <x:c r="D129" s="68" t="s">
        <x:v>1095</x:v>
      </x:c>
      <x:c r="E129" s="69" t="s">
        <x:v>1247</x:v>
      </x:c>
      <x:c r="F129" s="69" t="s">
        <x:v>1248</x:v>
      </x:c>
      <x:c r="G129" s="44" t="str">
        <x:v>暂时测不了</x:v>
      </x:c>
      <x:c r="H12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9" s="44" t="s">
        <x:v>92</x:v>
      </x:c>
      <x:c r="J129" s="45">
        <x:v>46293</x:v>
      </x:c>
      <x:c r="K129" s="44" t="str">
        <x:v>第十轮报告；r10-data.json；既有轮次证据</x:v>
      </x:c>
      <x:c r="L129" s="44" t="s">
        <x:v>1218</x:v>
      </x:c>
    </x:row>
    <x:row r="130" ht="160" customHeight="1">
      <x:c r="A130" s="68" t="s">
        <x:v>1094</x:v>
      </x:c>
      <x:c r="B130" s="68">
        <x:v>5</x:v>
      </x:c>
      <x:c r="C130" s="68" t="s">
        <x:v>1227</x:v>
      </x:c>
      <x:c r="D130" s="68" t="s">
        <x:v>1095</x:v>
      </x:c>
      <x:c r="E130" s="69" t="s">
        <x:v>1284</x:v>
      </x:c>
      <x:c r="F130" s="69" t="s">
        <x:v>1097</x:v>
      </x:c>
      <x:c r="G130" s="44" t="str">
        <x:v>暂时测不了</x:v>
      </x:c>
      <x:c r="H130" s="44" t="str">
        <x:v>第十轮：本步尚未作为同一事件完整链路验收。当前步骤：检查短信发送/送达、观察开始/结束、电话接通/播放与新位置；按本轮条件操作目标。 短信送达后停掉主辅目标位置，设备心跳保留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0" s="44" t="s">
        <x:v>92</x:v>
      </x:c>
      <x:c r="J130" s="45">
        <x:v>46293</x:v>
      </x:c>
      <x:c r="K130" s="44" t="str">
        <x:v>第十轮报告；r10-data.json；既有轮次证据</x:v>
      </x:c>
      <x:c r="L130" s="44" t="s">
        <x:v>1218</x:v>
      </x:c>
    </x:row>
    <x:row r="131" ht="160" customHeight="1">
      <x:c r="A131" s="68" t="s">
        <x:v>1094</x:v>
      </x:c>
      <x:c r="B131" s="68">
        <x:v>6</x:v>
      </x:c>
      <x:c r="C131" s="68" t="s">
        <x:v>1258</x:v>
      </x:c>
      <x:c r="D131" s="68" t="s">
        <x:v>1095</x:v>
      </x:c>
      <x:c r="E131" s="69" t="s">
        <x:v>1259</x:v>
      </x:c>
      <x:c r="F131" s="69" t="s">
        <x:v>1285</x:v>
      </x:c>
      <x:c r="G131" s="44" t="str">
        <x:v>暂时测不了</x:v>
      </x:c>
      <x:c r="H13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1" s="44" t="s">
        <x:v>92</x:v>
      </x:c>
      <x:c r="J131" s="45">
        <x:v>46293</x:v>
      </x:c>
      <x:c r="K131" s="44" t="str">
        <x:v>第十轮报告；r10-data.json；既有轮次证据</x:v>
      </x:c>
      <x:c r="L131" s="44" t="s">
        <x:v>1218</x:v>
      </x:c>
    </x:row>
    <x:row r="132" ht="160" customHeight="1">
      <x:c r="A132" s="68" t="s">
        <x:v>1094</x:v>
      </x:c>
      <x:c r="B132" s="68">
        <x:v>7</x:v>
      </x:c>
      <x:c r="C132" s="68" t="s">
        <x:v>1261</x:v>
      </x:c>
      <x:c r="D132" s="68" t="s">
        <x:v>1095</x:v>
      </x:c>
      <x:c r="E132" s="69" t="s">
        <x:v>1262</x:v>
      </x:c>
      <x:c r="F132" s="69" t="s">
        <x:v>1263</x:v>
      </x:c>
      <x:c r="G132" s="44" t="str">
        <x:v>暂时测不了</x:v>
      </x:c>
      <x:c r="H13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2" s="44" t="s">
        <x:v>92</x:v>
      </x:c>
      <x:c r="J132" s="45">
        <x:v>46293</x:v>
      </x:c>
      <x:c r="K132" s="44" t="str">
        <x:v>第十轮报告；r10-data.json；既有轮次证据</x:v>
      </x:c>
      <x:c r="L132" s="44" t="s">
        <x:v>1218</x:v>
      </x:c>
    </x:row>
    <x:row r="133" ht="160" customHeight="1">
      <x:c r="A133" s="68" t="s">
        <x:v>1094</x:v>
      </x:c>
      <x:c r="B133" s="68">
        <x:v>8</x:v>
      </x:c>
      <x:c r="C133" s="68" t="s">
        <x:v>1264</x:v>
      </x:c>
      <x:c r="D133" s="68" t="s">
        <x:v>1095</x:v>
      </x:c>
      <x:c r="E133" s="69" t="s">
        <x:v>1265</x:v>
      </x:c>
      <x:c r="F133" s="69" t="s">
        <x:v>1279</x:v>
      </x:c>
      <x:c r="G133" s="44" t="str">
        <x:v>暂时测不了</x:v>
      </x:c>
      <x:c r="H13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3" s="44" t="s">
        <x:v>92</x:v>
      </x:c>
      <x:c r="J133" s="45">
        <x:v>46293</x:v>
      </x:c>
      <x:c r="K133" s="44" t="str">
        <x:v>第十轮报告；r10-data.json；既有轮次证据</x:v>
      </x:c>
      <x:c r="L133" s="44" t="s">
        <x:v>1218</x:v>
      </x:c>
    </x:row>
    <x:row r="134" ht="160" customHeight="1">
      <x:c r="A134" s="68" t="s">
        <x:v>1094</x:v>
      </x:c>
      <x:c r="B134" s="68">
        <x:v>9</x:v>
      </x:c>
      <x:c r="C134" s="68" t="s">
        <x:v>1239</x:v>
      </x:c>
      <x:c r="D134" s="68" t="s">
        <x:v>1095</x:v>
      </x:c>
      <x:c r="E134" s="69" t="s">
        <x:v>1240</x:v>
      </x:c>
      <x:c r="F134" s="69" t="s">
        <x:v>1241</x:v>
      </x:c>
      <x:c r="G134" s="44" t="str">
        <x:v>暂时测不了</x:v>
      </x:c>
      <x:c r="H13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4" s="44" t="s">
        <x:v>92</x:v>
      </x:c>
      <x:c r="J134" s="45">
        <x:v>46293</x:v>
      </x:c>
      <x:c r="K134" s="44" t="str">
        <x:v>第十轮报告；r10-data.json；既有轮次证据</x:v>
      </x:c>
      <x:c r="L134" s="44" t="s">
        <x:v>1218</x:v>
      </x:c>
    </x:row>
    <x:row r="135" ht="160" customHeight="1">
      <x:c r="A135" s="68" t="s">
        <x:v>1094</x:v>
      </x:c>
      <x:c r="B135" s="68">
        <x:v>10</x:v>
      </x:c>
      <x:c r="C135" s="68" t="s">
        <x:v>1242</x:v>
      </x:c>
      <x:c r="D135" s="68" t="s">
        <x:v>1095</x:v>
      </x:c>
      <x:c r="E135" s="69" t="s">
        <x:v>1243</x:v>
      </x:c>
      <x:c r="F135" s="69" t="s">
        <x:v>1244</x:v>
      </x:c>
      <x:c r="G135" s="44" t="str">
        <x:v>暂时测不了</x:v>
      </x:c>
      <x:c r="H13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5" s="44" t="s">
        <x:v>92</x:v>
      </x:c>
      <x:c r="J135" s="45">
        <x:v>46293</x:v>
      </x:c>
      <x:c r="K135" s="44" t="str">
        <x:v>第十轮报告；r10-data.json；既有轮次证据</x:v>
      </x:c>
      <x:c r="L135" s="44" t="s">
        <x:v>1218</x:v>
      </x:c>
    </x:row>
    <x:row r="136" ht="160" customHeight="1">
      <x:c r="A136" s="70" t="s">
        <x:v>1098</x:v>
      </x:c>
      <x:c r="B136" s="70">
        <x:v>1</x:v>
      </x:c>
      <x:c r="C136" s="70" t="s">
        <x:v>1215</x:v>
      </x:c>
      <x:c r="D136" s="70" t="s">
        <x:v>1099</x:v>
      </x:c>
      <x:c r="E136" s="71" t="s">
        <x:v>1249</x:v>
      </x:c>
      <x:c r="F136" s="71" t="s">
        <x:v>1286</x:v>
      </x:c>
      <x:c r="G136" s="72" t="str">
        <x:v>暂时测不了</x:v>
      </x:c>
      <x:c r="H136" s="72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6" s="72" t="s">
        <x:v>92</x:v>
      </x:c>
      <x:c r="J136" s="73">
        <x:v>46293</x:v>
      </x:c>
      <x:c r="K136" s="72" t="str">
        <x:v>第十轮报告；r10-data.json；既有轮次证据</x:v>
      </x:c>
      <x:c r="L136" s="72" t="s">
        <x:v>1218</x:v>
      </x:c>
    </x:row>
    <x:row r="137" ht="160" customHeight="1">
      <x:c r="A137" s="74" t="s">
        <x:v>1098</x:v>
      </x:c>
      <x:c r="B137" s="74">
        <x:v>2</x:v>
      </x:c>
      <x:c r="C137" s="74" t="s">
        <x:v>1219</x:v>
      </x:c>
      <x:c r="D137" s="74" t="s">
        <x:v>1099</x:v>
      </x:c>
      <x:c r="E137" s="75" t="s">
        <x:v>1220</x:v>
      </x:c>
      <x:c r="F137" s="75" t="s">
        <x:v>1221</x:v>
      </x:c>
      <x:c r="G137" s="44" t="str">
        <x:v>暂时测不了</x:v>
      </x:c>
      <x:c r="H13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7" s="44" t="s">
        <x:v>92</x:v>
      </x:c>
      <x:c r="J137" s="45">
        <x:v>46293</x:v>
      </x:c>
      <x:c r="K137" s="44" t="str">
        <x:v>第十轮报告；r10-data.json；既有轮次证据</x:v>
      </x:c>
      <x:c r="L137" s="44" t="s">
        <x:v>1218</x:v>
      </x:c>
    </x:row>
    <x:row r="138" ht="160" customHeight="1">
      <x:c r="A138" s="74" t="s">
        <x:v>1098</x:v>
      </x:c>
      <x:c r="B138" s="74">
        <x:v>3</x:v>
      </x:c>
      <x:c r="C138" s="74" t="s">
        <x:v>1222</x:v>
      </x:c>
      <x:c r="D138" s="74" t="s">
        <x:v>1099</x:v>
      </x:c>
      <x:c r="E138" s="75" t="s">
        <x:v>1223</x:v>
      </x:c>
      <x:c r="F138" s="75" t="s">
        <x:v>1224</x:v>
      </x:c>
      <x:c r="G138" s="44" t="str">
        <x:v>暂时测不了</x:v>
      </x:c>
      <x:c r="H13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8" s="44" t="s">
        <x:v>92</x:v>
      </x:c>
      <x:c r="J138" s="45">
        <x:v>46293</x:v>
      </x:c>
      <x:c r="K138" s="44" t="str">
        <x:v>第十轮报告；r10-data.json；既有轮次证据</x:v>
      </x:c>
      <x:c r="L138" s="44" t="s">
        <x:v>1218</x:v>
      </x:c>
    </x:row>
    <x:row r="139" ht="160" customHeight="1">
      <x:c r="A139" s="74" t="s">
        <x:v>1098</x:v>
      </x:c>
      <x:c r="B139" s="74">
        <x:v>4</x:v>
      </x:c>
      <x:c r="C139" s="74" t="s">
        <x:v>993</x:v>
      </x:c>
      <x:c r="D139" s="74" t="s">
        <x:v>1099</x:v>
      </x:c>
      <x:c r="E139" s="75" t="s">
        <x:v>1247</x:v>
      </x:c>
      <x:c r="F139" s="75" t="s">
        <x:v>1248</x:v>
      </x:c>
      <x:c r="G139" s="44" t="str">
        <x:v>暂时测不了</x:v>
      </x:c>
      <x:c r="H13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9" s="44" t="s">
        <x:v>92</x:v>
      </x:c>
      <x:c r="J139" s="45">
        <x:v>46293</x:v>
      </x:c>
      <x:c r="K139" s="44" t="str">
        <x:v>第十轮报告；r10-data.json；既有轮次证据</x:v>
      </x:c>
      <x:c r="L139" s="44" t="s">
        <x:v>1218</x:v>
      </x:c>
    </x:row>
    <x:row r="140" ht="160" customHeight="1">
      <x:c r="A140" s="74" t="s">
        <x:v>1098</x:v>
      </x:c>
      <x:c r="B140" s="74">
        <x:v>5</x:v>
      </x:c>
      <x:c r="C140" s="74" t="s">
        <x:v>1227</x:v>
      </x:c>
      <x:c r="D140" s="74" t="s">
        <x:v>1099</x:v>
      </x:c>
      <x:c r="E140" s="75" t="s">
        <x:v>1287</x:v>
      </x:c>
      <x:c r="F140" s="75" t="s">
        <x:v>1288</x:v>
      </x:c>
      <x:c r="G140" s="44" t="str">
        <x:v>暂时测不了</x:v>
      </x:c>
      <x:c r="H140" s="44" t="str">
        <x:v>第十轮：本步尚未作为同一事件完整链路验收。当前步骤：检查短信发送/送达、观察开始/结束、电话接通/播放与新位置；按本轮条件操作目标。 分别测试无核验飞手、短信不可用、电话不可用三个子批次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0" s="44" t="s">
        <x:v>92</x:v>
      </x:c>
      <x:c r="J140" s="45">
        <x:v>46293</x:v>
      </x:c>
      <x:c r="K140" s="44" t="str">
        <x:v>第十轮报告；r10-data.json；既有轮次证据</x:v>
      </x:c>
      <x:c r="L140" s="44" t="s">
        <x:v>1218</x:v>
      </x:c>
    </x:row>
    <x:row r="141" ht="160" customHeight="1">
      <x:c r="A141" s="74" t="s">
        <x:v>1098</x:v>
      </x:c>
      <x:c r="B141" s="74">
        <x:v>6</x:v>
      </x:c>
      <x:c r="C141" s="74" t="s">
        <x:v>1230</x:v>
      </x:c>
      <x:c r="D141" s="74" t="s">
        <x:v>1099</x:v>
      </x:c>
      <x:c r="E141" s="75" t="s">
        <x:v>1245</x:v>
      </x:c>
      <x:c r="F141" s="75" t="s">
        <x:v>1246</x:v>
      </x:c>
      <x:c r="G141" s="44" t="str">
        <x:v>暂时测不了</x:v>
      </x:c>
      <x:c r="H14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1" s="44" t="s">
        <x:v>92</x:v>
      </x:c>
      <x:c r="J141" s="45">
        <x:v>46293</x:v>
      </x:c>
      <x:c r="K141" s="44" t="str">
        <x:v>第十轮报告；r10-data.json；既有轮次证据</x:v>
      </x:c>
      <x:c r="L141" s="44" t="s">
        <x:v>1218</x:v>
      </x:c>
    </x:row>
    <x:row r="142" ht="160" customHeight="1">
      <x:c r="A142" s="74" t="s">
        <x:v>1098</x:v>
      </x:c>
      <x:c r="B142" s="74">
        <x:v>7</x:v>
      </x:c>
      <x:c r="C142" s="74" t="s">
        <x:v>1289</x:v>
      </x:c>
      <x:c r="D142" s="74" t="s">
        <x:v>1099</x:v>
      </x:c>
      <x:c r="E142" s="75" t="s">
        <x:v>1290</x:v>
      </x:c>
      <x:c r="F142" s="75" t="s">
        <x:v>1291</x:v>
      </x:c>
      <x:c r="G142" s="44" t="str">
        <x:v>暂时测不了</x:v>
      </x:c>
      <x:c r="H14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2" s="44" t="s">
        <x:v>92</x:v>
      </x:c>
      <x:c r="J142" s="45">
        <x:v>46293</x:v>
      </x:c>
      <x:c r="K142" s="44" t="str">
        <x:v>第十轮报告；r10-data.json；既有轮次证据</x:v>
      </x:c>
      <x:c r="L142" s="44" t="s">
        <x:v>1218</x:v>
      </x:c>
    </x:row>
    <x:row r="143" ht="160" customHeight="1">
      <x:c r="A143" s="74" t="s">
        <x:v>1098</x:v>
      </x:c>
      <x:c r="B143" s="74">
        <x:v>8</x:v>
      </x:c>
      <x:c r="C143" s="74" t="s">
        <x:v>1236</x:v>
      </x:c>
      <x:c r="D143" s="74" t="s">
        <x:v>1099</x:v>
      </x:c>
      <x:c r="E143" s="75" t="s">
        <x:v>1292</x:v>
      </x:c>
      <x:c r="F143" s="75" t="s">
        <x:v>1238</x:v>
      </x:c>
      <x:c r="G143" s="44" t="str">
        <x:v>暂时测不了</x:v>
      </x:c>
      <x:c r="H143" s="44" t="str">
        <x:v>第十轮：本步尚未作为同一事件完整链路验收。当前步骤：设备结果满足通知处罚条件后，不点击通知按钮，观察自动办理。 回读交接材料、送达、签收和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3" s="44" t="s">
        <x:v>92</x:v>
      </x:c>
      <x:c r="J143" s="45">
        <x:v>46293</x:v>
      </x:c>
      <x:c r="K143" s="44" t="str">
        <x:v>第十轮报告；r10-data.json；既有轮次证据</x:v>
      </x:c>
      <x:c r="L143" s="44" t="s">
        <x:v>1218</x:v>
      </x:c>
    </x:row>
    <x:row r="144" ht="160" customHeight="1">
      <x:c r="A144" s="74" t="s">
        <x:v>1098</x:v>
      </x:c>
      <x:c r="B144" s="74">
        <x:v>9</x:v>
      </x:c>
      <x:c r="C144" s="74" t="s">
        <x:v>1239</x:v>
      </x:c>
      <x:c r="D144" s="74" t="s">
        <x:v>1099</x:v>
      </x:c>
      <x:c r="E144" s="75" t="s">
        <x:v>1240</x:v>
      </x:c>
      <x:c r="F144" s="75" t="s">
        <x:v>1241</x:v>
      </x:c>
      <x:c r="G144" s="44" t="str">
        <x:v>暂时测不了</x:v>
      </x:c>
      <x:c r="H14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4" s="44" t="s">
        <x:v>92</x:v>
      </x:c>
      <x:c r="J144" s="45">
        <x:v>46293</x:v>
      </x:c>
      <x:c r="K144" s="44" t="str">
        <x:v>第十轮报告；r10-data.json；既有轮次证据</x:v>
      </x:c>
      <x:c r="L144" s="44" t="s">
        <x:v>1218</x:v>
      </x:c>
    </x:row>
    <x:row r="145" ht="160" customHeight="1">
      <x:c r="A145" s="74" t="s">
        <x:v>1098</x:v>
      </x:c>
      <x:c r="B145" s="74">
        <x:v>10</x:v>
      </x:c>
      <x:c r="C145" s="74" t="s">
        <x:v>1242</x:v>
      </x:c>
      <x:c r="D145" s="74" t="s">
        <x:v>1099</x:v>
      </x:c>
      <x:c r="E145" s="75" t="s">
        <x:v>1243</x:v>
      </x:c>
      <x:c r="F145" s="75" t="s">
        <x:v>1244</x:v>
      </x:c>
      <x:c r="G145" s="44" t="str">
        <x:v>暂时测不了</x:v>
      </x:c>
      <x:c r="H14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5" s="44" t="s">
        <x:v>92</x:v>
      </x:c>
      <x:c r="J145" s="45">
        <x:v>46293</x:v>
      </x:c>
      <x:c r="K145" s="44" t="str">
        <x:v>第十轮报告；r10-data.json；既有轮次证据</x:v>
      </x:c>
      <x:c r="L145" s="44" t="s">
        <x:v>1218</x:v>
      </x:c>
    </x:row>
    <x:row r="146" ht="160" customHeight="1">
      <x:c r="A146" s="76" t="s">
        <x:v>1102</x:v>
      </x:c>
      <x:c r="B146" s="76">
        <x:v>1</x:v>
      </x:c>
      <x:c r="C146" s="76" t="s">
        <x:v>1215</x:v>
      </x:c>
      <x:c r="D146" s="76" t="s">
        <x:v>1103</x:v>
      </x:c>
      <x:c r="E146" s="77" t="s">
        <x:v>1293</x:v>
      </x:c>
      <x:c r="F146" s="77" t="s">
        <x:v>1294</x:v>
      </x:c>
      <x:c r="G146" s="78" t="str">
        <x:v>暂时测不了</x:v>
      </x:c>
      <x:c r="H146" s="78" t="str">
        <x:v>第十轮：本步尚未作为同一事件完整链路验收。当前步骤：按M8→M1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6" s="78" t="s">
        <x:v>92</x:v>
      </x:c>
      <x:c r="J146" s="79">
        <x:v>46293</x:v>
      </x:c>
      <x:c r="K146" s="78" t="str">
        <x:v>第十轮报告；r10-data.json；既有轮次证据</x:v>
      </x:c>
      <x:c r="L146" s="78" t="s">
        <x:v>1218</x:v>
      </x:c>
    </x:row>
    <x:row r="147" ht="160" customHeight="1">
      <x:c r="A147" s="80" t="s">
        <x:v>1102</x:v>
      </x:c>
      <x:c r="B147" s="80">
        <x:v>2</x:v>
      </x:c>
      <x:c r="C147" s="80" t="s">
        <x:v>1219</x:v>
      </x:c>
      <x:c r="D147" s="80" t="s">
        <x:v>1103</x:v>
      </x:c>
      <x:c r="E147" s="81" t="s">
        <x:v>1220</x:v>
      </x:c>
      <x:c r="F147" s="81" t="s">
        <x:v>1221</x:v>
      </x:c>
      <x:c r="G147" s="44" t="str">
        <x:v>暂时测不了</x:v>
      </x:c>
      <x:c r="H14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7" s="44" t="s">
        <x:v>92</x:v>
      </x:c>
      <x:c r="J147" s="45">
        <x:v>46293</x:v>
      </x:c>
      <x:c r="K147" s="44" t="str">
        <x:v>第十轮报告；r10-data.json；既有轮次证据</x:v>
      </x:c>
      <x:c r="L147" s="44" t="s">
        <x:v>1218</x:v>
      </x:c>
    </x:row>
    <x:row r="148" ht="160" customHeight="1">
      <x:c r="A148" s="80" t="s">
        <x:v>1102</x:v>
      </x:c>
      <x:c r="B148" s="80">
        <x:v>3</x:v>
      </x:c>
      <x:c r="C148" s="80" t="s">
        <x:v>1222</x:v>
      </x:c>
      <x:c r="D148" s="80" t="s">
        <x:v>1103</x:v>
      </x:c>
      <x:c r="E148" s="81" t="s">
        <x:v>1223</x:v>
      </x:c>
      <x:c r="F148" s="81" t="s">
        <x:v>1224</x:v>
      </x:c>
      <x:c r="G148" s="44" t="str">
        <x:v>暂时测不了</x:v>
      </x:c>
      <x:c r="H14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8" s="44" t="s">
        <x:v>92</x:v>
      </x:c>
      <x:c r="J148" s="45">
        <x:v>46293</x:v>
      </x:c>
      <x:c r="K148" s="44" t="str">
        <x:v>第十轮报告；r10-data.json；既有轮次证据</x:v>
      </x:c>
      <x:c r="L148" s="44" t="s">
        <x:v>1218</x:v>
      </x:c>
    </x:row>
    <x:row r="149" ht="160" customHeight="1">
      <x:c r="A149" s="80" t="s">
        <x:v>1102</x:v>
      </x:c>
      <x:c r="B149" s="80">
        <x:v>4</x:v>
      </x:c>
      <x:c r="C149" s="80" t="s">
        <x:v>993</x:v>
      </x:c>
      <x:c r="D149" s="80" t="s">
        <x:v>1103</x:v>
      </x:c>
      <x:c r="E149" s="81" t="s">
        <x:v>1295</x:v>
      </x:c>
      <x:c r="F149" s="81" t="s">
        <x:v>1296</x:v>
      </x:c>
      <x:c r="G149" s="44" t="str">
        <x:v>暂时测不了</x:v>
      </x:c>
      <x:c r="H149" s="44" t="str">
        <x:v>第十轮：本步尚未作为同一事件完整链路验收。当前步骤：用值班账号核实属实；提交前先观察系统是否等待人工。 本节点另用独立子批次执行：在核实前、反制排队未下发、通知处罚尚未发送三个节点，分别保存为手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9" s="44" t="s">
        <x:v>92</x:v>
      </x:c>
      <x:c r="J149" s="45">
        <x:v>46293</x:v>
      </x:c>
      <x:c r="K149" s="44" t="str">
        <x:v>第十轮报告；r10-data.json；既有轮次证据</x:v>
      </x:c>
      <x:c r="L149" s="44" t="s">
        <x:v>1218</x:v>
      </x:c>
    </x:row>
    <x:row r="150" ht="160" customHeight="1">
      <x:c r="A150" s="80" t="s">
        <x:v>1102</x:v>
      </x:c>
      <x:c r="B150" s="80">
        <x:v>5</x:v>
      </x:c>
      <x:c r="C150" s="80" t="s">
        <x:v>1227</x:v>
      </x:c>
      <x:c r="D150" s="80" t="s">
        <x:v>1103</x:v>
      </x:c>
      <x:c r="E150" s="81" t="s">
        <x:v>1228</x:v>
      </x:c>
      <x:c r="F150" s="81" t="s">
        <x:v>1229</x:v>
      </x:c>
      <x:c r="G150" s="44" t="str">
        <x:v>暂时测不了</x:v>
      </x:c>
      <x:c r="H15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0" s="44" t="s">
        <x:v>92</x:v>
      </x:c>
      <x:c r="J150" s="45">
        <x:v>46293</x:v>
      </x:c>
      <x:c r="K150" s="44" t="str">
        <x:v>第十轮报告；r10-data.json；既有轮次证据</x:v>
      </x:c>
      <x:c r="L150" s="44" t="s">
        <x:v>1218</x:v>
      </x:c>
    </x:row>
    <x:row r="151" ht="160" customHeight="1">
      <x:c r="A151" s="80" t="s">
        <x:v>1102</x:v>
      </x:c>
      <x:c r="B151" s="80">
        <x:v>6</x:v>
      </x:c>
      <x:c r="C151" s="80" t="s">
        <x:v>1230</x:v>
      </x:c>
      <x:c r="D151" s="80" t="s">
        <x:v>1103</x:v>
      </x:c>
      <x:c r="E151" s="81" t="s">
        <x:v>1297</x:v>
      </x:c>
      <x:c r="F151" s="81" t="s">
        <x:v>1298</x:v>
      </x:c>
      <x:c r="G151" s="44" t="str">
        <x:v>暂时测不了</x:v>
      </x:c>
      <x:c r="H151" s="44" t="str">
        <x:v>第十轮：本步尚未作为同一事件完整链路验收。当前步骤：等待人工接手，发起申请；换有权审批账号批准，再由执行账号操作测试设备。 本节点另用独立子批次执行：在核实前、反制排队未下发、通知处罚尚未发送三个节点，分别保存为手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1" s="44" t="s">
        <x:v>92</x:v>
      </x:c>
      <x:c r="J151" s="45">
        <x:v>46293</x:v>
      </x:c>
      <x:c r="K151" s="44" t="str">
        <x:v>第十轮报告；r10-data.json；既有轮次证据</x:v>
      </x:c>
      <x:c r="L151" s="44" t="s">
        <x:v>1218</x:v>
      </x:c>
    </x:row>
    <x:row r="152" ht="160" customHeight="1">
      <x:c r="A152" s="80" t="s">
        <x:v>1102</x:v>
      </x:c>
      <x:c r="B152" s="80">
        <x:v>7</x:v>
      </x:c>
      <x:c r="C152" s="80" t="s">
        <x:v>1289</x:v>
      </x:c>
      <x:c r="D152" s="80" t="s">
        <x:v>1103</x:v>
      </x:c>
      <x:c r="E152" s="81" t="s">
        <x:v>1290</x:v>
      </x:c>
      <x:c r="F152" s="81" t="s">
        <x:v>1291</x:v>
      </x:c>
      <x:c r="G152" s="44" t="str">
        <x:v>暂时测不了</x:v>
      </x:c>
      <x:c r="H15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2" s="44" t="s">
        <x:v>92</x:v>
      </x:c>
      <x:c r="J152" s="45">
        <x:v>46293</x:v>
      </x:c>
      <x:c r="K152" s="44" t="str">
        <x:v>第十轮报告；r10-data.json；既有轮次证据</x:v>
      </x:c>
      <x:c r="L152" s="44" t="s">
        <x:v>1218</x:v>
      </x:c>
    </x:row>
    <x:row r="153" ht="160" customHeight="1">
      <x:c r="A153" s="80" t="s">
        <x:v>1102</x:v>
      </x:c>
      <x:c r="B153" s="80">
        <x:v>8</x:v>
      </x:c>
      <x:c r="C153" s="80" t="s">
        <x:v>1236</x:v>
      </x:c>
      <x:c r="D153" s="80" t="s">
        <x:v>1103</x:v>
      </x:c>
      <x:c r="E153" s="81" t="s">
        <x:v>1299</x:v>
      </x:c>
      <x:c r="F153" s="81" t="s">
        <x:v>1300</x:v>
      </x:c>
      <x:c r="G153" s="44" t="str">
        <x:v>暂时测不了</x:v>
      </x:c>
      <x:c r="H153" s="44" t="str">
        <x:v>第十轮：本步尚未作为同一事件完整链路验收。当前步骤：设备结果满足条件后，先确认系统等待人工，再由有权人员通知处罚部门。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3" s="44" t="s">
        <x:v>92</x:v>
      </x:c>
      <x:c r="J153" s="45">
        <x:v>46293</x:v>
      </x:c>
      <x:c r="K153" s="44" t="str">
        <x:v>第十轮报告；r10-data.json；既有轮次证据</x:v>
      </x:c>
      <x:c r="L153" s="44" t="s">
        <x:v>1218</x:v>
      </x:c>
    </x:row>
    <x:row r="154" ht="160" customHeight="1">
      <x:c r="A154" s="80" t="s">
        <x:v>1102</x:v>
      </x:c>
      <x:c r="B154" s="80">
        <x:v>9</x:v>
      </x:c>
      <x:c r="C154" s="80" t="s">
        <x:v>1239</x:v>
      </x:c>
      <x:c r="D154" s="80" t="s">
        <x:v>1103</x:v>
      </x:c>
      <x:c r="E154" s="81" t="s">
        <x:v>1240</x:v>
      </x:c>
      <x:c r="F154" s="81" t="s">
        <x:v>1241</x:v>
      </x:c>
      <x:c r="G154" s="44" t="str">
        <x:v>暂时测不了</x:v>
      </x:c>
      <x:c r="H15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4" s="44" t="s">
        <x:v>92</x:v>
      </x:c>
      <x:c r="J154" s="45">
        <x:v>46293</x:v>
      </x:c>
      <x:c r="K154" s="44" t="str">
        <x:v>第十轮报告；r10-data.json；既有轮次证据</x:v>
      </x:c>
      <x:c r="L154" s="44" t="s">
        <x:v>1218</x:v>
      </x:c>
    </x:row>
    <x:row r="155" ht="160" customHeight="1">
      <x:c r="A155" s="80" t="s">
        <x:v>1102</x:v>
      </x:c>
      <x:c r="B155" s="80">
        <x:v>10</x:v>
      </x:c>
      <x:c r="C155" s="80" t="s">
        <x:v>1242</x:v>
      </x:c>
      <x:c r="D155" s="80" t="s">
        <x:v>1103</x:v>
      </x:c>
      <x:c r="E155" s="81" t="s">
        <x:v>1243</x:v>
      </x:c>
      <x:c r="F155" s="81" t="s">
        <x:v>1244</x:v>
      </x:c>
      <x:c r="G155" s="44" t="str">
        <x:v>暂时测不了</x:v>
      </x:c>
      <x:c r="H15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5" s="44" t="s">
        <x:v>92</x:v>
      </x:c>
      <x:c r="J155" s="45">
        <x:v>46293</x:v>
      </x:c>
      <x:c r="K155" s="44" t="str">
        <x:v>第十轮报告；r10-data.json；既有轮次证据</x:v>
      </x:c>
      <x:c r="L155" s="44" t="s">
        <x:v>1218</x:v>
      </x:c>
    </x:row>
    <x:row r="156" ht="160" customHeight="1">
      <x:c r="A156" s="82" t="s">
        <x:v>1107</x:v>
      </x:c>
      <x:c r="B156" s="82">
        <x:v>1</x:v>
      </x:c>
      <x:c r="C156" s="82" t="s">
        <x:v>1215</x:v>
      </x:c>
      <x:c r="D156" s="82" t="s">
        <x:v>1108</x:v>
      </x:c>
      <x:c r="E156" s="83" t="s">
        <x:v>1301</x:v>
      </x:c>
      <x:c r="F156" s="83" t="s">
        <x:v>1302</x:v>
      </x:c>
      <x:c r="G156" s="84" t="str">
        <x:v>暂时测不了</x:v>
      </x:c>
      <x:c r="H156" s="84" t="str">
        <x:v>第十轮：本步尚未作为同一事件完整链路验收。当前步骤：按M1→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6" s="84" t="s">
        <x:v>92</x:v>
      </x:c>
      <x:c r="J156" s="85">
        <x:v>46293</x:v>
      </x:c>
      <x:c r="K156" s="84" t="str">
        <x:v>第十轮报告；r10-data.json；既有轮次证据</x:v>
      </x:c>
      <x:c r="L156" s="84" t="s">
        <x:v>1218</x:v>
      </x:c>
    </x:row>
    <x:row r="157" ht="160" customHeight="1">
      <x:c r="A157" s="86" t="s">
        <x:v>1107</x:v>
      </x:c>
      <x:c r="B157" s="86">
        <x:v>2</x:v>
      </x:c>
      <x:c r="C157" s="86" t="s">
        <x:v>1219</x:v>
      </x:c>
      <x:c r="D157" s="86" t="s">
        <x:v>1108</x:v>
      </x:c>
      <x:c r="E157" s="87" t="s">
        <x:v>1220</x:v>
      </x:c>
      <x:c r="F157" s="87" t="s">
        <x:v>1221</x:v>
      </x:c>
      <x:c r="G157" s="44" t="str">
        <x:v>暂时测不了</x:v>
      </x:c>
      <x:c r="H15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7" s="44" t="s">
        <x:v>92</x:v>
      </x:c>
      <x:c r="J157" s="45">
        <x:v>46293</x:v>
      </x:c>
      <x:c r="K157" s="44" t="str">
        <x:v>第十轮报告；r10-data.json；既有轮次证据</x:v>
      </x:c>
      <x:c r="L157" s="44" t="s">
        <x:v>1218</x:v>
      </x:c>
    </x:row>
    <x:row r="158" ht="160" customHeight="1">
      <x:c r="A158" s="86" t="s">
        <x:v>1107</x:v>
      </x:c>
      <x:c r="B158" s="86">
        <x:v>3</x:v>
      </x:c>
      <x:c r="C158" s="86" t="s">
        <x:v>1222</x:v>
      </x:c>
      <x:c r="D158" s="86" t="s">
        <x:v>1108</x:v>
      </x:c>
      <x:c r="E158" s="87" t="s">
        <x:v>1223</x:v>
      </x:c>
      <x:c r="F158" s="87" t="s">
        <x:v>1224</x:v>
      </x:c>
      <x:c r="G158" s="44" t="str">
        <x:v>暂时测不了</x:v>
      </x:c>
      <x:c r="H15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8" s="44" t="s">
        <x:v>92</x:v>
      </x:c>
      <x:c r="J158" s="45">
        <x:v>46293</x:v>
      </x:c>
      <x:c r="K158" s="44" t="str">
        <x:v>第十轮报告；r10-data.json；既有轮次证据</x:v>
      </x:c>
      <x:c r="L158" s="44" t="s">
        <x:v>1218</x:v>
      </x:c>
    </x:row>
    <x:row r="159" ht="160" customHeight="1">
      <x:c r="A159" s="86" t="s">
        <x:v>1107</x:v>
      </x:c>
      <x:c r="B159" s="86">
        <x:v>4</x:v>
      </x:c>
      <x:c r="C159" s="86" t="s">
        <x:v>993</x:v>
      </x:c>
      <x:c r="D159" s="86" t="s">
        <x:v>1108</x:v>
      </x:c>
      <x:c r="E159" s="87" t="s">
        <x:v>1303</x:v>
      </x:c>
      <x:c r="F159" s="87" t="s">
        <x:v>1304</x:v>
      </x:c>
      <x:c r="G159" s="44" t="str">
        <x:v>暂时测不了</x:v>
      </x:c>
      <x:c r="H159" s="44" t="str">
        <x:v>第十轮：本步尚未作为同一事件完整链路验收。当前步骤：不点击核实，等待已启用规则满足。 本节点另用独立子批次执行：分别在待核实、待反制、可通知处罚但尚未发送时改为自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9" s="44" t="s">
        <x:v>92</x:v>
      </x:c>
      <x:c r="J159" s="45">
        <x:v>46293</x:v>
      </x:c>
      <x:c r="K159" s="44" t="str">
        <x:v>第十轮报告；r10-data.json；既有轮次证据</x:v>
      </x:c>
      <x:c r="L159" s="44" t="s">
        <x:v>1218</x:v>
      </x:c>
    </x:row>
    <x:row r="160" ht="160" customHeight="1">
      <x:c r="A160" s="86" t="s">
        <x:v>1107</x:v>
      </x:c>
      <x:c r="B160" s="86">
        <x:v>5</x:v>
      </x:c>
      <x:c r="C160" s="86" t="s">
        <x:v>1227</x:v>
      </x:c>
      <x:c r="D160" s="86" t="s">
        <x:v>1108</x:v>
      </x:c>
      <x:c r="E160" s="87" t="s">
        <x:v>1228</x:v>
      </x:c>
      <x:c r="F160" s="87" t="s">
        <x:v>1229</x:v>
      </x:c>
      <x:c r="G160" s="44" t="str">
        <x:v>暂时测不了</x:v>
      </x:c>
      <x:c r="H16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0" s="44" t="s">
        <x:v>92</x:v>
      </x:c>
      <x:c r="J160" s="45">
        <x:v>46293</x:v>
      </x:c>
      <x:c r="K160" s="44" t="str">
        <x:v>第十轮报告；r10-data.json；既有轮次证据</x:v>
      </x:c>
      <x:c r="L160" s="44" t="s">
        <x:v>1218</x:v>
      </x:c>
    </x:row>
    <x:row r="161" ht="160" customHeight="1">
      <x:c r="A161" s="86" t="s">
        <x:v>1107</x:v>
      </x:c>
      <x:c r="B161" s="86">
        <x:v>6</x:v>
      </x:c>
      <x:c r="C161" s="86" t="s">
        <x:v>1230</x:v>
      </x:c>
      <x:c r="D161" s="86" t="s">
        <x:v>1108</x:v>
      </x:c>
      <x:c r="E161" s="87" t="s">
        <x:v>1305</x:v>
      </x:c>
      <x:c r="F161" s="87" t="s">
        <x:v>1306</x:v>
      </x:c>
      <x:c r="G161" s="44" t="str">
        <x:v>暂时测不了</x:v>
      </x:c>
      <x:c r="H161" s="44" t="str">
        <x:v>第十轮：本步尚未作为同一事件完整链路验收。当前步骤：进入待反制后不点发起，等待规则满足；检查当前证据和唯一可用测试设备。 本节点另用独立子批次执行：分别在待核实、待反制、可通知处罚但尚未发送时改为自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1" s="44" t="s">
        <x:v>92</x:v>
      </x:c>
      <x:c r="J161" s="45">
        <x:v>46293</x:v>
      </x:c>
      <x:c r="K161" s="44" t="str">
        <x:v>第十轮报告；r10-data.json；既有轮次证据</x:v>
      </x:c>
      <x:c r="L161" s="44" t="s">
        <x:v>1218</x:v>
      </x:c>
    </x:row>
    <x:row r="162" ht="160" customHeight="1">
      <x:c r="A162" s="86" t="s">
        <x:v>1107</x:v>
      </x:c>
      <x:c r="B162" s="86">
        <x:v>7</x:v>
      </x:c>
      <x:c r="C162" s="86" t="s">
        <x:v>1289</x:v>
      </x:c>
      <x:c r="D162" s="86" t="s">
        <x:v>1108</x:v>
      </x:c>
      <x:c r="E162" s="87" t="s">
        <x:v>1290</x:v>
      </x:c>
      <x:c r="F162" s="87" t="s">
        <x:v>1291</x:v>
      </x:c>
      <x:c r="G162" s="44" t="str">
        <x:v>暂时测不了</x:v>
      </x:c>
      <x:c r="H16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2" s="44" t="s">
        <x:v>92</x:v>
      </x:c>
      <x:c r="J162" s="45">
        <x:v>46293</x:v>
      </x:c>
      <x:c r="K162" s="44" t="str">
        <x:v>第十轮报告；r10-data.json；既有轮次证据</x:v>
      </x:c>
      <x:c r="L162" s="44" t="s">
        <x:v>1218</x:v>
      </x:c>
    </x:row>
    <x:row r="163" ht="160" customHeight="1">
      <x:c r="A163" s="86" t="s">
        <x:v>1107</x:v>
      </x:c>
      <x:c r="B163" s="86">
        <x:v>8</x:v>
      </x:c>
      <x:c r="C163" s="86" t="s">
        <x:v>1236</x:v>
      </x:c>
      <x:c r="D163" s="86" t="s">
        <x:v>1108</x:v>
      </x:c>
      <x:c r="E163" s="87" t="s">
        <x:v>1307</x:v>
      </x:c>
      <x:c r="F163" s="87" t="s">
        <x:v>1308</x:v>
      </x:c>
      <x:c r="G163" s="44" t="str">
        <x:v>暂时测不了</x:v>
      </x:c>
      <x:c r="H163" s="44" t="str">
        <x:v>第十轮：本步尚未作为同一事件完整链路验收。当前步骤：设备结果满足通知处罚条件后，不点击通知按钮，观察自动办理。 回读交接材料、送达、签收和办理结果。 本节点另用独立子批次执行：分别在待核实、待反制、可通知处罚但尚未发送时改为自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3" s="44" t="s">
        <x:v>92</x:v>
      </x:c>
      <x:c r="J163" s="45">
        <x:v>46293</x:v>
      </x:c>
      <x:c r="K163" s="44" t="str">
        <x:v>第十轮报告；r10-data.json；既有轮次证据</x:v>
      </x:c>
      <x:c r="L163" s="44" t="s">
        <x:v>1218</x:v>
      </x:c>
    </x:row>
    <x:row r="164" ht="160" customHeight="1">
      <x:c r="A164" s="86" t="s">
        <x:v>1107</x:v>
      </x:c>
      <x:c r="B164" s="86">
        <x:v>9</x:v>
      </x:c>
      <x:c r="C164" s="86" t="s">
        <x:v>1239</x:v>
      </x:c>
      <x:c r="D164" s="86" t="s">
        <x:v>1108</x:v>
      </x:c>
      <x:c r="E164" s="87" t="s">
        <x:v>1240</x:v>
      </x:c>
      <x:c r="F164" s="87" t="s">
        <x:v>1241</x:v>
      </x:c>
      <x:c r="G164" s="44" t="str">
        <x:v>暂时测不了</x:v>
      </x:c>
      <x:c r="H16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4" s="44" t="s">
        <x:v>92</x:v>
      </x:c>
      <x:c r="J164" s="45">
        <x:v>46293</x:v>
      </x:c>
      <x:c r="K164" s="44" t="str">
        <x:v>第十轮报告；r10-data.json；既有轮次证据</x:v>
      </x:c>
      <x:c r="L164" s="44" t="s">
        <x:v>1218</x:v>
      </x:c>
    </x:row>
    <x:row r="165" ht="160" customHeight="1">
      <x:c r="A165" s="86" t="s">
        <x:v>1107</x:v>
      </x:c>
      <x:c r="B165" s="86">
        <x:v>10</x:v>
      </x:c>
      <x:c r="C165" s="86" t="s">
        <x:v>1242</x:v>
      </x:c>
      <x:c r="D165" s="86" t="s">
        <x:v>1108</x:v>
      </x:c>
      <x:c r="E165" s="87" t="s">
        <x:v>1243</x:v>
      </x:c>
      <x:c r="F165" s="87" t="s">
        <x:v>1244</x:v>
      </x:c>
      <x:c r="G165" s="44" t="str">
        <x:v>暂时测不了</x:v>
      </x:c>
      <x:c r="H16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5" s="44" t="s">
        <x:v>92</x:v>
      </x:c>
      <x:c r="J165" s="45">
        <x:v>46293</x:v>
      </x:c>
      <x:c r="K165" s="44" t="str">
        <x:v>第十轮报告；r10-data.json；既有轮次证据</x:v>
      </x:c>
      <x:c r="L165" s="44" t="s">
        <x:v>1218</x:v>
      </x:c>
    </x:row>
    <x:row r="166" ht="160" customHeight="1">
      <x:c r="A166" s="38" t="s">
        <x:v>1112</x:v>
      </x:c>
      <x:c r="B166" s="38">
        <x:v>1</x:v>
      </x:c>
      <x:c r="C166" s="38" t="s">
        <x:v>1215</x:v>
      </x:c>
      <x:c r="D166" s="38" t="s">
        <x:v>1113</x:v>
      </x:c>
      <x:c r="E166" s="39" t="s">
        <x:v>1249</x:v>
      </x:c>
      <x:c r="F166" s="39" t="s">
        <x:v>1309</x:v>
      </x:c>
      <x:c r="G166" s="40" t="str">
        <x:v>暂时测不了</x:v>
      </x:c>
      <x:c r="H166" s="40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6" s="40" t="s">
        <x:v>92</x:v>
      </x:c>
      <x:c r="J166" s="41">
        <x:v>46293</x:v>
      </x:c>
      <x:c r="K166" s="40" t="str">
        <x:v>第十轮报告；r10-data.json；既有轮次证据</x:v>
      </x:c>
      <x:c r="L166" s="40" t="s">
        <x:v>1218</x:v>
      </x:c>
    </x:row>
    <x:row r="167" ht="160" customHeight="1">
      <x:c r="A167" s="42" t="s">
        <x:v>1112</x:v>
      </x:c>
      <x:c r="B167" s="42">
        <x:v>2</x:v>
      </x:c>
      <x:c r="C167" s="42" t="s">
        <x:v>1219</x:v>
      </x:c>
      <x:c r="D167" s="42" t="s">
        <x:v>1113</x:v>
      </x:c>
      <x:c r="E167" s="43" t="s">
        <x:v>1220</x:v>
      </x:c>
      <x:c r="F167" s="43" t="s">
        <x:v>1221</x:v>
      </x:c>
      <x:c r="G167" s="44" t="str">
        <x:v>暂时测不了</x:v>
      </x:c>
      <x:c r="H16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7" s="44" t="s">
        <x:v>92</x:v>
      </x:c>
      <x:c r="J167" s="45">
        <x:v>46293</x:v>
      </x:c>
      <x:c r="K167" s="44" t="str">
        <x:v>第十轮报告；r10-data.json；既有轮次证据</x:v>
      </x:c>
      <x:c r="L167" s="44" t="s">
        <x:v>1218</x:v>
      </x:c>
    </x:row>
    <x:row r="168" ht="160" customHeight="1">
      <x:c r="A168" s="42" t="s">
        <x:v>1112</x:v>
      </x:c>
      <x:c r="B168" s="42">
        <x:v>3</x:v>
      </x:c>
      <x:c r="C168" s="42" t="s">
        <x:v>1222</x:v>
      </x:c>
      <x:c r="D168" s="42" t="s">
        <x:v>1113</x:v>
      </x:c>
      <x:c r="E168" s="43" t="s">
        <x:v>1223</x:v>
      </x:c>
      <x:c r="F168" s="43" t="s">
        <x:v>1224</x:v>
      </x:c>
      <x:c r="G168" s="44" t="str">
        <x:v>暂时测不了</x:v>
      </x:c>
      <x:c r="H16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8" s="44" t="s">
        <x:v>92</x:v>
      </x:c>
      <x:c r="J168" s="45">
        <x:v>46293</x:v>
      </x:c>
      <x:c r="K168" s="44" t="str">
        <x:v>第十轮报告；r10-data.json；既有轮次证据</x:v>
      </x:c>
      <x:c r="L168" s="44" t="s">
        <x:v>1218</x:v>
      </x:c>
    </x:row>
    <x:row r="169" ht="160" customHeight="1">
      <x:c r="A169" s="42" t="s">
        <x:v>1112</x:v>
      </x:c>
      <x:c r="B169" s="42">
        <x:v>4</x:v>
      </x:c>
      <x:c r="C169" s="42" t="s">
        <x:v>993</x:v>
      </x:c>
      <x:c r="D169" s="42" t="s">
        <x:v>1113</x:v>
      </x:c>
      <x:c r="E169" s="43" t="s">
        <x:v>1310</x:v>
      </x:c>
      <x:c r="F169" s="43" t="s">
        <x:v>1311</x:v>
      </x:c>
      <x:c r="G169" s="44" t="str">
        <x:v>暂时测不了</x:v>
      </x:c>
      <x:c r="H169" s="44" t="str">
        <x:v>第十轮：本步尚未作为同一事件完整链路验收。当前步骤：不点击核实，等待已启用规则满足。 本节点另用独立子批次执行：自动条件即将满足时，另一账号同时点击对应核实、反制或通知按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9" s="44" t="s">
        <x:v>92</x:v>
      </x:c>
      <x:c r="J169" s="45">
        <x:v>46293</x:v>
      </x:c>
      <x:c r="K169" s="44" t="str">
        <x:v>第十轮报告；r10-data.json；既有轮次证据</x:v>
      </x:c>
      <x:c r="L169" s="44" t="s">
        <x:v>1218</x:v>
      </x:c>
    </x:row>
    <x:row r="170" ht="160" customHeight="1">
      <x:c r="A170" s="42" t="s">
        <x:v>1112</x:v>
      </x:c>
      <x:c r="B170" s="42">
        <x:v>5</x:v>
      </x:c>
      <x:c r="C170" s="42" t="s">
        <x:v>1227</x:v>
      </x:c>
      <x:c r="D170" s="42" t="s">
        <x:v>1113</x:v>
      </x:c>
      <x:c r="E170" s="43" t="s">
        <x:v>1228</x:v>
      </x:c>
      <x:c r="F170" s="43" t="s">
        <x:v>1229</x:v>
      </x:c>
      <x:c r="G170" s="44" t="str">
        <x:v>暂时测不了</x:v>
      </x:c>
      <x:c r="H17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0" s="44" t="s">
        <x:v>92</x:v>
      </x:c>
      <x:c r="J170" s="45">
        <x:v>46293</x:v>
      </x:c>
      <x:c r="K170" s="44" t="str">
        <x:v>第十轮报告；r10-data.json；既有轮次证据</x:v>
      </x:c>
      <x:c r="L170" s="44" t="s">
        <x:v>1218</x:v>
      </x:c>
    </x:row>
    <x:row r="171" ht="160" customHeight="1">
      <x:c r="A171" s="42" t="s">
        <x:v>1112</x:v>
      </x:c>
      <x:c r="B171" s="42">
        <x:v>6</x:v>
      </x:c>
      <x:c r="C171" s="42" t="s">
        <x:v>1230</x:v>
      </x:c>
      <x:c r="D171" s="42" t="s">
        <x:v>1113</x:v>
      </x:c>
      <x:c r="E171" s="43" t="s">
        <x:v>1312</x:v>
      </x:c>
      <x:c r="F171" s="43" t="s">
        <x:v>1313</x:v>
      </x:c>
      <x:c r="G171" s="44" t="str">
        <x:v>暂时测不了</x:v>
      </x:c>
      <x:c r="H171" s="44" t="str">
        <x:v>第十轮：本步尚未作为同一事件完整链路验收。当前步骤：进入待反制后不点发起，等待规则满足；检查当前证据和唯一可用测试设备。 本节点另用独立子批次执行：自动条件即将满足时，另一账号同时点击对应核实、反制或通知按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1" s="44" t="s">
        <x:v>92</x:v>
      </x:c>
      <x:c r="J171" s="45">
        <x:v>46293</x:v>
      </x:c>
      <x:c r="K171" s="44" t="str">
        <x:v>第十轮报告；r10-data.json；既有轮次证据</x:v>
      </x:c>
      <x:c r="L171" s="44" t="s">
        <x:v>1218</x:v>
      </x:c>
    </x:row>
    <x:row r="172" ht="160" customHeight="1">
      <x:c r="A172" s="42" t="s">
        <x:v>1112</x:v>
      </x:c>
      <x:c r="B172" s="42">
        <x:v>7</x:v>
      </x:c>
      <x:c r="C172" s="42" t="s">
        <x:v>1289</x:v>
      </x:c>
      <x:c r="D172" s="42" t="s">
        <x:v>1113</x:v>
      </x:c>
      <x:c r="E172" s="43" t="s">
        <x:v>1290</x:v>
      </x:c>
      <x:c r="F172" s="43" t="s">
        <x:v>1291</x:v>
      </x:c>
      <x:c r="G172" s="44" t="str">
        <x:v>暂时测不了</x:v>
      </x:c>
      <x:c r="H17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2" s="44" t="s">
        <x:v>92</x:v>
      </x:c>
      <x:c r="J172" s="45">
        <x:v>46293</x:v>
      </x:c>
      <x:c r="K172" s="44" t="str">
        <x:v>第十轮报告；r10-data.json；既有轮次证据</x:v>
      </x:c>
      <x:c r="L172" s="44" t="s">
        <x:v>1218</x:v>
      </x:c>
    </x:row>
    <x:row r="173" ht="160" customHeight="1">
      <x:c r="A173" s="42" t="s">
        <x:v>1112</x:v>
      </x:c>
      <x:c r="B173" s="42">
        <x:v>8</x:v>
      </x:c>
      <x:c r="C173" s="42" t="s">
        <x:v>1236</x:v>
      </x:c>
      <x:c r="D173" s="42" t="s">
        <x:v>1113</x:v>
      </x:c>
      <x:c r="E173" s="43" t="s">
        <x:v>1314</x:v>
      </x:c>
      <x:c r="F173" s="43" t="s">
        <x:v>1315</x:v>
      </x:c>
      <x:c r="G173" s="44" t="str">
        <x:v>暂时测不了</x:v>
      </x:c>
      <x:c r="H173" s="44" t="str">
        <x:v>第十轮：本步尚未作为同一事件完整链路验收。当前步骤：设备结果满足通知处罚条件后，不点击通知按钮，观察自动办理。 回读交接材料、送达、签收和办理结果。 本节点另用独立子批次执行：自动条件即将满足时，另一账号同时点击对应核实、反制或通知按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3" s="44" t="s">
        <x:v>92</x:v>
      </x:c>
      <x:c r="J173" s="45">
        <x:v>46293</x:v>
      </x:c>
      <x:c r="K173" s="44" t="str">
        <x:v>第十轮报告；r10-data.json；既有轮次证据</x:v>
      </x:c>
      <x:c r="L173" s="44" t="s">
        <x:v>1218</x:v>
      </x:c>
    </x:row>
    <x:row r="174" ht="160" customHeight="1">
      <x:c r="A174" s="42" t="s">
        <x:v>1112</x:v>
      </x:c>
      <x:c r="B174" s="42">
        <x:v>9</x:v>
      </x:c>
      <x:c r="C174" s="42" t="s">
        <x:v>1239</x:v>
      </x:c>
      <x:c r="D174" s="42" t="s">
        <x:v>1113</x:v>
      </x:c>
      <x:c r="E174" s="43" t="s">
        <x:v>1240</x:v>
      </x:c>
      <x:c r="F174" s="43" t="s">
        <x:v>1241</x:v>
      </x:c>
      <x:c r="G174" s="44" t="str">
        <x:v>暂时测不了</x:v>
      </x:c>
      <x:c r="H17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4" s="44" t="s">
        <x:v>92</x:v>
      </x:c>
      <x:c r="J174" s="45">
        <x:v>46293</x:v>
      </x:c>
      <x:c r="K174" s="44" t="str">
        <x:v>第十轮报告；r10-data.json；既有轮次证据</x:v>
      </x:c>
      <x:c r="L174" s="44" t="s">
        <x:v>1218</x:v>
      </x:c>
    </x:row>
    <x:row r="175" ht="160" customHeight="1">
      <x:c r="A175" s="42" t="s">
        <x:v>1112</x:v>
      </x:c>
      <x:c r="B175" s="42">
        <x:v>10</x:v>
      </x:c>
      <x:c r="C175" s="42" t="s">
        <x:v>1242</x:v>
      </x:c>
      <x:c r="D175" s="42" t="s">
        <x:v>1113</x:v>
      </x:c>
      <x:c r="E175" s="43" t="s">
        <x:v>1243</x:v>
      </x:c>
      <x:c r="F175" s="43" t="s">
        <x:v>1244</x:v>
      </x:c>
      <x:c r="G175" s="44" t="str">
        <x:v>暂时测不了</x:v>
      </x:c>
      <x:c r="H17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5" s="44" t="s">
        <x:v>92</x:v>
      </x:c>
      <x:c r="J175" s="45">
        <x:v>46293</x:v>
      </x:c>
      <x:c r="K175" s="44" t="str">
        <x:v>第十轮报告；r10-data.json；既有轮次证据</x:v>
      </x:c>
      <x:c r="L175" s="44" t="s">
        <x:v>1218</x:v>
      </x:c>
    </x:row>
    <x:row r="176" ht="160" customHeight="1">
      <x:c r="A176" s="46" t="s">
        <x:v>1116</x:v>
      </x:c>
      <x:c r="B176" s="46">
        <x:v>1</x:v>
      </x:c>
      <x:c r="C176" s="46" t="s">
        <x:v>1215</x:v>
      </x:c>
      <x:c r="D176" s="46" t="s">
        <x:v>1117</x:v>
      </x:c>
      <x:c r="E176" s="47" t="s">
        <x:v>1316</x:v>
      </x:c>
      <x:c r="F176" s="47" t="s">
        <x:v>1317</x:v>
      </x:c>
      <x:c r="G176" s="48" t="str">
        <x:v>暂时测不了</x:v>
      </x:c>
      <x:c r="H176" s="48" t="str">
        <x:v>第十轮：本步尚未作为同一事件完整链路验收。当前步骤：按M8设置三类规则，并保存回读。记录有效时长、账号、范围、设备、通道和规则版本。 配好不满足/未知/时段外等子批次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6" s="48" t="s">
        <x:v>92</x:v>
      </x:c>
      <x:c r="J176" s="49">
        <x:v>46293</x:v>
      </x:c>
      <x:c r="K176" s="48" t="str">
        <x:v>第十轮报告；r10-data.json；既有轮次证据</x:v>
      </x:c>
      <x:c r="L176" s="48" t="s">
        <x:v>1218</x:v>
      </x:c>
    </x:row>
    <x:row r="177" ht="160" customHeight="1">
      <x:c r="A177" s="50" t="s">
        <x:v>1116</x:v>
      </x:c>
      <x:c r="B177" s="50">
        <x:v>2</x:v>
      </x:c>
      <x:c r="C177" s="50" t="s">
        <x:v>1219</x:v>
      </x:c>
      <x:c r="D177" s="50" t="s">
        <x:v>1117</x:v>
      </x:c>
      <x:c r="E177" s="51" t="s">
        <x:v>1220</x:v>
      </x:c>
      <x:c r="F177" s="51" t="s">
        <x:v>1221</x:v>
      </x:c>
      <x:c r="G177" s="44" t="str">
        <x:v>暂时测不了</x:v>
      </x:c>
      <x:c r="H17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7" s="44" t="s">
        <x:v>92</x:v>
      </x:c>
      <x:c r="J177" s="45">
        <x:v>46293</x:v>
      </x:c>
      <x:c r="K177" s="44" t="str">
        <x:v>第十轮报告；r10-data.json；既有轮次证据</x:v>
      </x:c>
      <x:c r="L177" s="44" t="s">
        <x:v>1218</x:v>
      </x:c>
    </x:row>
    <x:row r="178" ht="160" customHeight="1">
      <x:c r="A178" s="50" t="s">
        <x:v>1116</x:v>
      </x:c>
      <x:c r="B178" s="50">
        <x:v>3</x:v>
      </x:c>
      <x:c r="C178" s="50" t="s">
        <x:v>1222</x:v>
      </x:c>
      <x:c r="D178" s="50" t="s">
        <x:v>1117</x:v>
      </x:c>
      <x:c r="E178" s="51" t="s">
        <x:v>1223</x:v>
      </x:c>
      <x:c r="F178" s="51" t="s">
        <x:v>1224</x:v>
      </x:c>
      <x:c r="G178" s="44" t="str">
        <x:v>暂时测不了</x:v>
      </x:c>
      <x:c r="H17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8" s="44" t="s">
        <x:v>92</x:v>
      </x:c>
      <x:c r="J178" s="45">
        <x:v>46293</x:v>
      </x:c>
      <x:c r="K178" s="44" t="str">
        <x:v>第十轮报告；r10-data.json；既有轮次证据</x:v>
      </x:c>
      <x:c r="L178" s="44" t="s">
        <x:v>1218</x:v>
      </x:c>
    </x:row>
    <x:row r="179" ht="160" customHeight="1">
      <x:c r="A179" s="50" t="s">
        <x:v>1116</x:v>
      </x:c>
      <x:c r="B179" s="50">
        <x:v>4</x:v>
      </x:c>
      <x:c r="C179" s="50" t="s">
        <x:v>993</x:v>
      </x:c>
      <x:c r="D179" s="50" t="s">
        <x:v>1117</x:v>
      </x:c>
      <x:c r="E179" s="51" t="s">
        <x:v>1318</x:v>
      </x:c>
      <x:c r="F179" s="51" t="s">
        <x:v>1319</x:v>
      </x:c>
      <x:c r="G179" s="44" t="str">
        <x:v>暂时测不了</x:v>
      </x:c>
      <x:c r="H179" s="44" t="str">
        <x:v>第十轮：本步尚未作为同一事件完整链路验收。当前步骤：不点击核实，等待已启用规则满足。 先观察条件不满足，再补足当前有效条件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9" s="44" t="s">
        <x:v>92</x:v>
      </x:c>
      <x:c r="J179" s="45">
        <x:v>46293</x:v>
      </x:c>
      <x:c r="K179" s="44" t="str">
        <x:v>第十轮报告；r10-data.json；既有轮次证据</x:v>
      </x:c>
      <x:c r="L179" s="44" t="s">
        <x:v>1218</x:v>
      </x:c>
    </x:row>
    <x:row r="180" ht="160" customHeight="1">
      <x:c r="A180" s="50" t="s">
        <x:v>1116</x:v>
      </x:c>
      <x:c r="B180" s="50">
        <x:v>5</x:v>
      </x:c>
      <x:c r="C180" s="50" t="s">
        <x:v>1227</x:v>
      </x:c>
      <x:c r="D180" s="50" t="s">
        <x:v>1117</x:v>
      </x:c>
      <x:c r="E180" s="51" t="s">
        <x:v>1228</x:v>
      </x:c>
      <x:c r="F180" s="51" t="s">
        <x:v>1229</x:v>
      </x:c>
      <x:c r="G180" s="44" t="str">
        <x:v>暂时测不了</x:v>
      </x:c>
      <x:c r="H18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0" s="44" t="s">
        <x:v>92</x:v>
      </x:c>
      <x:c r="J180" s="45">
        <x:v>46293</x:v>
      </x:c>
      <x:c r="K180" s="44" t="str">
        <x:v>第十轮报告；r10-data.json；既有轮次证据</x:v>
      </x:c>
      <x:c r="L180" s="44" t="s">
        <x:v>1218</x:v>
      </x:c>
    </x:row>
    <x:row r="181" ht="160" customHeight="1">
      <x:c r="A181" s="50" t="s">
        <x:v>1116</x:v>
      </x:c>
      <x:c r="B181" s="50">
        <x:v>6</x:v>
      </x:c>
      <x:c r="C181" s="50" t="s">
        <x:v>1230</x:v>
      </x:c>
      <x:c r="D181" s="50" t="s">
        <x:v>1117</x:v>
      </x:c>
      <x:c r="E181" s="51" t="s">
        <x:v>1320</x:v>
      </x:c>
      <x:c r="F181" s="51" t="s">
        <x:v>1321</x:v>
      </x:c>
      <x:c r="G181" s="44" t="str">
        <x:v>暂时测不了</x:v>
      </x:c>
      <x:c r="H181" s="44" t="str">
        <x:v>第十轮：本步尚未作为同一事件完整链路验收。当前步骤：进入待反制后不点发起，等待规则满足；检查当前证据和唯一可用测试设备。 先观察条件不满足，再补足当前有效条件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1" s="44" t="s">
        <x:v>92</x:v>
      </x:c>
      <x:c r="J181" s="45">
        <x:v>46293</x:v>
      </x:c>
      <x:c r="K181" s="44" t="str">
        <x:v>第十轮报告；r10-data.json；既有轮次证据</x:v>
      </x:c>
      <x:c r="L181" s="44" t="s">
        <x:v>1218</x:v>
      </x:c>
    </x:row>
    <x:row r="182" ht="160" customHeight="1">
      <x:c r="A182" s="50" t="s">
        <x:v>1116</x:v>
      </x:c>
      <x:c r="B182" s="50">
        <x:v>7</x:v>
      </x:c>
      <x:c r="C182" s="50" t="s">
        <x:v>1289</x:v>
      </x:c>
      <x:c r="D182" s="50" t="s">
        <x:v>1117</x:v>
      </x:c>
      <x:c r="E182" s="51" t="s">
        <x:v>1290</x:v>
      </x:c>
      <x:c r="F182" s="51" t="s">
        <x:v>1291</x:v>
      </x:c>
      <x:c r="G182" s="44" t="str">
        <x:v>暂时测不了</x:v>
      </x:c>
      <x:c r="H18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2" s="44" t="s">
        <x:v>92</x:v>
      </x:c>
      <x:c r="J182" s="45">
        <x:v>46293</x:v>
      </x:c>
      <x:c r="K182" s="44" t="str">
        <x:v>第十轮报告；r10-data.json；既有轮次证据</x:v>
      </x:c>
      <x:c r="L182" s="44" t="s">
        <x:v>1218</x:v>
      </x:c>
    </x:row>
    <x:row r="183" ht="160" customHeight="1">
      <x:c r="A183" s="50" t="s">
        <x:v>1116</x:v>
      </x:c>
      <x:c r="B183" s="50">
        <x:v>8</x:v>
      </x:c>
      <x:c r="C183" s="50" t="s">
        <x:v>1236</x:v>
      </x:c>
      <x:c r="D183" s="50" t="s">
        <x:v>1117</x:v>
      </x:c>
      <x:c r="E183" s="51" t="s">
        <x:v>1322</x:v>
      </x:c>
      <x:c r="F183" s="51" t="s">
        <x:v>1323</x:v>
      </x:c>
      <x:c r="G183" s="44" t="str">
        <x:v>暂时测不了</x:v>
      </x:c>
      <x:c r="H183" s="44" t="str">
        <x:v>第十轮：本步尚未作为同一事件完整链路验收。当前步骤：设备结果满足通知处罚条件后，不点击通知按钮，观察自动办理。 回读交接材料、送达、签收和办理结果。 先观察条件不满足，再补足当前有效条件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3" s="44" t="s">
        <x:v>92</x:v>
      </x:c>
      <x:c r="J183" s="45">
        <x:v>46293</x:v>
      </x:c>
      <x:c r="K183" s="44" t="str">
        <x:v>第十轮报告；r10-data.json；既有轮次证据</x:v>
      </x:c>
      <x:c r="L183" s="44" t="s">
        <x:v>1218</x:v>
      </x:c>
    </x:row>
    <x:row r="184" ht="160" customHeight="1">
      <x:c r="A184" s="50" t="s">
        <x:v>1116</x:v>
      </x:c>
      <x:c r="B184" s="50">
        <x:v>9</x:v>
      </x:c>
      <x:c r="C184" s="50" t="s">
        <x:v>1239</x:v>
      </x:c>
      <x:c r="D184" s="50" t="s">
        <x:v>1117</x:v>
      </x:c>
      <x:c r="E184" s="51" t="s">
        <x:v>1240</x:v>
      </x:c>
      <x:c r="F184" s="51" t="s">
        <x:v>1241</x:v>
      </x:c>
      <x:c r="G184" s="44" t="str">
        <x:v>暂时测不了</x:v>
      </x:c>
      <x:c r="H18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4" s="44" t="s">
        <x:v>92</x:v>
      </x:c>
      <x:c r="J184" s="45">
        <x:v>46293</x:v>
      </x:c>
      <x:c r="K184" s="44" t="str">
        <x:v>第十轮报告；r10-data.json；既有轮次证据</x:v>
      </x:c>
      <x:c r="L184" s="44" t="s">
        <x:v>1218</x:v>
      </x:c>
    </x:row>
    <x:row r="185" ht="160" customHeight="1">
      <x:c r="A185" s="50" t="s">
        <x:v>1116</x:v>
      </x:c>
      <x:c r="B185" s="50">
        <x:v>10</x:v>
      </x:c>
      <x:c r="C185" s="50" t="s">
        <x:v>1242</x:v>
      </x:c>
      <x:c r="D185" s="50" t="s">
        <x:v>1117</x:v>
      </x:c>
      <x:c r="E185" s="51" t="s">
        <x:v>1243</x:v>
      </x:c>
      <x:c r="F185" s="51" t="s">
        <x:v>1244</x:v>
      </x:c>
      <x:c r="G185" s="44" t="str">
        <x:v>暂时测不了</x:v>
      </x:c>
      <x:c r="H18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5" s="44" t="s">
        <x:v>92</x:v>
      </x:c>
      <x:c r="J185" s="45">
        <x:v>46293</x:v>
      </x:c>
      <x:c r="K185" s="44" t="str">
        <x:v>第十轮报告；r10-data.json；既有轮次证据</x:v>
      </x:c>
      <x:c r="L185" s="44" t="s">
        <x:v>1218</x:v>
      </x:c>
    </x:row>
    <x:row r="186" ht="160" customHeight="1">
      <x:c r="A186" s="52" t="s">
        <x:v>1120</x:v>
      </x:c>
      <x:c r="B186" s="52">
        <x:v>1</x:v>
      </x:c>
      <x:c r="C186" s="52" t="s">
        <x:v>1215</x:v>
      </x:c>
      <x:c r="D186" s="52" t="s">
        <x:v>1121</x:v>
      </x:c>
      <x:c r="E186" s="53" t="s">
        <x:v>1249</x:v>
      </x:c>
      <x:c r="F186" s="53" t="s">
        <x:v>1324</x:v>
      </x:c>
      <x:c r="G186" s="54" t="str">
        <x:v>暂时测不了</x:v>
      </x:c>
      <x:c r="H186" s="54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6" s="54" t="s">
        <x:v>92</x:v>
      </x:c>
      <x:c r="J186" s="55">
        <x:v>46293</x:v>
      </x:c>
      <x:c r="K186" s="54" t="str">
        <x:v>第十轮报告；r10-data.json；既有轮次证据</x:v>
      </x:c>
      <x:c r="L186" s="54" t="s">
        <x:v>1218</x:v>
      </x:c>
    </x:row>
    <x:row r="187" ht="160" customHeight="1">
      <x:c r="A187" s="56" t="s">
        <x:v>1120</x:v>
      </x:c>
      <x:c r="B187" s="56">
        <x:v>2</x:v>
      </x:c>
      <x:c r="C187" s="56" t="s">
        <x:v>1219</x:v>
      </x:c>
      <x:c r="D187" s="56" t="s">
        <x:v>1121</x:v>
      </x:c>
      <x:c r="E187" s="57" t="s">
        <x:v>1220</x:v>
      </x:c>
      <x:c r="F187" s="57" t="s">
        <x:v>1221</x:v>
      </x:c>
      <x:c r="G187" s="44" t="str">
        <x:v>暂时测不了</x:v>
      </x:c>
      <x:c r="H18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7" s="44" t="s">
        <x:v>92</x:v>
      </x:c>
      <x:c r="J187" s="45">
        <x:v>46293</x:v>
      </x:c>
      <x:c r="K187" s="44" t="str">
        <x:v>第十轮报告；r10-data.json；既有轮次证据</x:v>
      </x:c>
      <x:c r="L187" s="44" t="s">
        <x:v>1218</x:v>
      </x:c>
    </x:row>
    <x:row r="188" ht="160" customHeight="1">
      <x:c r="A188" s="56" t="s">
        <x:v>1120</x:v>
      </x:c>
      <x:c r="B188" s="56">
        <x:v>3</x:v>
      </x:c>
      <x:c r="C188" s="56" t="s">
        <x:v>1222</x:v>
      </x:c>
      <x:c r="D188" s="56" t="s">
        <x:v>1121</x:v>
      </x:c>
      <x:c r="E188" s="57" t="s">
        <x:v>1223</x:v>
      </x:c>
      <x:c r="F188" s="57" t="s">
        <x:v>1224</x:v>
      </x:c>
      <x:c r="G188" s="44" t="str">
        <x:v>暂时测不了</x:v>
      </x:c>
      <x:c r="H18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8" s="44" t="s">
        <x:v>92</x:v>
      </x:c>
      <x:c r="J188" s="45">
        <x:v>46293</x:v>
      </x:c>
      <x:c r="K188" s="44" t="str">
        <x:v>第十轮报告；r10-data.json；既有轮次证据</x:v>
      </x:c>
      <x:c r="L188" s="44" t="s">
        <x:v>1218</x:v>
      </x:c>
    </x:row>
    <x:row r="189" ht="160" customHeight="1">
      <x:c r="A189" s="56" t="s">
        <x:v>1120</x:v>
      </x:c>
      <x:c r="B189" s="56">
        <x:v>4</x:v>
      </x:c>
      <x:c r="C189" s="56" t="s">
        <x:v>993</x:v>
      </x:c>
      <x:c r="D189" s="56" t="s">
        <x:v>1121</x:v>
      </x:c>
      <x:c r="E189" s="57" t="s">
        <x:v>1325</x:v>
      </x:c>
      <x:c r="F189" s="57" t="s">
        <x:v>1326</x:v>
      </x:c>
      <x:c r="G189" s="44" t="str">
        <x:v>暂时测不了</x:v>
      </x:c>
      <x:c r="H189" s="44" t="str">
        <x:v>第十轮：本步尚未作为同一事件完整链路验收。当前步骤：不点击核实，等待已启用规则满足。 请开发在此等待阶段制造服务异常或断网并恢复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9" s="44" t="s">
        <x:v>92</x:v>
      </x:c>
      <x:c r="J189" s="45">
        <x:v>46293</x:v>
      </x:c>
      <x:c r="K189" s="44" t="str">
        <x:v>第十轮报告；r10-data.json；既有轮次证据</x:v>
      </x:c>
      <x:c r="L189" s="44" t="s">
        <x:v>1218</x:v>
      </x:c>
    </x:row>
    <x:row r="190" ht="160" customHeight="1">
      <x:c r="A190" s="56" t="s">
        <x:v>1120</x:v>
      </x:c>
      <x:c r="B190" s="56">
        <x:v>5</x:v>
      </x:c>
      <x:c r="C190" s="56" t="s">
        <x:v>1227</x:v>
      </x:c>
      <x:c r="D190" s="56" t="s">
        <x:v>1121</x:v>
      </x:c>
      <x:c r="E190" s="57" t="s">
        <x:v>1327</x:v>
      </x:c>
      <x:c r="F190" s="57" t="s">
        <x:v>1328</x:v>
      </x:c>
      <x:c r="G190" s="44" t="str">
        <x:v>暂时测不了</x:v>
      </x:c>
      <x:c r="H190" s="44" t="str">
        <x:v>第十轮：本步尚未作为同一事件完整链路验收。当前步骤：检查短信发送/送达、观察开始/结束、电话接通/播放与新位置；按本轮条件操作目标。 请开发在此等待阶段制造服务异常或断网并恢复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0" s="44" t="s">
        <x:v>92</x:v>
      </x:c>
      <x:c r="J190" s="45">
        <x:v>46293</x:v>
      </x:c>
      <x:c r="K190" s="44" t="str">
        <x:v>第十轮报告；r10-data.json；既有轮次证据</x:v>
      </x:c>
      <x:c r="L190" s="44" t="s">
        <x:v>1218</x:v>
      </x:c>
    </x:row>
    <x:row r="191" ht="160" customHeight="1">
      <x:c r="A191" s="56" t="s">
        <x:v>1120</x:v>
      </x:c>
      <x:c r="B191" s="56">
        <x:v>6</x:v>
      </x:c>
      <x:c r="C191" s="56" t="s">
        <x:v>1230</x:v>
      </x:c>
      <x:c r="D191" s="56" t="s">
        <x:v>1121</x:v>
      </x:c>
      <x:c r="E191" s="57" t="s">
        <x:v>1245</x:v>
      </x:c>
      <x:c r="F191" s="57" t="s">
        <x:v>1246</x:v>
      </x:c>
      <x:c r="G191" s="44" t="str">
        <x:v>暂时测不了</x:v>
      </x:c>
      <x:c r="H19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1" s="44" t="s">
        <x:v>92</x:v>
      </x:c>
      <x:c r="J191" s="45">
        <x:v>46293</x:v>
      </x:c>
      <x:c r="K191" s="44" t="str">
        <x:v>第十轮报告；r10-data.json；既有轮次证据</x:v>
      </x:c>
      <x:c r="L191" s="44" t="s">
        <x:v>1218</x:v>
      </x:c>
    </x:row>
    <x:row r="192" ht="160" customHeight="1">
      <x:c r="A192" s="56" t="s">
        <x:v>1120</x:v>
      </x:c>
      <x:c r="B192" s="56">
        <x:v>7</x:v>
      </x:c>
      <x:c r="C192" s="56" t="s">
        <x:v>1289</x:v>
      </x:c>
      <x:c r="D192" s="56" t="s">
        <x:v>1121</x:v>
      </x:c>
      <x:c r="E192" s="57" t="s">
        <x:v>1329</x:v>
      </x:c>
      <x:c r="F192" s="57" t="s">
        <x:v>1330</x:v>
      </x:c>
      <x:c r="G192" s="44" t="str">
        <x:v>暂时测不了</x:v>
      </x:c>
      <x:c r="H192" s="44" t="str">
        <x:v>第十轮：本步尚未作为同一事件完整链路验收。当前步骤：核对同一授权的设备、命令、受理和实际回执；失败、超时及急停分支分别留证。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2" s="44" t="s">
        <x:v>92</x:v>
      </x:c>
      <x:c r="J192" s="45">
        <x:v>46293</x:v>
      </x:c>
      <x:c r="K192" s="44" t="str">
        <x:v>第十轮报告；r10-data.json；既有轮次证据</x:v>
      </x:c>
      <x:c r="L192" s="44" t="s">
        <x:v>1218</x:v>
      </x:c>
    </x:row>
    <x:row r="193" ht="160" customHeight="1">
      <x:c r="A193" s="56" t="s">
        <x:v>1120</x:v>
      </x:c>
      <x:c r="B193" s="56">
        <x:v>8</x:v>
      </x:c>
      <x:c r="C193" s="56" t="s">
        <x:v>1236</x:v>
      </x:c>
      <x:c r="D193" s="56" t="s">
        <x:v>1121</x:v>
      </x:c>
      <x:c r="E193" s="57" t="s">
        <x:v>1331</x:v>
      </x:c>
      <x:c r="F193" s="57" t="s">
        <x:v>1332</x:v>
      </x:c>
      <x:c r="G193" s="44" t="str">
        <x:v>暂时测不了</x:v>
      </x:c>
      <x:c r="H193" s="44" t="str">
        <x:v>第十轮：本步尚未作为同一事件完整链路验收。当前步骤：设备结果满足通知处罚条件后，不点击通知按钮，观察自动办理。 回读交接材料、送达、签收和办理结果。 请开发在此等待阶段制造服务异常或断网并恢复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3" s="44" t="s">
        <x:v>92</x:v>
      </x:c>
      <x:c r="J193" s="45">
        <x:v>46293</x:v>
      </x:c>
      <x:c r="K193" s="44" t="str">
        <x:v>第十轮报告；r10-data.json；既有轮次证据</x:v>
      </x:c>
      <x:c r="L193" s="44" t="s">
        <x:v>1218</x:v>
      </x:c>
    </x:row>
    <x:row r="194" ht="160" customHeight="1">
      <x:c r="A194" s="56" t="s">
        <x:v>1120</x:v>
      </x:c>
      <x:c r="B194" s="56">
        <x:v>9</x:v>
      </x:c>
      <x:c r="C194" s="56" t="s">
        <x:v>1239</x:v>
      </x:c>
      <x:c r="D194" s="56" t="s">
        <x:v>1121</x:v>
      </x:c>
      <x:c r="E194" s="57" t="s">
        <x:v>1240</x:v>
      </x:c>
      <x:c r="F194" s="57" t="s">
        <x:v>1241</x:v>
      </x:c>
      <x:c r="G194" s="44" t="str">
        <x:v>暂时测不了</x:v>
      </x:c>
      <x:c r="H19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4" s="44" t="s">
        <x:v>92</x:v>
      </x:c>
      <x:c r="J194" s="45">
        <x:v>46293</x:v>
      </x:c>
      <x:c r="K194" s="44" t="str">
        <x:v>第十轮报告；r10-data.json；既有轮次证据</x:v>
      </x:c>
      <x:c r="L194" s="44" t="s">
        <x:v>1218</x:v>
      </x:c>
    </x:row>
    <x:row r="195" ht="160" customHeight="1">
      <x:c r="A195" s="56" t="s">
        <x:v>1120</x:v>
      </x:c>
      <x:c r="B195" s="56">
        <x:v>10</x:v>
      </x:c>
      <x:c r="C195" s="56" t="s">
        <x:v>1242</x:v>
      </x:c>
      <x:c r="D195" s="56" t="s">
        <x:v>1121</x:v>
      </x:c>
      <x:c r="E195" s="57" t="s">
        <x:v>1243</x:v>
      </x:c>
      <x:c r="F195" s="57" t="s">
        <x:v>1244</x:v>
      </x:c>
      <x:c r="G195" s="44" t="str">
        <x:v>暂时测不了</x:v>
      </x:c>
      <x:c r="H19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5" s="44" t="s">
        <x:v>92</x:v>
      </x:c>
      <x:c r="J195" s="45">
        <x:v>46293</x:v>
      </x:c>
      <x:c r="K195" s="44" t="str">
        <x:v>第十轮报告；r10-data.json；既有轮次证据</x:v>
      </x:c>
      <x:c r="L195" s="44" t="s">
        <x:v>1218</x:v>
      </x:c>
    </x:row>
    <x:row r="196" ht="160" customHeight="1">
      <x:c r="A196" s="58" t="s">
        <x:v>1124</x:v>
      </x:c>
      <x:c r="B196" s="58">
        <x:v>1</x:v>
      </x:c>
      <x:c r="C196" s="58" t="s">
        <x:v>1215</x:v>
      </x:c>
      <x:c r="D196" s="58" t="s">
        <x:v>1125</x:v>
      </x:c>
      <x:c r="E196" s="59" t="s">
        <x:v>1249</x:v>
      </x:c>
      <x:c r="F196" s="59" t="s">
        <x:v>1333</x:v>
      </x:c>
      <x:c r="G196" s="60" t="str">
        <x:v>暂时测不了</x:v>
      </x:c>
      <x:c r="H196" s="60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6" s="60" t="s">
        <x:v>92</x:v>
      </x:c>
      <x:c r="J196" s="61">
        <x:v>46293</x:v>
      </x:c>
      <x:c r="K196" s="60" t="str">
        <x:v>第十轮报告；r10-data.json；既有轮次证据</x:v>
      </x:c>
      <x:c r="L196" s="60" t="s">
        <x:v>1218</x:v>
      </x:c>
    </x:row>
    <x:row r="197" ht="160" customHeight="1">
      <x:c r="A197" s="62" t="s">
        <x:v>1124</x:v>
      </x:c>
      <x:c r="B197" s="62">
        <x:v>2</x:v>
      </x:c>
      <x:c r="C197" s="62" t="s">
        <x:v>1219</x:v>
      </x:c>
      <x:c r="D197" s="62" t="s">
        <x:v>1125</x:v>
      </x:c>
      <x:c r="E197" s="63" t="s">
        <x:v>1220</x:v>
      </x:c>
      <x:c r="F197" s="63" t="s">
        <x:v>1221</x:v>
      </x:c>
      <x:c r="G197" s="44" t="str">
        <x:v>暂时测不了</x:v>
      </x:c>
      <x:c r="H19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7" s="44" t="s">
        <x:v>92</x:v>
      </x:c>
      <x:c r="J197" s="45">
        <x:v>46293</x:v>
      </x:c>
      <x:c r="K197" s="44" t="str">
        <x:v>第十轮报告；r10-data.json；既有轮次证据</x:v>
      </x:c>
      <x:c r="L197" s="44" t="s">
        <x:v>1218</x:v>
      </x:c>
    </x:row>
    <x:row r="198" ht="160" customHeight="1">
      <x:c r="A198" s="62" t="s">
        <x:v>1124</x:v>
      </x:c>
      <x:c r="B198" s="62">
        <x:v>3</x:v>
      </x:c>
      <x:c r="C198" s="62" t="s">
        <x:v>1222</x:v>
      </x:c>
      <x:c r="D198" s="62" t="s">
        <x:v>1125</x:v>
      </x:c>
      <x:c r="E198" s="63" t="s">
        <x:v>1223</x:v>
      </x:c>
      <x:c r="F198" s="63" t="s">
        <x:v>1224</x:v>
      </x:c>
      <x:c r="G198" s="44" t="str">
        <x:v>暂时测不了</x:v>
      </x:c>
      <x:c r="H19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8" s="44" t="s">
        <x:v>92</x:v>
      </x:c>
      <x:c r="J198" s="45">
        <x:v>46293</x:v>
      </x:c>
      <x:c r="K198" s="44" t="str">
        <x:v>第十轮报告；r10-data.json；既有轮次证据</x:v>
      </x:c>
      <x:c r="L198" s="44" t="s">
        <x:v>1218</x:v>
      </x:c>
    </x:row>
    <x:row r="199" ht="160" customHeight="1">
      <x:c r="A199" s="62" t="s">
        <x:v>1124</x:v>
      </x:c>
      <x:c r="B199" s="62">
        <x:v>4</x:v>
      </x:c>
      <x:c r="C199" s="62" t="s">
        <x:v>993</x:v>
      </x:c>
      <x:c r="D199" s="62" t="s">
        <x:v>1125</x:v>
      </x:c>
      <x:c r="E199" s="63" t="s">
        <x:v>1247</x:v>
      </x:c>
      <x:c r="F199" s="63" t="s">
        <x:v>1248</x:v>
      </x:c>
      <x:c r="G199" s="44" t="str">
        <x:v>暂时测不了</x:v>
      </x:c>
      <x:c r="H19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9" s="44" t="s">
        <x:v>92</x:v>
      </x:c>
      <x:c r="J199" s="45">
        <x:v>46293</x:v>
      </x:c>
      <x:c r="K199" s="44" t="str">
        <x:v>第十轮报告；r10-data.json；既有轮次证据</x:v>
      </x:c>
      <x:c r="L199" s="44" t="s">
        <x:v>1218</x:v>
      </x:c>
    </x:row>
    <x:row r="200" ht="160" customHeight="1">
      <x:c r="A200" s="62" t="s">
        <x:v>1124</x:v>
      </x:c>
      <x:c r="B200" s="62">
        <x:v>5</x:v>
      </x:c>
      <x:c r="C200" s="62" t="s">
        <x:v>1227</x:v>
      </x:c>
      <x:c r="D200" s="62" t="s">
        <x:v>1125</x:v>
      </x:c>
      <x:c r="E200" s="63" t="s">
        <x:v>1228</x:v>
      </x:c>
      <x:c r="F200" s="63" t="s">
        <x:v>1229</x:v>
      </x:c>
      <x:c r="G200" s="44" t="str">
        <x:v>暂时测不了</x:v>
      </x:c>
      <x:c r="H20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0" s="44" t="s">
        <x:v>92</x:v>
      </x:c>
      <x:c r="J200" s="45">
        <x:v>46293</x:v>
      </x:c>
      <x:c r="K200" s="44" t="str">
        <x:v>第十轮报告；r10-data.json；既有轮次证据</x:v>
      </x:c>
      <x:c r="L200" s="44" t="s">
        <x:v>1218</x:v>
      </x:c>
    </x:row>
    <x:row r="201" ht="160" customHeight="1">
      <x:c r="A201" s="62" t="s">
        <x:v>1124</x:v>
      </x:c>
      <x:c r="B201" s="62">
        <x:v>6</x:v>
      </x:c>
      <x:c r="C201" s="62" t="s">
        <x:v>1230</x:v>
      </x:c>
      <x:c r="D201" s="62" t="s">
        <x:v>1125</x:v>
      </x:c>
      <x:c r="E201" s="63" t="s">
        <x:v>1245</x:v>
      </x:c>
      <x:c r="F201" s="63" t="s">
        <x:v>1246</x:v>
      </x:c>
      <x:c r="G201" s="44" t="str">
        <x:v>暂时测不了</x:v>
      </x:c>
      <x:c r="H20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1" s="44" t="s">
        <x:v>92</x:v>
      </x:c>
      <x:c r="J201" s="45">
        <x:v>46293</x:v>
      </x:c>
      <x:c r="K201" s="44" t="str">
        <x:v>第十轮报告；r10-data.json；既有轮次证据</x:v>
      </x:c>
      <x:c r="L201" s="44" t="s">
        <x:v>1218</x:v>
      </x:c>
    </x:row>
    <x:row r="202" ht="160" customHeight="1">
      <x:c r="A202" s="62" t="s">
        <x:v>1124</x:v>
      </x:c>
      <x:c r="B202" s="62">
        <x:v>7</x:v>
      </x:c>
      <x:c r="C202" s="62" t="s">
        <x:v>1289</x:v>
      </x:c>
      <x:c r="D202" s="62" t="s">
        <x:v>1125</x:v>
      </x:c>
      <x:c r="E202" s="63" t="s">
        <x:v>1334</x:v>
      </x:c>
      <x:c r="F202" s="63" t="s">
        <x:v>1127</x:v>
      </x:c>
      <x:c r="G202" s="44" t="str">
        <x:v>暂时测不了</x:v>
      </x:c>
      <x:c r="H202" s="44" t="str">
        <x:v>第十轮：本步尚未作为同一事件完整链路验收。当前步骤：分别模拟设备忙、命令失败、结果未知；另运行一批执行中急停。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2" s="44" t="s">
        <x:v>92</x:v>
      </x:c>
      <x:c r="J202" s="45">
        <x:v>46293</x:v>
      </x:c>
      <x:c r="K202" s="44" t="str">
        <x:v>第十轮报告；r10-data.json；既有轮次证据</x:v>
      </x:c>
      <x:c r="L202" s="44" t="s">
        <x:v>1218</x:v>
      </x:c>
    </x:row>
    <x:row r="203" ht="160" customHeight="1">
      <x:c r="A203" s="62" t="s">
        <x:v>1124</x:v>
      </x:c>
      <x:c r="B203" s="62">
        <x:v>8</x:v>
      </x:c>
      <x:c r="C203" s="62" t="s">
        <x:v>1236</x:v>
      </x:c>
      <x:c r="D203" s="62" t="s">
        <x:v>1125</x:v>
      </x:c>
      <x:c r="E203" s="63" t="s">
        <x:v>1292</x:v>
      </x:c>
      <x:c r="F203" s="63" t="s">
        <x:v>1335</x:v>
      </x:c>
      <x:c r="G203" s="44" t="str">
        <x:v>暂时测不了</x:v>
      </x:c>
      <x:c r="H203" s="44" t="str">
        <x:v>第十轮：本步尚未作为同一事件完整链路验收。当前步骤：设备结果满足通知处罚条件后，不点击通知按钮，观察自动办理。 回读交接材料、送达、签收和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3" s="44" t="s">
        <x:v>92</x:v>
      </x:c>
      <x:c r="J203" s="45">
        <x:v>46293</x:v>
      </x:c>
      <x:c r="K203" s="44" t="str">
        <x:v>第十轮报告；r10-data.json；既有轮次证据</x:v>
      </x:c>
      <x:c r="L203" s="44" t="s">
        <x:v>1218</x:v>
      </x:c>
    </x:row>
    <x:row r="204" ht="160" customHeight="1">
      <x:c r="A204" s="62" t="s">
        <x:v>1124</x:v>
      </x:c>
      <x:c r="B204" s="62">
        <x:v>9</x:v>
      </x:c>
      <x:c r="C204" s="62" t="s">
        <x:v>1239</x:v>
      </x:c>
      <x:c r="D204" s="62" t="s">
        <x:v>1125</x:v>
      </x:c>
      <x:c r="E204" s="63" t="s">
        <x:v>1240</x:v>
      </x:c>
      <x:c r="F204" s="63" t="s">
        <x:v>1241</x:v>
      </x:c>
      <x:c r="G204" s="44" t="str">
        <x:v>暂时测不了</x:v>
      </x:c>
      <x:c r="H20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4" s="44" t="s">
        <x:v>92</x:v>
      </x:c>
      <x:c r="J204" s="45">
        <x:v>46293</x:v>
      </x:c>
      <x:c r="K204" s="44" t="str">
        <x:v>第十轮报告；r10-data.json；既有轮次证据</x:v>
      </x:c>
      <x:c r="L204" s="44" t="s">
        <x:v>1218</x:v>
      </x:c>
    </x:row>
    <x:row r="205" ht="160" customHeight="1">
      <x:c r="A205" s="62" t="s">
        <x:v>1124</x:v>
      </x:c>
      <x:c r="B205" s="62">
        <x:v>10</x:v>
      </x:c>
      <x:c r="C205" s="62" t="s">
        <x:v>1242</x:v>
      </x:c>
      <x:c r="D205" s="62" t="s">
        <x:v>1125</x:v>
      </x:c>
      <x:c r="E205" s="63" t="s">
        <x:v>1243</x:v>
      </x:c>
      <x:c r="F205" s="63" t="s">
        <x:v>1244</x:v>
      </x:c>
      <x:c r="G205" s="44" t="str">
        <x:v>暂时测不了</x:v>
      </x:c>
      <x:c r="H20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5" s="44" t="s">
        <x:v>92</x:v>
      </x:c>
      <x:c r="J205" s="45">
        <x:v>46293</x:v>
      </x:c>
      <x:c r="K205" s="44" t="str">
        <x:v>第十轮报告；r10-data.json；既有轮次证据</x:v>
      </x:c>
      <x:c r="L205" s="44" t="s">
        <x:v>1218</x:v>
      </x:c>
    </x:row>
    <x:row r="206" ht="160" customHeight="1">
      <x:c r="A206" s="64" t="s">
        <x:v>1128</x:v>
      </x:c>
      <x:c r="B206" s="64">
        <x:v>1</x:v>
      </x:c>
      <x:c r="C206" s="64" t="s">
        <x:v>1215</x:v>
      </x:c>
      <x:c r="D206" s="64" t="s">
        <x:v>1129</x:v>
      </x:c>
      <x:c r="E206" s="65" t="s">
        <x:v>1249</x:v>
      </x:c>
      <x:c r="F206" s="65" t="s">
        <x:v>1336</x:v>
      </x:c>
      <x:c r="G206" s="66" t="str">
        <x:v>暂时测不了</x:v>
      </x:c>
      <x:c r="H206" s="66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6" s="66" t="s">
        <x:v>92</x:v>
      </x:c>
      <x:c r="J206" s="67">
        <x:v>46293</x:v>
      </x:c>
      <x:c r="K206" s="66" t="str">
        <x:v>第十轮报告；r10-data.json；既有轮次证据</x:v>
      </x:c>
      <x:c r="L206" s="66" t="s">
        <x:v>1218</x:v>
      </x:c>
    </x:row>
    <x:row r="207" ht="160" customHeight="1">
      <x:c r="A207" s="68" t="s">
        <x:v>1128</x:v>
      </x:c>
      <x:c r="B207" s="68">
        <x:v>2</x:v>
      </x:c>
      <x:c r="C207" s="68" t="s">
        <x:v>1219</x:v>
      </x:c>
      <x:c r="D207" s="68" t="s">
        <x:v>1129</x:v>
      </x:c>
      <x:c r="E207" s="69" t="s">
        <x:v>1220</x:v>
      </x:c>
      <x:c r="F207" s="69" t="s">
        <x:v>1221</x:v>
      </x:c>
      <x:c r="G207" s="44" t="str">
        <x:v>暂时测不了</x:v>
      </x:c>
      <x:c r="H20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7" s="44" t="s">
        <x:v>92</x:v>
      </x:c>
      <x:c r="J207" s="45">
        <x:v>46293</x:v>
      </x:c>
      <x:c r="K207" s="44" t="str">
        <x:v>第十轮报告；r10-data.json；既有轮次证据</x:v>
      </x:c>
      <x:c r="L207" s="44" t="s">
        <x:v>1218</x:v>
      </x:c>
    </x:row>
    <x:row r="208" ht="160" customHeight="1">
      <x:c r="A208" s="68" t="s">
        <x:v>1128</x:v>
      </x:c>
      <x:c r="B208" s="68">
        <x:v>3</x:v>
      </x:c>
      <x:c r="C208" s="68" t="s">
        <x:v>1222</x:v>
      </x:c>
      <x:c r="D208" s="68" t="s">
        <x:v>1129</x:v>
      </x:c>
      <x:c r="E208" s="69" t="s">
        <x:v>1223</x:v>
      </x:c>
      <x:c r="F208" s="69" t="s">
        <x:v>1224</x:v>
      </x:c>
      <x:c r="G208" s="44" t="str">
        <x:v>暂时测不了</x:v>
      </x:c>
      <x:c r="H20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8" s="44" t="s">
        <x:v>92</x:v>
      </x:c>
      <x:c r="J208" s="45">
        <x:v>46293</x:v>
      </x:c>
      <x:c r="K208" s="44" t="str">
        <x:v>第十轮报告；r10-data.json；既有轮次证据</x:v>
      </x:c>
      <x:c r="L208" s="44" t="s">
        <x:v>1218</x:v>
      </x:c>
    </x:row>
    <x:row r="209" ht="160" customHeight="1">
      <x:c r="A209" s="68" t="s">
        <x:v>1128</x:v>
      </x:c>
      <x:c r="B209" s="68">
        <x:v>4</x:v>
      </x:c>
      <x:c r="C209" s="68" t="s">
        <x:v>993</x:v>
      </x:c>
      <x:c r="D209" s="68" t="s">
        <x:v>1129</x:v>
      </x:c>
      <x:c r="E209" s="69" t="s">
        <x:v>1247</x:v>
      </x:c>
      <x:c r="F209" s="69" t="s">
        <x:v>1248</x:v>
      </x:c>
      <x:c r="G209" s="44" t="str">
        <x:v>暂时测不了</x:v>
      </x:c>
      <x:c r="H20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9" s="44" t="s">
        <x:v>92</x:v>
      </x:c>
      <x:c r="J209" s="45">
        <x:v>46293</x:v>
      </x:c>
      <x:c r="K209" s="44" t="str">
        <x:v>第十轮报告；r10-data.json；既有轮次证据</x:v>
      </x:c>
      <x:c r="L209" s="44" t="s">
        <x:v>1218</x:v>
      </x:c>
    </x:row>
    <x:row r="210" ht="160" customHeight="1">
      <x:c r="A210" s="68" t="s">
        <x:v>1128</x:v>
      </x:c>
      <x:c r="B210" s="68">
        <x:v>5</x:v>
      </x:c>
      <x:c r="C210" s="68" t="s">
        <x:v>1227</x:v>
      </x:c>
      <x:c r="D210" s="68" t="s">
        <x:v>1129</x:v>
      </x:c>
      <x:c r="E210" s="69" t="s">
        <x:v>1228</x:v>
      </x:c>
      <x:c r="F210" s="69" t="s">
        <x:v>1229</x:v>
      </x:c>
      <x:c r="G210" s="44" t="str">
        <x:v>暂时测不了</x:v>
      </x:c>
      <x:c r="H21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0" s="44" t="s">
        <x:v>92</x:v>
      </x:c>
      <x:c r="J210" s="45">
        <x:v>46293</x:v>
      </x:c>
      <x:c r="K210" s="44" t="str">
        <x:v>第十轮报告；r10-data.json；既有轮次证据</x:v>
      </x:c>
      <x:c r="L210" s="44" t="s">
        <x:v>1218</x:v>
      </x:c>
    </x:row>
    <x:row r="211" ht="160" customHeight="1">
      <x:c r="A211" s="68" t="s">
        <x:v>1128</x:v>
      </x:c>
      <x:c r="B211" s="68">
        <x:v>6</x:v>
      </x:c>
      <x:c r="C211" s="68" t="s">
        <x:v>1230</x:v>
      </x:c>
      <x:c r="D211" s="68" t="s">
        <x:v>1129</x:v>
      </x:c>
      <x:c r="E211" s="69" t="s">
        <x:v>1337</x:v>
      </x:c>
      <x:c r="F211" s="69" t="s">
        <x:v>1246</x:v>
      </x:c>
      <x:c r="G211" s="44" t="str">
        <x:v>暂时测不了</x:v>
      </x:c>
      <x:c r="H211" s="44" t="str">
        <x:v>第十轮：本步尚未作为同一事件完整链路验收。当前步骤：进入待反制后不点发起，等待规则满足；检查当前证据和唯一可用测试设备。 在排队及续链前，让授权/规则时段到期、观测过期，或取消可执行资格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1" s="44" t="s">
        <x:v>92</x:v>
      </x:c>
      <x:c r="J211" s="45">
        <x:v>46293</x:v>
      </x:c>
      <x:c r="K211" s="44" t="str">
        <x:v>第十轮报告；r10-data.json；既有轮次证据</x:v>
      </x:c>
      <x:c r="L211" s="44" t="s">
        <x:v>1218</x:v>
      </x:c>
    </x:row>
    <x:row r="212" ht="160" customHeight="1">
      <x:c r="A212" s="68" t="s">
        <x:v>1128</x:v>
      </x:c>
      <x:c r="B212" s="68">
        <x:v>7</x:v>
      </x:c>
      <x:c r="C212" s="68" t="s">
        <x:v>1289</x:v>
      </x:c>
      <x:c r="D212" s="68" t="s">
        <x:v>1129</x:v>
      </x:c>
      <x:c r="E212" s="69" t="s">
        <x:v>1290</x:v>
      </x:c>
      <x:c r="F212" s="69" t="s">
        <x:v>1131</x:v>
      </x:c>
      <x:c r="G212" s="44" t="str">
        <x:v>暂时测不了</x:v>
      </x:c>
      <x:c r="H21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2" s="44" t="s">
        <x:v>92</x:v>
      </x:c>
      <x:c r="J212" s="45">
        <x:v>46293</x:v>
      </x:c>
      <x:c r="K212" s="44" t="str">
        <x:v>第十轮报告；r10-data.json；既有轮次证据</x:v>
      </x:c>
      <x:c r="L212" s="44" t="s">
        <x:v>1218</x:v>
      </x:c>
    </x:row>
    <x:row r="213" ht="160" customHeight="1">
      <x:c r="A213" s="68" t="s">
        <x:v>1128</x:v>
      </x:c>
      <x:c r="B213" s="68">
        <x:v>8</x:v>
      </x:c>
      <x:c r="C213" s="68" t="s">
        <x:v>1236</x:v>
      </x:c>
      <x:c r="D213" s="68" t="s">
        <x:v>1129</x:v>
      </x:c>
      <x:c r="E213" s="69" t="s">
        <x:v>1292</x:v>
      </x:c>
      <x:c r="F213" s="69" t="s">
        <x:v>1338</x:v>
      </x:c>
      <x:c r="G213" s="44" t="str">
        <x:v>暂时测不了</x:v>
      </x:c>
      <x:c r="H213" s="44" t="str">
        <x:v>第十轮：本步尚未作为同一事件完整链路验收。当前步骤：设备结果满足通知处罚条件后，不点击通知按钮，观察自动办理。 回读交接材料、送达、签收和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3" s="44" t="s">
        <x:v>92</x:v>
      </x:c>
      <x:c r="J213" s="45">
        <x:v>46293</x:v>
      </x:c>
      <x:c r="K213" s="44" t="str">
        <x:v>第十轮报告；r10-data.json；既有轮次证据</x:v>
      </x:c>
      <x:c r="L213" s="44" t="s">
        <x:v>1218</x:v>
      </x:c>
    </x:row>
    <x:row r="214" ht="160" customHeight="1">
      <x:c r="A214" s="68" t="s">
        <x:v>1128</x:v>
      </x:c>
      <x:c r="B214" s="68">
        <x:v>9</x:v>
      </x:c>
      <x:c r="C214" s="68" t="s">
        <x:v>1239</x:v>
      </x:c>
      <x:c r="D214" s="68" t="s">
        <x:v>1129</x:v>
      </x:c>
      <x:c r="E214" s="69" t="s">
        <x:v>1240</x:v>
      </x:c>
      <x:c r="F214" s="69" t="s">
        <x:v>1241</x:v>
      </x:c>
      <x:c r="G214" s="44" t="str">
        <x:v>暂时测不了</x:v>
      </x:c>
      <x:c r="H21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4" s="44" t="s">
        <x:v>92</x:v>
      </x:c>
      <x:c r="J214" s="45">
        <x:v>46293</x:v>
      </x:c>
      <x:c r="K214" s="44" t="str">
        <x:v>第十轮报告；r10-data.json；既有轮次证据</x:v>
      </x:c>
      <x:c r="L214" s="44" t="s">
        <x:v>1218</x:v>
      </x:c>
    </x:row>
    <x:row r="215" ht="160" customHeight="1">
      <x:c r="A215" s="68" t="s">
        <x:v>1128</x:v>
      </x:c>
      <x:c r="B215" s="68">
        <x:v>10</x:v>
      </x:c>
      <x:c r="C215" s="68" t="s">
        <x:v>1242</x:v>
      </x:c>
      <x:c r="D215" s="68" t="s">
        <x:v>1129</x:v>
      </x:c>
      <x:c r="E215" s="69" t="s">
        <x:v>1243</x:v>
      </x:c>
      <x:c r="F215" s="69" t="s">
        <x:v>1244</x:v>
      </x:c>
      <x:c r="G215" s="44" t="str">
        <x:v>暂时测不了</x:v>
      </x:c>
      <x:c r="H21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5" s="44" t="s">
        <x:v>92</x:v>
      </x:c>
      <x:c r="J215" s="45">
        <x:v>46293</x:v>
      </x:c>
      <x:c r="K215" s="44" t="str">
        <x:v>第十轮报告；r10-data.json；既有轮次证据</x:v>
      </x:c>
      <x:c r="L215" s="44" t="s">
        <x:v>1218</x:v>
      </x:c>
    </x:row>
    <x:row r="216" ht="160" customHeight="1">
      <x:c r="A216" s="70" t="s">
        <x:v>1132</x:v>
      </x:c>
      <x:c r="B216" s="70">
        <x:v>1</x:v>
      </x:c>
      <x:c r="C216" s="70" t="s">
        <x:v>1215</x:v>
      </x:c>
      <x:c r="D216" s="70" t="s">
        <x:v>1133</x:v>
      </x:c>
      <x:c r="E216" s="71" t="s">
        <x:v>1249</x:v>
      </x:c>
      <x:c r="F216" s="71" t="s">
        <x:v>1339</x:v>
      </x:c>
      <x:c r="G216" s="72" t="str">
        <x:v>暂时测不了</x:v>
      </x:c>
      <x:c r="H216" s="72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6" s="72" t="s">
        <x:v>92</x:v>
      </x:c>
      <x:c r="J216" s="73">
        <x:v>46293</x:v>
      </x:c>
      <x:c r="K216" s="72" t="str">
        <x:v>第十轮报告；r10-data.json；既有轮次证据</x:v>
      </x:c>
      <x:c r="L216" s="72" t="s">
        <x:v>1218</x:v>
      </x:c>
    </x:row>
    <x:row r="217" ht="160" customHeight="1">
      <x:c r="A217" s="74" t="s">
        <x:v>1132</x:v>
      </x:c>
      <x:c r="B217" s="74">
        <x:v>2</x:v>
      </x:c>
      <x:c r="C217" s="74" t="s">
        <x:v>1219</x:v>
      </x:c>
      <x:c r="D217" s="74" t="s">
        <x:v>1133</x:v>
      </x:c>
      <x:c r="E217" s="75" t="s">
        <x:v>1220</x:v>
      </x:c>
      <x:c r="F217" s="75" t="s">
        <x:v>1221</x:v>
      </x:c>
      <x:c r="G217" s="44" t="str">
        <x:v>暂时测不了</x:v>
      </x:c>
      <x:c r="H21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7" s="44" t="s">
        <x:v>92</x:v>
      </x:c>
      <x:c r="J217" s="45">
        <x:v>46293</x:v>
      </x:c>
      <x:c r="K217" s="44" t="str">
        <x:v>第十轮报告；r10-data.json；既有轮次证据</x:v>
      </x:c>
      <x:c r="L217" s="44" t="s">
        <x:v>1218</x:v>
      </x:c>
    </x:row>
    <x:row r="218" ht="160" customHeight="1">
      <x:c r="A218" s="74" t="s">
        <x:v>1132</x:v>
      </x:c>
      <x:c r="B218" s="74">
        <x:v>3</x:v>
      </x:c>
      <x:c r="C218" s="74" t="s">
        <x:v>1222</x:v>
      </x:c>
      <x:c r="D218" s="74" t="s">
        <x:v>1133</x:v>
      </x:c>
      <x:c r="E218" s="75" t="s">
        <x:v>1223</x:v>
      </x:c>
      <x:c r="F218" s="75" t="s">
        <x:v>1224</x:v>
      </x:c>
      <x:c r="G218" s="44" t="str">
        <x:v>暂时测不了</x:v>
      </x:c>
      <x:c r="H21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8" s="44" t="s">
        <x:v>92</x:v>
      </x:c>
      <x:c r="J218" s="45">
        <x:v>46293</x:v>
      </x:c>
      <x:c r="K218" s="44" t="str">
        <x:v>第十轮报告；r10-data.json；既有轮次证据</x:v>
      </x:c>
      <x:c r="L218" s="44" t="s">
        <x:v>1218</x:v>
      </x:c>
    </x:row>
    <x:row r="219" ht="160" customHeight="1">
      <x:c r="A219" s="74" t="s">
        <x:v>1132</x:v>
      </x:c>
      <x:c r="B219" s="74">
        <x:v>4</x:v>
      </x:c>
      <x:c r="C219" s="74" t="s">
        <x:v>993</x:v>
      </x:c>
      <x:c r="D219" s="74" t="s">
        <x:v>1133</x:v>
      </x:c>
      <x:c r="E219" s="75" t="s">
        <x:v>1340</x:v>
      </x:c>
      <x:c r="F219" s="75" t="s">
        <x:v>1341</x:v>
      </x:c>
      <x:c r="G219" s="44" t="str">
        <x:v>暂时测不了</x:v>
      </x:c>
      <x:c r="H219" s="44" t="str">
        <x:v>第十轮：本步尚未作为同一事件完整链路验收。当前步骤：不点击核实，等待已启用规则满足。 本环节另用无权、范围受限账号尝试，再用有权账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9" s="44" t="s">
        <x:v>92</x:v>
      </x:c>
      <x:c r="J219" s="45">
        <x:v>46293</x:v>
      </x:c>
      <x:c r="K219" s="44" t="str">
        <x:v>第十轮报告；r10-data.json；既有轮次证据</x:v>
      </x:c>
      <x:c r="L219" s="44" t="s">
        <x:v>1218</x:v>
      </x:c>
    </x:row>
    <x:row r="220" ht="160" customHeight="1">
      <x:c r="A220" s="74" t="s">
        <x:v>1132</x:v>
      </x:c>
      <x:c r="B220" s="74">
        <x:v>5</x:v>
      </x:c>
      <x:c r="C220" s="74" t="s">
        <x:v>1227</x:v>
      </x:c>
      <x:c r="D220" s="74" t="s">
        <x:v>1133</x:v>
      </x:c>
      <x:c r="E220" s="75" t="s">
        <x:v>1228</x:v>
      </x:c>
      <x:c r="F220" s="75" t="s">
        <x:v>1229</x:v>
      </x:c>
      <x:c r="G220" s="44" t="str">
        <x:v>暂时测不了</x:v>
      </x:c>
      <x:c r="H22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0" s="44" t="s">
        <x:v>92</x:v>
      </x:c>
      <x:c r="J220" s="45">
        <x:v>46293</x:v>
      </x:c>
      <x:c r="K220" s="44" t="str">
        <x:v>第十轮报告；r10-data.json；既有轮次证据</x:v>
      </x:c>
      <x:c r="L220" s="44" t="s">
        <x:v>1218</x:v>
      </x:c>
    </x:row>
    <x:row r="221" ht="160" customHeight="1">
      <x:c r="A221" s="74" t="s">
        <x:v>1132</x:v>
      </x:c>
      <x:c r="B221" s="74">
        <x:v>6</x:v>
      </x:c>
      <x:c r="C221" s="74" t="s">
        <x:v>1230</x:v>
      </x:c>
      <x:c r="D221" s="74" t="s">
        <x:v>1133</x:v>
      </x:c>
      <x:c r="E221" s="75" t="s">
        <x:v>1342</x:v>
      </x:c>
      <x:c r="F221" s="75" t="s">
        <x:v>1343</x:v>
      </x:c>
      <x:c r="G221" s="44" t="str">
        <x:v>暂时测不了</x:v>
      </x:c>
      <x:c r="H221" s="44" t="str">
        <x:v>第十轮：本步尚未作为同一事件完整链路验收。当前步骤：进入待反制后不点发起，等待规则满足；检查当前证据和唯一可用测试设备。 本环节另用无权、范围受限账号尝试，再用有权账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1" s="44" t="s">
        <x:v>92</x:v>
      </x:c>
      <x:c r="J221" s="45">
        <x:v>46293</x:v>
      </x:c>
      <x:c r="K221" s="44" t="str">
        <x:v>第十轮报告；r10-data.json；既有轮次证据</x:v>
      </x:c>
      <x:c r="L221" s="44" t="s">
        <x:v>1218</x:v>
      </x:c>
    </x:row>
    <x:row r="222" ht="160" customHeight="1">
      <x:c r="A222" s="74" t="s">
        <x:v>1132</x:v>
      </x:c>
      <x:c r="B222" s="74">
        <x:v>7</x:v>
      </x:c>
      <x:c r="C222" s="74" t="s">
        <x:v>1289</x:v>
      </x:c>
      <x:c r="D222" s="74" t="s">
        <x:v>1133</x:v>
      </x:c>
      <x:c r="E222" s="75" t="s">
        <x:v>1290</x:v>
      </x:c>
      <x:c r="F222" s="75" t="s">
        <x:v>1291</x:v>
      </x:c>
      <x:c r="G222" s="44" t="str">
        <x:v>暂时测不了</x:v>
      </x:c>
      <x:c r="H22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2" s="44" t="s">
        <x:v>92</x:v>
      </x:c>
      <x:c r="J222" s="45">
        <x:v>46293</x:v>
      </x:c>
      <x:c r="K222" s="44" t="str">
        <x:v>第十轮报告；r10-data.json；既有轮次证据</x:v>
      </x:c>
      <x:c r="L222" s="44" t="s">
        <x:v>1218</x:v>
      </x:c>
    </x:row>
    <x:row r="223" ht="160" customHeight="1">
      <x:c r="A223" s="74" t="s">
        <x:v>1132</x:v>
      </x:c>
      <x:c r="B223" s="74">
        <x:v>8</x:v>
      </x:c>
      <x:c r="C223" s="74" t="s">
        <x:v>1236</x:v>
      </x:c>
      <x:c r="D223" s="74" t="s">
        <x:v>1133</x:v>
      </x:c>
      <x:c r="E223" s="75" t="s">
        <x:v>1344</x:v>
      </x:c>
      <x:c r="F223" s="75" t="s">
        <x:v>1345</x:v>
      </x:c>
      <x:c r="G223" s="44" t="str">
        <x:v>暂时测不了</x:v>
      </x:c>
      <x:c r="H223" s="44" t="str">
        <x:v>第十轮：本步尚未作为同一事件完整链路验收。当前步骤：设备结果满足通知处罚条件后，不点击通知按钮，观察自动办理。 回读交接材料、送达、签收和办理结果。 本环节另用无权、范围受限账号尝试，再用有权账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3" s="44" t="s">
        <x:v>92</x:v>
      </x:c>
      <x:c r="J223" s="45">
        <x:v>46293</x:v>
      </x:c>
      <x:c r="K223" s="44" t="str">
        <x:v>第十轮报告；r10-data.json；既有轮次证据</x:v>
      </x:c>
      <x:c r="L223" s="44" t="s">
        <x:v>1218</x:v>
      </x:c>
    </x:row>
    <x:row r="224" ht="160" customHeight="1">
      <x:c r="A224" s="74" t="s">
        <x:v>1132</x:v>
      </x:c>
      <x:c r="B224" s="74">
        <x:v>9</x:v>
      </x:c>
      <x:c r="C224" s="74" t="s">
        <x:v>1239</x:v>
      </x:c>
      <x:c r="D224" s="74" t="s">
        <x:v>1133</x:v>
      </x:c>
      <x:c r="E224" s="75" t="s">
        <x:v>1240</x:v>
      </x:c>
      <x:c r="F224" s="75" t="s">
        <x:v>1241</x:v>
      </x:c>
      <x:c r="G224" s="44" t="str">
        <x:v>暂时测不了</x:v>
      </x:c>
      <x:c r="H22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4" s="44" t="s">
        <x:v>92</x:v>
      </x:c>
      <x:c r="J224" s="45">
        <x:v>46293</x:v>
      </x:c>
      <x:c r="K224" s="44" t="str">
        <x:v>第十轮报告；r10-data.json；既有轮次证据</x:v>
      </x:c>
      <x:c r="L224" s="44" t="s">
        <x:v>1218</x:v>
      </x:c>
    </x:row>
    <x:row r="225" ht="160" customHeight="1">
      <x:c r="A225" s="74" t="s">
        <x:v>1132</x:v>
      </x:c>
      <x:c r="B225" s="74">
        <x:v>10</x:v>
      </x:c>
      <x:c r="C225" s="74" t="s">
        <x:v>1242</x:v>
      </x:c>
      <x:c r="D225" s="74" t="s">
        <x:v>1133</x:v>
      </x:c>
      <x:c r="E225" s="75" t="s">
        <x:v>1243</x:v>
      </x:c>
      <x:c r="F225" s="75" t="s">
        <x:v>1244</x:v>
      </x:c>
      <x:c r="G225" s="44" t="str">
        <x:v>暂时测不了</x:v>
      </x:c>
      <x:c r="H22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5" s="44" t="s">
        <x:v>92</x:v>
      </x:c>
      <x:c r="J225" s="45">
        <x:v>46293</x:v>
      </x:c>
      <x:c r="K225" s="44" t="str">
        <x:v>第十轮报告；r10-data.json；既有轮次证据</x:v>
      </x:c>
      <x:c r="L225" s="44" t="s">
        <x:v>1218</x:v>
      </x:c>
    </x:row>
    <x:row r="226" ht="160" customHeight="1">
      <x:c r="A226" s="76" t="s">
        <x:v>1136</x:v>
      </x:c>
      <x:c r="B226" s="76">
        <x:v>1</x:v>
      </x:c>
      <x:c r="C226" s="76" t="s">
        <x:v>1215</x:v>
      </x:c>
      <x:c r="D226" s="76" t="s">
        <x:v>1137</x:v>
      </x:c>
      <x:c r="E226" s="77" t="s">
        <x:v>1346</x:v>
      </x:c>
      <x:c r="F226" s="77" t="s">
        <x:v>1347</x:v>
      </x:c>
      <x:c r="G226" s="78" t="str">
        <x:v>暂时测不了</x:v>
      </x:c>
      <x:c r="H226" s="78" t="str">
        <x:v>第十轮：本步尚未作为同一事件完整链路验收。当前步骤：按M1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6" s="78" t="s">
        <x:v>92</x:v>
      </x:c>
      <x:c r="J226" s="79">
        <x:v>46293</x:v>
      </x:c>
      <x:c r="K226" s="78" t="str">
        <x:v>第十轮报告；r10-data.json；既有轮次证据</x:v>
      </x:c>
      <x:c r="L226" s="78" t="s">
        <x:v>1218</x:v>
      </x:c>
    </x:row>
    <x:row r="227" ht="160" customHeight="1">
      <x:c r="A227" s="80" t="s">
        <x:v>1136</x:v>
      </x:c>
      <x:c r="B227" s="80">
        <x:v>2</x:v>
      </x:c>
      <x:c r="C227" s="80" t="s">
        <x:v>1219</x:v>
      </x:c>
      <x:c r="D227" s="80" t="s">
        <x:v>1137</x:v>
      </x:c>
      <x:c r="E227" s="81" t="s">
        <x:v>1220</x:v>
      </x:c>
      <x:c r="F227" s="81" t="s">
        <x:v>1221</x:v>
      </x:c>
      <x:c r="G227" s="44" t="str">
        <x:v>暂时测不了</x:v>
      </x:c>
      <x:c r="H22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7" s="44" t="s">
        <x:v>92</x:v>
      </x:c>
      <x:c r="J227" s="45">
        <x:v>46293</x:v>
      </x:c>
      <x:c r="K227" s="44" t="str">
        <x:v>第十轮报告；r10-data.json；既有轮次证据</x:v>
      </x:c>
      <x:c r="L227" s="44" t="s">
        <x:v>1218</x:v>
      </x:c>
    </x:row>
    <x:row r="228" ht="160" customHeight="1">
      <x:c r="A228" s="80" t="s">
        <x:v>1136</x:v>
      </x:c>
      <x:c r="B228" s="80">
        <x:v>3</x:v>
      </x:c>
      <x:c r="C228" s="80" t="s">
        <x:v>1222</x:v>
      </x:c>
      <x:c r="D228" s="80" t="s">
        <x:v>1137</x:v>
      </x:c>
      <x:c r="E228" s="81" t="s">
        <x:v>1223</x:v>
      </x:c>
      <x:c r="F228" s="81" t="s">
        <x:v>1224</x:v>
      </x:c>
      <x:c r="G228" s="44" t="str">
        <x:v>暂时测不了</x:v>
      </x:c>
      <x:c r="H22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8" s="44" t="s">
        <x:v>92</x:v>
      </x:c>
      <x:c r="J228" s="45">
        <x:v>46293</x:v>
      </x:c>
      <x:c r="K228" s="44" t="str">
        <x:v>第十轮报告；r10-data.json；既有轮次证据</x:v>
      </x:c>
      <x:c r="L228" s="44" t="s">
        <x:v>1218</x:v>
      </x:c>
    </x:row>
    <x:row r="229" ht="160" customHeight="1">
      <x:c r="A229" s="80" t="s">
        <x:v>1136</x:v>
      </x:c>
      <x:c r="B229" s="80">
        <x:v>4</x:v>
      </x:c>
      <x:c r="C229" s="80" t="s">
        <x:v>993</x:v>
      </x:c>
      <x:c r="D229" s="80" t="s">
        <x:v>1137</x:v>
      </x:c>
      <x:c r="E229" s="81" t="s">
        <x:v>1225</x:v>
      </x:c>
      <x:c r="F229" s="81" t="s">
        <x:v>1226</x:v>
      </x:c>
      <x:c r="G229" s="44" t="str">
        <x:v>暂时测不了</x:v>
      </x:c>
      <x:c r="H22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9" s="44" t="s">
        <x:v>92</x:v>
      </x:c>
      <x:c r="J229" s="45">
        <x:v>46293</x:v>
      </x:c>
      <x:c r="K229" s="44" t="str">
        <x:v>第十轮报告；r10-data.json；既有轮次证据</x:v>
      </x:c>
      <x:c r="L229" s="44" t="s">
        <x:v>1218</x:v>
      </x:c>
    </x:row>
    <x:row r="230" ht="160" customHeight="1">
      <x:c r="A230" s="80" t="s">
        <x:v>1136</x:v>
      </x:c>
      <x:c r="B230" s="80">
        <x:v>5</x:v>
      </x:c>
      <x:c r="C230" s="80" t="s">
        <x:v>1227</x:v>
      </x:c>
      <x:c r="D230" s="80" t="s">
        <x:v>1137</x:v>
      </x:c>
      <x:c r="E230" s="81" t="s">
        <x:v>1228</x:v>
      </x:c>
      <x:c r="F230" s="81" t="s">
        <x:v>1229</x:v>
      </x:c>
      <x:c r="G230" s="44" t="str">
        <x:v>暂时测不了</x:v>
      </x:c>
      <x:c r="H23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0" s="44" t="s">
        <x:v>92</x:v>
      </x:c>
      <x:c r="J230" s="45">
        <x:v>46293</x:v>
      </x:c>
      <x:c r="K230" s="44" t="str">
        <x:v>第十轮报告；r10-data.json；既有轮次证据</x:v>
      </x:c>
      <x:c r="L230" s="44" t="s">
        <x:v>1218</x:v>
      </x:c>
    </x:row>
    <x:row r="231" ht="160" customHeight="1">
      <x:c r="A231" s="80" t="s">
        <x:v>1136</x:v>
      </x:c>
      <x:c r="B231" s="80">
        <x:v>6</x:v>
      </x:c>
      <x:c r="C231" s="80" t="s">
        <x:v>1348</x:v>
      </x:c>
      <x:c r="D231" s="80" t="s">
        <x:v>1137</x:v>
      </x:c>
      <x:c r="E231" s="81" t="s">
        <x:v>1349</x:v>
      </x:c>
      <x:c r="F231" s="81" t="s">
        <x:v>1350</x:v>
      </x:c>
      <x:c r="G231" s="44" t="str">
        <x:v>暂时测不了</x:v>
      </x:c>
      <x:c r="H231" s="44" t="str">
        <x:v>第十轮：本步尚未作为同一事件完整链路验收。当前步骤：被明确授予直接权限的人员手动发起；另一子批次用没有direct的管理员尝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1" s="44" t="s">
        <x:v>92</x:v>
      </x:c>
      <x:c r="J231" s="45">
        <x:v>46293</x:v>
      </x:c>
      <x:c r="K231" s="44" t="str">
        <x:v>第十轮报告；r10-data.json；既有轮次证据</x:v>
      </x:c>
      <x:c r="L231" s="44" t="s">
        <x:v>1218</x:v>
      </x:c>
    </x:row>
    <x:row r="232" ht="160" customHeight="1">
      <x:c r="A232" s="80" t="s">
        <x:v>1136</x:v>
      </x:c>
      <x:c r="B232" s="80">
        <x:v>7</x:v>
      </x:c>
      <x:c r="C232" s="80" t="s">
        <x:v>1289</x:v>
      </x:c>
      <x:c r="D232" s="80" t="s">
        <x:v>1137</x:v>
      </x:c>
      <x:c r="E232" s="81" t="s">
        <x:v>1290</x:v>
      </x:c>
      <x:c r="F232" s="81" t="s">
        <x:v>1291</x:v>
      </x:c>
      <x:c r="G232" s="44" t="str">
        <x:v>暂时测不了</x:v>
      </x:c>
      <x:c r="H23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2" s="44" t="s">
        <x:v>92</x:v>
      </x:c>
      <x:c r="J232" s="45">
        <x:v>46293</x:v>
      </x:c>
      <x:c r="K232" s="44" t="str">
        <x:v>第十轮报告；r10-data.json；既有轮次证据</x:v>
      </x:c>
      <x:c r="L232" s="44" t="s">
        <x:v>1218</x:v>
      </x:c>
    </x:row>
    <x:row r="233" ht="160" customHeight="1">
      <x:c r="A233" s="80" t="s">
        <x:v>1136</x:v>
      </x:c>
      <x:c r="B233" s="80">
        <x:v>8</x:v>
      </x:c>
      <x:c r="C233" s="80" t="s">
        <x:v>1236</x:v>
      </x:c>
      <x:c r="D233" s="80" t="s">
        <x:v>1137</x:v>
      </x:c>
      <x:c r="E233" s="81" t="s">
        <x:v>1351</x:v>
      </x:c>
      <x:c r="F233" s="81" t="s">
        <x:v>1238</x:v>
      </x:c>
      <x:c r="G233" s="44" t="str">
        <x:v>暂时测不了</x:v>
      </x:c>
      <x:c r="H233" s="44" t="str">
        <x:v>第十轮：本步尚未作为同一事件完整链路验收。当前步骤：设备结果满足条件后，先确认系统等待人工，再由有权人员通知处罚部门。 回读交接材料、送达、签收和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3" s="44" t="s">
        <x:v>92</x:v>
      </x:c>
      <x:c r="J233" s="45">
        <x:v>46293</x:v>
      </x:c>
      <x:c r="K233" s="44" t="str">
        <x:v>第十轮报告；r10-data.json；既有轮次证据</x:v>
      </x:c>
      <x:c r="L233" s="44" t="s">
        <x:v>1218</x:v>
      </x:c>
    </x:row>
    <x:row r="234" ht="160" customHeight="1">
      <x:c r="A234" s="80" t="s">
        <x:v>1136</x:v>
      </x:c>
      <x:c r="B234" s="80">
        <x:v>9</x:v>
      </x:c>
      <x:c r="C234" s="80" t="s">
        <x:v>1239</x:v>
      </x:c>
      <x:c r="D234" s="80" t="s">
        <x:v>1137</x:v>
      </x:c>
      <x:c r="E234" s="81" t="s">
        <x:v>1240</x:v>
      </x:c>
      <x:c r="F234" s="81" t="s">
        <x:v>1241</x:v>
      </x:c>
      <x:c r="G234" s="44" t="str">
        <x:v>暂时测不了</x:v>
      </x:c>
      <x:c r="H23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4" s="44" t="s">
        <x:v>92</x:v>
      </x:c>
      <x:c r="J234" s="45">
        <x:v>46293</x:v>
      </x:c>
      <x:c r="K234" s="44" t="str">
        <x:v>第十轮报告；r10-data.json；既有轮次证据</x:v>
      </x:c>
      <x:c r="L234" s="44" t="s">
        <x:v>1218</x:v>
      </x:c>
    </x:row>
    <x:row r="235" ht="160" customHeight="1">
      <x:c r="A235" s="80" t="s">
        <x:v>1136</x:v>
      </x:c>
      <x:c r="B235" s="80">
        <x:v>10</x:v>
      </x:c>
      <x:c r="C235" s="80" t="s">
        <x:v>1242</x:v>
      </x:c>
      <x:c r="D235" s="80" t="s">
        <x:v>1137</x:v>
      </x:c>
      <x:c r="E235" s="81" t="s">
        <x:v>1243</x:v>
      </x:c>
      <x:c r="F235" s="81" t="s">
        <x:v>1244</x:v>
      </x:c>
      <x:c r="G235" s="44" t="str">
        <x:v>暂时测不了</x:v>
      </x:c>
      <x:c r="H23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5" s="44" t="s">
        <x:v>92</x:v>
      </x:c>
      <x:c r="J235" s="45">
        <x:v>46293</x:v>
      </x:c>
      <x:c r="K235" s="44" t="str">
        <x:v>第十轮报告；r10-data.json；既有轮次证据</x:v>
      </x:c>
      <x:c r="L235" s="44" t="s">
        <x:v>1218</x:v>
      </x:c>
    </x:row>
    <x:row r="236" ht="160" customHeight="1">
      <x:c r="A236" s="82" t="s">
        <x:v>1140</x:v>
      </x:c>
      <x:c r="B236" s="82">
        <x:v>1</x:v>
      </x:c>
      <x:c r="C236" s="82" t="s">
        <x:v>1215</x:v>
      </x:c>
      <x:c r="D236" s="82" t="s">
        <x:v>1141</x:v>
      </x:c>
      <x:c r="E236" s="83" t="s">
        <x:v>1249</x:v>
      </x:c>
      <x:c r="F236" s="83" t="s">
        <x:v>1352</x:v>
      </x:c>
      <x:c r="G236" s="84" t="str">
        <x:v>暂时测不了</x:v>
      </x:c>
      <x:c r="H236" s="84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6" s="84" t="s">
        <x:v>92</x:v>
      </x:c>
      <x:c r="J236" s="85">
        <x:v>46293</x:v>
      </x:c>
      <x:c r="K236" s="84" t="str">
        <x:v>第十轮报告；r10-data.json；既有轮次证据</x:v>
      </x:c>
      <x:c r="L236" s="84" t="s">
        <x:v>1218</x:v>
      </x:c>
    </x:row>
    <x:row r="237" ht="160" customHeight="1">
      <x:c r="A237" s="86" t="s">
        <x:v>1140</x:v>
      </x:c>
      <x:c r="B237" s="86">
        <x:v>2</x:v>
      </x:c>
      <x:c r="C237" s="86" t="s">
        <x:v>1219</x:v>
      </x:c>
      <x:c r="D237" s="86" t="s">
        <x:v>1141</x:v>
      </x:c>
      <x:c r="E237" s="87" t="s">
        <x:v>1220</x:v>
      </x:c>
      <x:c r="F237" s="87" t="s">
        <x:v>1221</x:v>
      </x:c>
      <x:c r="G237" s="44" t="str">
        <x:v>暂时测不了</x:v>
      </x:c>
      <x:c r="H23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7" s="44" t="s">
        <x:v>92</x:v>
      </x:c>
      <x:c r="J237" s="45">
        <x:v>46293</x:v>
      </x:c>
      <x:c r="K237" s="44" t="str">
        <x:v>第十轮报告；r10-data.json；既有轮次证据</x:v>
      </x:c>
      <x:c r="L237" s="44" t="s">
        <x:v>1218</x:v>
      </x:c>
    </x:row>
    <x:row r="238" ht="160" customHeight="1">
      <x:c r="A238" s="86" t="s">
        <x:v>1140</x:v>
      </x:c>
      <x:c r="B238" s="86">
        <x:v>3</x:v>
      </x:c>
      <x:c r="C238" s="86" t="s">
        <x:v>1222</x:v>
      </x:c>
      <x:c r="D238" s="86" t="s">
        <x:v>1141</x:v>
      </x:c>
      <x:c r="E238" s="87" t="s">
        <x:v>1223</x:v>
      </x:c>
      <x:c r="F238" s="87" t="s">
        <x:v>1224</x:v>
      </x:c>
      <x:c r="G238" s="44" t="str">
        <x:v>暂时测不了</x:v>
      </x:c>
      <x:c r="H23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8" s="44" t="s">
        <x:v>92</x:v>
      </x:c>
      <x:c r="J238" s="45">
        <x:v>46293</x:v>
      </x:c>
      <x:c r="K238" s="44" t="str">
        <x:v>第十轮报告；r10-data.json；既有轮次证据</x:v>
      </x:c>
      <x:c r="L238" s="44" t="s">
        <x:v>1218</x:v>
      </x:c>
    </x:row>
    <x:row r="239" ht="160" customHeight="1">
      <x:c r="A239" s="86" t="s">
        <x:v>1140</x:v>
      </x:c>
      <x:c r="B239" s="86">
        <x:v>4</x:v>
      </x:c>
      <x:c r="C239" s="86" t="s">
        <x:v>993</x:v>
      </x:c>
      <x:c r="D239" s="86" t="s">
        <x:v>1141</x:v>
      </x:c>
      <x:c r="E239" s="87" t="s">
        <x:v>1247</x:v>
      </x:c>
      <x:c r="F239" s="87" t="s">
        <x:v>1248</x:v>
      </x:c>
      <x:c r="G239" s="44" t="str">
        <x:v>暂时测不了</x:v>
      </x:c>
      <x:c r="H23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9" s="44" t="s">
        <x:v>92</x:v>
      </x:c>
      <x:c r="J239" s="45">
        <x:v>46293</x:v>
      </x:c>
      <x:c r="K239" s="44" t="str">
        <x:v>第十轮报告；r10-data.json；既有轮次证据</x:v>
      </x:c>
      <x:c r="L239" s="44" t="s">
        <x:v>1218</x:v>
      </x:c>
    </x:row>
    <x:row r="240" ht="160" customHeight="1">
      <x:c r="A240" s="86" t="s">
        <x:v>1140</x:v>
      </x:c>
      <x:c r="B240" s="86">
        <x:v>5</x:v>
      </x:c>
      <x:c r="C240" s="86" t="s">
        <x:v>1227</x:v>
      </x:c>
      <x:c r="D240" s="86" t="s">
        <x:v>1141</x:v>
      </x:c>
      <x:c r="E240" s="87" t="s">
        <x:v>1228</x:v>
      </x:c>
      <x:c r="F240" s="87" t="s">
        <x:v>1229</x:v>
      </x:c>
      <x:c r="G240" s="44" t="str">
        <x:v>暂时测不了</x:v>
      </x:c>
      <x:c r="H24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0" s="44" t="s">
        <x:v>92</x:v>
      </x:c>
      <x:c r="J240" s="45">
        <x:v>46293</x:v>
      </x:c>
      <x:c r="K240" s="44" t="str">
        <x:v>第十轮报告；r10-data.json；既有轮次证据</x:v>
      </x:c>
      <x:c r="L240" s="44" t="s">
        <x:v>1218</x:v>
      </x:c>
    </x:row>
    <x:row r="241" ht="160" customHeight="1">
      <x:c r="A241" s="86" t="s">
        <x:v>1140</x:v>
      </x:c>
      <x:c r="B241" s="86">
        <x:v>6</x:v>
      </x:c>
      <x:c r="C241" s="86" t="s">
        <x:v>1230</x:v>
      </x:c>
      <x:c r="D241" s="86" t="s">
        <x:v>1141</x:v>
      </x:c>
      <x:c r="E241" s="87" t="s">
        <x:v>1245</x:v>
      </x:c>
      <x:c r="F241" s="87" t="s">
        <x:v>1246</x:v>
      </x:c>
      <x:c r="G241" s="44" t="str">
        <x:v>暂时测不了</x:v>
      </x:c>
      <x:c r="H24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1" s="44" t="s">
        <x:v>92</x:v>
      </x:c>
      <x:c r="J241" s="45">
        <x:v>46293</x:v>
      </x:c>
      <x:c r="K241" s="44" t="str">
        <x:v>第十轮报告；r10-data.json；既有轮次证据</x:v>
      </x:c>
      <x:c r="L241" s="44" t="s">
        <x:v>1218</x:v>
      </x:c>
    </x:row>
    <x:row r="242" ht="160" customHeight="1">
      <x:c r="A242" s="86" t="s">
        <x:v>1140</x:v>
      </x:c>
      <x:c r="B242" s="86">
        <x:v>7</x:v>
      </x:c>
      <x:c r="C242" s="86" t="s">
        <x:v>1289</x:v>
      </x:c>
      <x:c r="D242" s="86" t="s">
        <x:v>1141</x:v>
      </x:c>
      <x:c r="E242" s="87" t="s">
        <x:v>1290</x:v>
      </x:c>
      <x:c r="F242" s="87" t="s">
        <x:v>1291</x:v>
      </x:c>
      <x:c r="G242" s="44" t="str">
        <x:v>暂时测不了</x:v>
      </x:c>
      <x:c r="H24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2" s="44" t="s">
        <x:v>92</x:v>
      </x:c>
      <x:c r="J242" s="45">
        <x:v>46293</x:v>
      </x:c>
      <x:c r="K242" s="44" t="str">
        <x:v>第十轮报告；r10-data.json；既有轮次证据</x:v>
      </x:c>
      <x:c r="L242" s="44" t="s">
        <x:v>1218</x:v>
      </x:c>
    </x:row>
    <x:row r="243" ht="160" customHeight="1">
      <x:c r="A243" s="86" t="s">
        <x:v>1140</x:v>
      </x:c>
      <x:c r="B243" s="86">
        <x:v>8</x:v>
      </x:c>
      <x:c r="C243" s="86" t="s">
        <x:v>1236</x:v>
      </x:c>
      <x:c r="D243" s="86" t="s">
        <x:v>1141</x:v>
      </x:c>
      <x:c r="E243" s="87" t="s">
        <x:v>1353</x:v>
      </x:c>
      <x:c r="F243" s="87" t="s">
        <x:v>1143</x:v>
      </x:c>
      <x:c r="G243" s="44" t="str">
        <x:v>暂时测不了</x:v>
      </x:c>
      <x:c r="H243" s="44" t="str">
        <x:v>第十轮：本步尚未作为同一事件完整链路验收。当前步骤：设备结果满足通知处罚条件后，不点击通知按钮，观察自动办理。 回读交接材料、送达、签收和办理结果。 设备执行完成后模拟移送发送失败、送达未知、签收超时，再补迟到/重复回复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3" s="44" t="s">
        <x:v>92</x:v>
      </x:c>
      <x:c r="J243" s="45">
        <x:v>46293</x:v>
      </x:c>
      <x:c r="K243" s="44" t="str">
        <x:v>第十轮报告；r10-data.json；既有轮次证据</x:v>
      </x:c>
      <x:c r="L243" s="44" t="s">
        <x:v>1218</x:v>
      </x:c>
    </x:row>
    <x:row r="244" ht="160" customHeight="1">
      <x:c r="A244" s="86" t="s">
        <x:v>1140</x:v>
      </x:c>
      <x:c r="B244" s="86">
        <x:v>9</x:v>
      </x:c>
      <x:c r="C244" s="86" t="s">
        <x:v>1239</x:v>
      </x:c>
      <x:c r="D244" s="86" t="s">
        <x:v>1141</x:v>
      </x:c>
      <x:c r="E244" s="87" t="s">
        <x:v>1240</x:v>
      </x:c>
      <x:c r="F244" s="87" t="s">
        <x:v>1241</x:v>
      </x:c>
      <x:c r="G244" s="44" t="str">
        <x:v>暂时测不了</x:v>
      </x:c>
      <x:c r="H24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4" s="44" t="s">
        <x:v>92</x:v>
      </x:c>
      <x:c r="J244" s="45">
        <x:v>46293</x:v>
      </x:c>
      <x:c r="K244" s="44" t="str">
        <x:v>第十轮报告；r10-data.json；既有轮次证据</x:v>
      </x:c>
      <x:c r="L244" s="44" t="s">
        <x:v>1218</x:v>
      </x:c>
    </x:row>
    <x:row r="245" ht="160" customHeight="1">
      <x:c r="A245" s="86" t="s">
        <x:v>1140</x:v>
      </x:c>
      <x:c r="B245" s="86">
        <x:v>10</x:v>
      </x:c>
      <x:c r="C245" s="86" t="s">
        <x:v>1242</x:v>
      </x:c>
      <x:c r="D245" s="86" t="s">
        <x:v>1141</x:v>
      </x:c>
      <x:c r="E245" s="87" t="s">
        <x:v>1243</x:v>
      </x:c>
      <x:c r="F245" s="87" t="s">
        <x:v>1244</x:v>
      </x:c>
      <x:c r="G245" s="44" t="str">
        <x:v>暂时测不了</x:v>
      </x:c>
      <x:c r="H24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5" s="44" t="s">
        <x:v>92</x:v>
      </x:c>
      <x:c r="J245" s="45">
        <x:v>46293</x:v>
      </x:c>
      <x:c r="K245" s="44" t="str">
        <x:v>第十轮报告；r10-data.json；既有轮次证据</x:v>
      </x:c>
      <x:c r="L245" s="44" t="s">
        <x:v>1218</x:v>
      </x:c>
    </x:row>
    <x:row r="246" ht="160" customHeight="1">
      <x:c r="A246" s="38" t="s">
        <x:v>1144</x:v>
      </x:c>
      <x:c r="B246" s="38">
        <x:v>1</x:v>
      </x:c>
      <x:c r="C246" s="38" t="s">
        <x:v>1354</x:v>
      </x:c>
      <x:c r="D246" s="38" t="s">
        <x:v>1145</x:v>
      </x:c>
      <x:c r="E246" s="39" t="s">
        <x:v>1355</x:v>
      </x:c>
      <x:c r="F246" s="39" t="s">
        <x:v>1356</x:v>
      </x:c>
      <x:c r="G246" s="40" t="str">
        <x:v>暂时测不了</x:v>
      </x:c>
      <x:c r="H246" s="40" t="str">
        <x:v>第十轮：本步尚未作为同一事件完整链路验收。当前步骤：经获准入口录入计划、空域和覆盖飞行时段的有效测试预报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46" s="40" t="s">
        <x:v>92</x:v>
      </x:c>
      <x:c r="J246" s="41">
        <x:v>46293</x:v>
      </x:c>
      <x:c r="K246" s="40" t="str">
        <x:v>第十轮报告；r10-data.json；既有轮次证据</x:v>
      </x:c>
      <x:c r="L246" s="40" t="s">
        <x:v>1218</x:v>
      </x:c>
    </x:row>
    <x:row r="247" ht="160" customHeight="1">
      <x:c r="A247" s="42" t="s">
        <x:v>1144</x:v>
      </x:c>
      <x:c r="B247" s="42">
        <x:v>2</x:v>
      </x:c>
      <x:c r="C247" s="42" t="s">
        <x:v>1357</x:v>
      </x:c>
      <x:c r="D247" s="42" t="s">
        <x:v>1145</x:v>
      </x:c>
      <x:c r="E247" s="43" t="s">
        <x:v>1358</x:v>
      </x:c>
      <x:c r="F247" s="43" t="s">
        <x:v>1359</x:v>
      </x:c>
      <x:c r="G247" s="44" t="str">
        <x:v>暂时测不了</x:v>
      </x:c>
      <x:c r="H247" s="44" t="str">
        <x:v>第十轮：本步尚未作为同一事件完整链路验收。当前步骤：运行已接入的风险判断，查看本计划当前风险及全部风险事件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47" s="44" t="s">
        <x:v>92</x:v>
      </x:c>
      <x:c r="J247" s="45">
        <x:v>46293</x:v>
      </x:c>
      <x:c r="K247" s="44" t="str">
        <x:v>第十轮报告；r10-data.json；既有轮次证据</x:v>
      </x:c>
      <x:c r="L247" s="44" t="s">
        <x:v>1218</x:v>
      </x:c>
    </x:row>
    <x:row r="248" ht="160" customHeight="1">
      <x:c r="A248" s="42" t="s">
        <x:v>1144</x:v>
      </x:c>
      <x:c r="B248" s="42">
        <x:v>3</x:v>
      </x:c>
      <x:c r="C248" s="42" t="s">
        <x:v>1360</x:v>
      </x:c>
      <x:c r="D248" s="42" t="s">
        <x:v>1145</x:v>
      </x:c>
      <x:c r="E248" s="43" t="s">
        <x:v>1361</x:v>
      </x:c>
      <x:c r="F248" s="43" t="s">
        <x:v>1362</x:v>
      </x:c>
      <x:c r="G248" s="44" t="str">
        <x:v>暂时测不了</x:v>
      </x:c>
      <x:c r="H248" s="44" t="str">
        <x:v>第十轮：本步尚未作为同一事件完整链路验收。当前步骤：从计划进入风险详情，再到空域查看同一风险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48" s="44" t="s">
        <x:v>92</x:v>
      </x:c>
      <x:c r="J248" s="45">
        <x:v>46293</x:v>
      </x:c>
      <x:c r="K248" s="44" t="str">
        <x:v>第十轮报告；r10-data.json；既有轮次证据</x:v>
      </x:c>
      <x:c r="L248" s="44" t="s">
        <x:v>1218</x:v>
      </x:c>
    </x:row>
    <x:row r="249" ht="160" customHeight="1">
      <x:c r="A249" s="42" t="s">
        <x:v>1144</x:v>
      </x:c>
      <x:c r="B249" s="42">
        <x:v>4</x:v>
      </x:c>
      <x:c r="C249" s="42" t="s">
        <x:v>1363</x:v>
      </x:c>
      <x:c r="D249" s="42" t="s">
        <x:v>1145</x:v>
      </x:c>
      <x:c r="E249" s="43" t="s">
        <x:v>1364</x:v>
      </x:c>
      <x:c r="F249" s="43" t="s">
        <x:v>1365</x:v>
      </x:c>
      <x:c r="G249" s="44" t="str">
        <x:v>暂时测不了</x:v>
      </x:c>
      <x:c r="H249" s="44" t="str">
        <x:v>第十轮：本步尚未作为同一事件完整链路验收。当前步骤：在风险详情用有权账号核验属实；另测排除分支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49" s="44" t="s">
        <x:v>92</x:v>
      </x:c>
      <x:c r="J249" s="45">
        <x:v>46293</x:v>
      </x:c>
      <x:c r="K249" s="44" t="str">
        <x:v>第十轮报告；r10-data.json；既有轮次证据</x:v>
      </x:c>
      <x:c r="L249" s="44" t="s">
        <x:v>1218</x:v>
      </x:c>
    </x:row>
    <x:row r="250" ht="160" customHeight="1">
      <x:c r="A250" s="42" t="s">
        <x:v>1144</x:v>
      </x:c>
      <x:c r="B250" s="42">
        <x:v>5</x:v>
      </x:c>
      <x:c r="C250" s="42" t="s">
        <x:v>1366</x:v>
      </x:c>
      <x:c r="D250" s="42" t="s">
        <x:v>1145</x:v>
      </x:c>
      <x:c r="E250" s="43" t="s">
        <x:v>1367</x:v>
      </x:c>
      <x:c r="F250" s="43" t="s">
        <x:v>1368</x:v>
      </x:c>
      <x:c r="G250" s="44" t="str">
        <x:v>暂时测不了</x:v>
      </x:c>
      <x:c r="H250" s="44" t="str">
        <x:v>第十轮：本步尚未作为同一事件完整链路验收。当前步骤：按实际允许的入口通知上级，记录发送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0" s="44" t="s">
        <x:v>92</x:v>
      </x:c>
      <x:c r="J250" s="45">
        <x:v>46293</x:v>
      </x:c>
      <x:c r="K250" s="44" t="str">
        <x:v>第十轮报告；r10-data.json；既有轮次证据</x:v>
      </x:c>
      <x:c r="L250" s="44" t="s">
        <x:v>1218</x:v>
      </x:c>
    </x:row>
    <x:row r="251" ht="160" customHeight="1">
      <x:c r="A251" s="42" t="s">
        <x:v>1144</x:v>
      </x:c>
      <x:c r="B251" s="42">
        <x:v>6</x:v>
      </x:c>
      <x:c r="C251" s="42" t="s">
        <x:v>1369</x:v>
      </x:c>
      <x:c r="D251" s="42" t="s">
        <x:v>1145</x:v>
      </x:c>
      <x:c r="E251" s="43" t="s">
        <x:v>1370</x:v>
      </x:c>
      <x:c r="F251" s="43" t="s">
        <x:v>1371</x:v>
      </x:c>
      <x:c r="G251" s="44" t="str">
        <x:v>暂时测不了</x:v>
      </x:c>
      <x:c r="H251" s="44" t="str">
        <x:v>第十轮：本步尚未作为同一事件完整链路验收。当前步骤：查看已发送、送达未知、成功、失败及签收；各异常子批次分开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1" s="44" t="s">
        <x:v>92</x:v>
      </x:c>
      <x:c r="J251" s="45">
        <x:v>46293</x:v>
      </x:c>
      <x:c r="K251" s="44" t="str">
        <x:v>第十轮报告；r10-data.json；既有轮次证据</x:v>
      </x:c>
      <x:c r="L251" s="44" t="s">
        <x:v>1218</x:v>
      </x:c>
    </x:row>
    <x:row r="252" ht="160" customHeight="1">
      <x:c r="A252" s="42" t="s">
        <x:v>1144</x:v>
      </x:c>
      <x:c r="B252" s="42">
        <x:v>7</x:v>
      </x:c>
      <x:c r="C252" s="42" t="s">
        <x:v>1372</x:v>
      </x:c>
      <x:c r="D252" s="42" t="s">
        <x:v>1145</x:v>
      </x:c>
      <x:c r="E252" s="43" t="s">
        <x:v>1373</x:v>
      </x:c>
      <x:c r="F252" s="43" t="s">
        <x:v>1374</x:v>
      </x:c>
      <x:c r="G252" s="44" t="str">
        <x:v>暂时测不了</x:v>
      </x:c>
      <x:c r="H252" s="44" t="str">
        <x:v>第十轮：本步尚未作为同一事件完整链路验收。当前步骤：保持风险有效，刷新计划当前风险与地图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2" s="44" t="s">
        <x:v>92</x:v>
      </x:c>
      <x:c r="J252" s="45">
        <x:v>46293</x:v>
      </x:c>
      <x:c r="K252" s="44" t="str">
        <x:v>第十轮报告；r10-data.json；既有轮次证据</x:v>
      </x:c>
      <x:c r="L252" s="44" t="s">
        <x:v>1218</x:v>
      </x:c>
    </x:row>
    <x:row r="253" ht="160" customHeight="1">
      <x:c r="A253" s="42" t="s">
        <x:v>1144</x:v>
      </x:c>
      <x:c r="B253" s="42">
        <x:v>8</x:v>
      </x:c>
      <x:c r="C253" s="42" t="s">
        <x:v>1375</x:v>
      </x:c>
      <x:c r="D253" s="42" t="s">
        <x:v>1145</x:v>
      </x:c>
      <x:c r="E253" s="43" t="s">
        <x:v>1376</x:v>
      </x:c>
      <x:c r="F253" s="43" t="s">
        <x:v>1377</x:v>
      </x:c>
      <x:c r="G253" s="44" t="str">
        <x:v>暂时测不了</x:v>
      </x:c>
      <x:c r="H253" s="44" t="str">
        <x:v>第十轮：本步尚未作为同一事件完整链路验收。当前步骤：提供有效解除依据；另一子批次只停止更新而不提供依据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3" s="44" t="s">
        <x:v>92</x:v>
      </x:c>
      <x:c r="J253" s="45">
        <x:v>46293</x:v>
      </x:c>
      <x:c r="K253" s="44" t="str">
        <x:v>第十轮报告；r10-data.json；既有轮次证据</x:v>
      </x:c>
      <x:c r="L253" s="44" t="s">
        <x:v>1218</x:v>
      </x:c>
    </x:row>
    <x:row r="254" ht="160" customHeight="1">
      <x:c r="A254" s="42" t="s">
        <x:v>1144</x:v>
      </x:c>
      <x:c r="B254" s="42">
        <x:v>9</x:v>
      </x:c>
      <x:c r="C254" s="42" t="s">
        <x:v>1378</x:v>
      </x:c>
      <x:c r="D254" s="42" t="s">
        <x:v>1145</x:v>
      </x:c>
      <x:c r="E254" s="43" t="s">
        <x:v>1379</x:v>
      </x:c>
      <x:c r="F254" s="43" t="s">
        <x:v>1380</x:v>
      </x:c>
      <x:c r="G254" s="44" t="str">
        <x:v>暂时测不了</x:v>
      </x:c>
      <x:c r="H254" s="44" t="str">
        <x:v>第十轮：本步尚未作为同一事件完整链路验收。当前步骤：核对风险历史、通知内容、接收方和同范围统计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4" s="44" t="s">
        <x:v>92</x:v>
      </x:c>
      <x:c r="J254" s="45">
        <x:v>46293</x:v>
      </x:c>
      <x:c r="K254" s="44" t="str">
        <x:v>第十轮报告；r10-data.json；既有轮次证据</x:v>
      </x:c>
      <x:c r="L254" s="44" t="s">
        <x:v>1218</x:v>
      </x:c>
    </x:row>
    <x:row r="255" ht="160" customHeight="1">
      <x:c r="A255" s="42" t="s">
        <x:v>1144</x:v>
      </x:c>
      <x:c r="B255" s="42">
        <x:v>10</x:v>
      </x:c>
      <x:c r="C255" s="42" t="s">
        <x:v>1381</x:v>
      </x:c>
      <x:c r="D255" s="42" t="s">
        <x:v>1145</x:v>
      </x:c>
      <x:c r="E255" s="43" t="s">
        <x:v>1382</x:v>
      </x:c>
      <x:c r="F255" s="43" t="s">
        <x:v>1383</x:v>
      </x:c>
      <x:c r="G255" s="44" t="str">
        <x:v>暂时测不了</x:v>
      </x:c>
      <x:c r="H255" s="44" t="str">
        <x:v>第十轮：本步尚未作为同一事件完整链路验收。当前步骤：重新登录，从计划与空域分别回查本风险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5" s="44" t="s">
        <x:v>92</x:v>
      </x:c>
      <x:c r="J255" s="45">
        <x:v>46293</x:v>
      </x:c>
      <x:c r="K255" s="44" t="str">
        <x:v>第十轮报告；r10-data.json；既有轮次证据</x:v>
      </x:c>
      <x:c r="L255" s="44" t="s">
        <x:v>1218</x:v>
      </x:c>
    </x:row>
    <x:row r="256" ht="160" customHeight="1">
      <x:c r="A256" s="46" t="s">
        <x:v>1149</x:v>
      </x:c>
      <x:c r="B256" s="46">
        <x:v>1</x:v>
      </x:c>
      <x:c r="C256" s="46" t="s">
        <x:v>1384</x:v>
      </x:c>
      <x:c r="D256" s="46" t="s">
        <x:v>1150</x:v>
      </x:c>
      <x:c r="E256" s="47" t="s">
        <x:v>1385</x:v>
      </x:c>
      <x:c r="F256" s="47" t="s">
        <x:v>1386</x:v>
      </x:c>
      <x:c r="G256" s="48" t="str">
        <x:v>暂时测不了</x:v>
      </x:c>
      <x:c r="H256" s="48" t="str">
        <x:v>第十轮：本步尚未作为同一事件完整链路验收。当前步骤：准备已到计划起飞时间但未收到目标的计划；设备异常、正常、信息不足三个子批次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56" s="48" t="s">
        <x:v>92</x:v>
      </x:c>
      <x:c r="J256" s="49">
        <x:v>46293</x:v>
      </x:c>
      <x:c r="K256" s="48" t="str">
        <x:v>第十轮报告；r10-data.json；既有轮次证据</x:v>
      </x:c>
      <x:c r="L256" s="48" t="s">
        <x:v>1218</x:v>
      </x:c>
    </x:row>
    <x:row r="257" ht="160" customHeight="1">
      <x:c r="A257" s="50" t="s">
        <x:v>1149</x:v>
      </x:c>
      <x:c r="B257" s="50">
        <x:v>2</x:v>
      </x:c>
      <x:c r="C257" s="50" t="s">
        <x:v>1387</x:v>
      </x:c>
      <x:c r="D257" s="50" t="s">
        <x:v>1150</x:v>
      </x:c>
      <x:c r="E257" s="51" t="s">
        <x:v>1388</x:v>
      </x:c>
      <x:c r="F257" s="51" t="s">
        <x:v>1389</x:v>
      </x:c>
      <x:c r="G257" s="44" t="str">
        <x:v>暂时测不了</x:v>
      </x:c>
      <x:c r="H257" s="44" t="str">
        <x:v>第十轮：本步尚未作为同一事件完整链路验收。当前步骤：打开飞行计划检查结果和最近观测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57" s="44" t="s">
        <x:v>92</x:v>
      </x:c>
      <x:c r="J257" s="45">
        <x:v>46293</x:v>
      </x:c>
      <x:c r="K257" s="44" t="str">
        <x:v>第十轮报告；r10-data.json；既有轮次证据</x:v>
      </x:c>
      <x:c r="L257" s="44" t="s">
        <x:v>1218</x:v>
      </x:c>
    </x:row>
    <x:row r="258" ht="160" customHeight="1">
      <x:c r="A258" s="50" t="s">
        <x:v>1149</x:v>
      </x:c>
      <x:c r="B258" s="50">
        <x:v>3</x:v>
      </x:c>
      <x:c r="C258" s="50" t="s">
        <x:v>1390</x:v>
      </x:c>
      <x:c r="D258" s="50" t="s">
        <x:v>1150</x:v>
      </x:c>
      <x:c r="E258" s="51" t="s">
        <x:v>1391</x:v>
      </x:c>
      <x:c r="F258" s="51" t="s">
        <x:v>1392</x:v>
      </x:c>
      <x:c r="G258" s="44" t="str">
        <x:v>暂时测不了</x:v>
      </x:c>
      <x:c r="H258" s="44" t="str">
        <x:v>第十轮：本步尚未作为同一事件完整链路验收。当前步骤：按已有规则读取设备检查；对照实际设备异常及最近上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58" s="44" t="s">
        <x:v>92</x:v>
      </x:c>
      <x:c r="J258" s="45">
        <x:v>46293</x:v>
      </x:c>
      <x:c r="K258" s="44" t="str">
        <x:v>第十轮报告；r10-data.json；既有轮次证据</x:v>
      </x:c>
      <x:c r="L258" s="44" t="s">
        <x:v>1218</x:v>
      </x:c>
    </x:row>
    <x:row r="259" ht="160" customHeight="1">
      <x:c r="A259" s="50" t="s">
        <x:v>1149</x:v>
      </x:c>
      <x:c r="B259" s="50">
        <x:v>4</x:v>
      </x:c>
      <x:c r="C259" s="50" t="s">
        <x:v>1393</x:v>
      </x:c>
      <x:c r="D259" s="50" t="s">
        <x:v>1150</x:v>
      </x:c>
      <x:c r="E259" s="51" t="s">
        <x:v>1394</x:v>
      </x:c>
      <x:c r="F259" s="51" t="s">
        <x:v>1395</x:v>
      </x:c>
      <x:c r="G259" s="44" t="str">
        <x:v>暂时测不了</x:v>
      </x:c>
      <x:c r="H259" s="44" t="str">
        <x:v>第十轮：本步尚未作为同一事件完整链路验收。当前步骤：对实际异常用有权账号通知，重复点击并记录操作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59" s="44" t="s">
        <x:v>92</x:v>
      </x:c>
      <x:c r="J259" s="45">
        <x:v>46293</x:v>
      </x:c>
      <x:c r="K259" s="44" t="str">
        <x:v>第十轮报告；r10-data.json；既有轮次证据</x:v>
      </x:c>
      <x:c r="L259" s="44" t="s">
        <x:v>1218</x:v>
      </x:c>
    </x:row>
    <x:row r="260" ht="160" customHeight="1">
      <x:c r="A260" s="50" t="s">
        <x:v>1149</x:v>
      </x:c>
      <x:c r="B260" s="50">
        <x:v>5</x:v>
      </x:c>
      <x:c r="C260" s="50" t="s">
        <x:v>1396</x:v>
      </x:c>
      <x:c r="D260" s="50" t="s">
        <x:v>1150</x:v>
      </x:c>
      <x:c r="E260" s="51" t="s">
        <x:v>1397</x:v>
      </x:c>
      <x:c r="F260" s="51" t="s">
        <x:v>1398</x:v>
      </x:c>
      <x:c r="G260" s="44" t="str">
        <x:v>暂时测不了</x:v>
      </x:c>
      <x:c r="H260" s="44" t="str">
        <x:v>第十轮：本步尚未作为同一事件完整链路验收。当前步骤：在管理后台找到前台产生的同一事项，核对设备、时间及异常原因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60" s="44" t="s">
        <x:v>92</x:v>
      </x:c>
      <x:c r="J260" s="45">
        <x:v>46293</x:v>
      </x:c>
      <x:c r="K260" s="44" t="str">
        <x:v>第十轮报告；r10-data.json；既有轮次证据</x:v>
      </x:c>
      <x:c r="L260" s="44" t="s">
        <x:v>1218</x:v>
      </x:c>
    </x:row>
    <x:row r="261" ht="160" customHeight="1">
      <x:c r="A261" s="50" t="s">
        <x:v>1149</x:v>
      </x:c>
      <x:c r="B261" s="50">
        <x:v>6</x:v>
      </x:c>
      <x:c r="C261" s="50" t="s">
        <x:v>1399</x:v>
      </x:c>
      <x:c r="D261" s="50" t="s">
        <x:v>1150</x:v>
      </x:c>
      <x:c r="E261" s="51" t="s">
        <x:v>1400</x:v>
      </x:c>
      <x:c r="F261" s="51" t="s">
        <x:v>1401</x:v>
      </x:c>
      <x:c r="G261" s="44" t="str">
        <x:v>暂时测不了</x:v>
      </x:c>
      <x:c r="H261" s="44" t="str">
        <x:v>第十轮：本步尚未作为同一事件完整链路验收。当前步骤：按已有流程处理测试设备异常；分别模拟处理成功、失败及回复未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61" s="44" t="s">
        <x:v>92</x:v>
      </x:c>
      <x:c r="J261" s="45">
        <x:v>46293</x:v>
      </x:c>
      <x:c r="K261" s="44" t="str">
        <x:v>第十轮报告；r10-data.json；既有轮次证据</x:v>
      </x:c>
      <x:c r="L261" s="44" t="s">
        <x:v>1218</x:v>
      </x:c>
    </x:row>
    <x:row r="262" ht="160" customHeight="1">
      <x:c r="A262" s="50" t="s">
        <x:v>1149</x:v>
      </x:c>
      <x:c r="B262" s="50">
        <x:v>7</x:v>
      </x:c>
      <x:c r="C262" s="50" t="s">
        <x:v>1402</x:v>
      </x:c>
      <x:c r="D262" s="50" t="s">
        <x:v>1150</x:v>
      </x:c>
      <x:c r="E262" s="51" t="s">
        <x:v>1403</x:v>
      </x:c>
      <x:c r="F262" s="51" t="s">
        <x:v>1404</x:v>
      </x:c>
      <x:c r="G262" s="44" t="str">
        <x:v>暂时测不了</x:v>
      </x:c>
      <x:c r="H262" s="44" t="str">
        <x:v>第十轮：本步尚未作为同一事件完整链路验收。当前步骤：恢复设备上报和健康数据；另一子批次仅完成后台处理但不恢复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62" s="44" t="s">
        <x:v>92</x:v>
      </x:c>
      <x:c r="J262" s="45">
        <x:v>46293</x:v>
      </x:c>
      <x:c r="K262" s="44" t="str">
        <x:v>第十轮报告；r10-data.json；既有轮次证据</x:v>
      </x:c>
      <x:c r="L262" s="44" t="s">
        <x:v>1218</x:v>
      </x:c>
    </x:row>
    <x:row r="263" ht="160" customHeight="1">
      <x:c r="A263" s="50" t="s">
        <x:v>1149</x:v>
      </x:c>
      <x:c r="B263" s="50">
        <x:v>8</x:v>
      </x:c>
      <x:c r="C263" s="50" t="s">
        <x:v>1405</x:v>
      </x:c>
      <x:c r="D263" s="50" t="s">
        <x:v>1150</x:v>
      </x:c>
      <x:c r="E263" s="51" t="s">
        <x:v>1406</x:v>
      </x:c>
      <x:c r="F263" s="51" t="s">
        <x:v>1407</x:v>
      </x:c>
      <x:c r="G263" s="44" t="str">
        <x:v>暂时测不了</x:v>
      </x:c>
      <x:c r="H263" s="44" t="str">
        <x:v>第十轮：本步尚未作为同一事件完整链路验收。当前步骤：回到原计划和融合感知查看设备状态、异常提示及检查依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63" s="44" t="s">
        <x:v>92</x:v>
      </x:c>
      <x:c r="J263" s="45">
        <x:v>46293</x:v>
      </x:c>
      <x:c r="K263" s="44" t="str">
        <x:v>第十轮报告；r10-data.json；既有轮次证据</x:v>
      </x:c>
      <x:c r="L263" s="44" t="s">
        <x:v>1218</x:v>
      </x:c>
    </x:row>
    <x:row r="264" ht="160" customHeight="1">
      <x:c r="A264" s="50" t="s">
        <x:v>1149</x:v>
      </x:c>
      <x:c r="B264" s="50">
        <x:v>9</x:v>
      </x:c>
      <x:c r="C264" s="50" t="s">
        <x:v>1408</x:v>
      </x:c>
      <x:c r="D264" s="50" t="s">
        <x:v>1150</x:v>
      </x:c>
      <x:c r="E264" s="51" t="s">
        <x:v>1409</x:v>
      </x:c>
      <x:c r="F264" s="51" t="s">
        <x:v>1410</x:v>
      </x:c>
      <x:c r="G264" s="44" t="str">
        <x:v>暂时测不了</x:v>
      </x:c>
      <x:c r="H264" s="44" t="str">
        <x:v>第十轮：本步尚未作为同一事件完整链路验收。当前步骤：核对计划未见目标提示、处理历史及异常通知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64" s="44" t="s">
        <x:v>92</x:v>
      </x:c>
      <x:c r="J264" s="45">
        <x:v>46293</x:v>
      </x:c>
      <x:c r="K264" s="44" t="str">
        <x:v>第十轮报告；r10-data.json；既有轮次证据</x:v>
      </x:c>
      <x:c r="L264" s="44" t="s">
        <x:v>1218</x:v>
      </x:c>
    </x:row>
    <x:row r="265" ht="160" customHeight="1">
      <x:c r="A265" s="50" t="s">
        <x:v>1149</x:v>
      </x:c>
      <x:c r="B265" s="50">
        <x:v>10</x:v>
      </x:c>
      <x:c r="C265" s="50" t="s">
        <x:v>1381</x:v>
      </x:c>
      <x:c r="D265" s="50" t="s">
        <x:v>1150</x:v>
      </x:c>
      <x:c r="E265" s="51" t="s">
        <x:v>1411</x:v>
      </x:c>
      <x:c r="F265" s="51" t="s">
        <x:v>1412</x:v>
      </x:c>
      <x:c r="G265" s="44" t="str">
        <x:v>暂时测不了</x:v>
      </x:c>
      <x:c r="H265" s="44" t="str">
        <x:v>第十轮：本步尚未作为同一事件完整链路验收。当前步骤：重新登录回查同一计划和设备；结束模拟并核对停止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65" s="44" t="s">
        <x:v>92</x:v>
      </x:c>
      <x:c r="J265" s="45">
        <x:v>46293</x:v>
      </x:c>
      <x:c r="K265" s="44" t="str">
        <x:v>第十轮报告；r10-data.json；既有轮次证据</x:v>
      </x:c>
      <x:c r="L265" s="44" t="s">
        <x:v>1218</x:v>
      </x:c>
    </x:row>
    <x:row r="266" ht="160" customHeight="1">
      <x:c r="A266" s="23" t="s">
        <x:v>1154</x:v>
      </x:c>
      <x:c r="B266" s="23">
        <x:v>1</x:v>
      </x:c>
      <x:c r="C266" s="23" t="s">
        <x:v>1413</x:v>
      </x:c>
      <x:c r="D266" s="23" t="s">
        <x:v>1155</x:v>
      </x:c>
      <x:c r="E266" s="23" t="s">
        <x:v>1414</x:v>
      </x:c>
      <x:c r="F266" s="23" t="s">
        <x:v>1415</x:v>
      </x:c>
      <x:c r="G266" s="20" t="str">
        <x:v>暂时测不了</x:v>
      </x:c>
      <x:c r="H266" s="20" t="str">
        <x:v>第十轮：本步尚未作为同一事件完整链路验收。当前步骤：准备鸟群原始输入、重点区域、核验账号及模拟上级通道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66" s="20" t="s">
        <x:v>92</x:v>
      </x:c>
      <x:c r="J266" s="21">
        <x:v>46293</x:v>
      </x:c>
      <x:c r="K266" s="20" t="str">
        <x:v>第十轮报告；r10-data.json；既有轮次证据</x:v>
      </x:c>
      <x:c r="L266" s="20" t="s">
        <x:v>1218</x:v>
      </x:c>
    </x:row>
    <x:row r="267" ht="160" customHeight="1">
      <x:c r="A267" s="23" t="s">
        <x:v>1154</x:v>
      </x:c>
      <x:c r="B267" s="23">
        <x:v>2</x:v>
      </x:c>
      <x:c r="C267" s="23" t="s">
        <x:v>1416</x:v>
      </x:c>
      <x:c r="D267" s="23" t="s">
        <x:v>1155</x:v>
      </x:c>
      <x:c r="E267" s="23" t="s">
        <x:v>1417</x:v>
      </x:c>
      <x:c r="F267" s="23" t="s">
        <x:v>1418</x:v>
      </x:c>
      <x:c r="G267" s="20" t="str">
        <x:v>暂时测不了</x:v>
      </x:c>
      <x:c r="H267" s="20" t="str">
        <x:v>第十轮：本步尚未作为同一事件完整链路验收。当前步骤：经真实测试接入发原始样本，记录平台统一目标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67" s="20" t="s">
        <x:v>92</x:v>
      </x:c>
      <x:c r="J267" s="21">
        <x:v>46293</x:v>
      </x:c>
      <x:c r="K267" s="20" t="str">
        <x:v>第十轮报告；r10-data.json；既有轮次证据</x:v>
      </x:c>
      <x:c r="L267" s="20" t="s">
        <x:v>1218</x:v>
      </x:c>
    </x:row>
    <x:row r="268" ht="160" customHeight="1">
      <x:c r="A268" s="23" t="s">
        <x:v>1154</x:v>
      </x:c>
      <x:c r="B268" s="23">
        <x:v>3</x:v>
      </x:c>
      <x:c r="C268" s="23" t="s">
        <x:v>1419</x:v>
      </x:c>
      <x:c r="D268" s="23" t="s">
        <x:v>1155</x:v>
      </x:c>
      <x:c r="E268" s="23" t="s">
        <x:v>1420</x:v>
      </x:c>
      <x:c r="F268" s="23" t="s">
        <x:v>1421</x:v>
      </x:c>
      <x:c r="G268" s="20" t="str">
        <x:v>暂时测不了</x:v>
      </x:c>
      <x:c r="H268" s="20" t="str">
        <x:v>第十轮：本步尚未作为同一事件完整链路验收。当前步骤：在空域或飞行计划全部风险中找到本次风险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68" s="20" t="s">
        <x:v>92</x:v>
      </x:c>
      <x:c r="J268" s="21">
        <x:v>46293</x:v>
      </x:c>
      <x:c r="K268" s="20" t="str">
        <x:v>第十轮报告；r10-data.json；既有轮次证据</x:v>
      </x:c>
      <x:c r="L268" s="20" t="s">
        <x:v>1218</x:v>
      </x:c>
    </x:row>
    <x:row r="269" ht="160" customHeight="1">
      <x:c r="A269" s="23" t="s">
        <x:v>1154</x:v>
      </x:c>
      <x:c r="B269" s="23">
        <x:v>4</x:v>
      </x:c>
      <x:c r="C269" s="23" t="s">
        <x:v>1422</x:v>
      </x:c>
      <x:c r="D269" s="23" t="s">
        <x:v>1155</x:v>
      </x:c>
      <x:c r="E269" s="23" t="s">
        <x:v>1423</x:v>
      </x:c>
      <x:c r="F269" s="23" t="s">
        <x:v>1424</x:v>
      </x:c>
      <x:c r="G269" s="20" t="str">
        <x:v>暂时测不了</x:v>
      </x:c>
      <x:c r="H269" s="20" t="str">
        <x:v>第十轮：本步尚未作为同一事件完整链路验收。当前步骤：查看合法性及无人机反制记录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69" s="20" t="s">
        <x:v>92</x:v>
      </x:c>
      <x:c r="J269" s="21">
        <x:v>46293</x:v>
      </x:c>
      <x:c r="K269" s="20" t="str">
        <x:v>第十轮报告；r10-data.json；既有轮次证据</x:v>
      </x:c>
      <x:c r="L269" s="20" t="s">
        <x:v>1218</x:v>
      </x:c>
    </x:row>
    <x:row r="270" ht="160" customHeight="1">
      <x:c r="A270" s="23" t="s">
        <x:v>1154</x:v>
      </x:c>
      <x:c r="B270" s="23">
        <x:v>5</x:v>
      </x:c>
      <x:c r="C270" s="23" t="s">
        <x:v>1425</x:v>
      </x:c>
      <x:c r="D270" s="23" t="s">
        <x:v>1155</x:v>
      </x:c>
      <x:c r="E270" s="23" t="s">
        <x:v>1426</x:v>
      </x:c>
      <x:c r="F270" s="23" t="s">
        <x:v>1427</x:v>
      </x:c>
      <x:c r="G270" s="20" t="str">
        <x:v>暂时测不了</x:v>
      </x:c>
      <x:c r="H270" s="20" t="str">
        <x:v>第十轮：本步尚未作为同一事件完整链路验收。当前步骤：有权账号在风险详情核验属实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70" s="20" t="s">
        <x:v>92</x:v>
      </x:c>
      <x:c r="J270" s="21">
        <x:v>46293</x:v>
      </x:c>
      <x:c r="K270" s="20" t="str">
        <x:v>第十轮报告；r10-data.json；既有轮次证据</x:v>
      </x:c>
      <x:c r="L270" s="20" t="s">
        <x:v>1218</x:v>
      </x:c>
    </x:row>
    <x:row r="271" ht="160" customHeight="1">
      <x:c r="A271" s="23" t="s">
        <x:v>1154</x:v>
      </x:c>
      <x:c r="B271" s="23">
        <x:v>6</x:v>
      </x:c>
      <x:c r="C271" s="23" t="s">
        <x:v>1366</x:v>
      </x:c>
      <x:c r="D271" s="23" t="s">
        <x:v>1155</x:v>
      </x:c>
      <x:c r="E271" s="23" t="s">
        <x:v>1428</x:v>
      </x:c>
      <x:c r="F271" s="23" t="s">
        <x:v>1429</x:v>
      </x:c>
      <x:c r="G271" s="20" t="str">
        <x:v>暂时测不了</x:v>
      </x:c>
      <x:c r="H271" s="20" t="str">
        <x:v>第十轮：本步尚未作为同一事件完整链路验收。当前步骤：发送本风险通知并核对接收对象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71" s="20" t="s">
        <x:v>92</x:v>
      </x:c>
      <x:c r="J271" s="21">
        <x:v>46293</x:v>
      </x:c>
      <x:c r="K271" s="20" t="str">
        <x:v>第十轮报告；r10-data.json；既有轮次证据</x:v>
      </x:c>
      <x:c r="L271" s="20" t="s">
        <x:v>1218</x:v>
      </x:c>
    </x:row>
    <x:row r="272" ht="160" customHeight="1">
      <x:c r="A272" s="23" t="s">
        <x:v>1154</x:v>
      </x:c>
      <x:c r="B272" s="23">
        <x:v>7</x:v>
      </x:c>
      <x:c r="C272" s="23" t="s">
        <x:v>1430</x:v>
      </x:c>
      <x:c r="D272" s="23" t="s">
        <x:v>1155</x:v>
      </x:c>
      <x:c r="E272" s="23" t="s">
        <x:v>1431</x:v>
      </x:c>
      <x:c r="F272" s="23" t="s">
        <x:v>1432</x:v>
      </x:c>
      <x:c r="G272" s="20" t="str">
        <x:v>暂时测不了</x:v>
      </x:c>
      <x:c r="H272" s="20" t="str">
        <x:v>第十轮：本步尚未作为同一事件完整链路验收。当前步骤：返回签收回执，同时保持鸟群有效观测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72" s="20" t="s">
        <x:v>92</x:v>
      </x:c>
      <x:c r="J272" s="21">
        <x:v>46293</x:v>
      </x:c>
      <x:c r="K272" s="20" t="str">
        <x:v>第十轮报告；r10-data.json；既有轮次证据</x:v>
      </x:c>
      <x:c r="L272" s="20" t="s">
        <x:v>1218</x:v>
      </x:c>
    </x:row>
    <x:row r="273" ht="160" customHeight="1">
      <x:c r="A273" s="23" t="s">
        <x:v>1154</x:v>
      </x:c>
      <x:c r="B273" s="23">
        <x:v>8</x:v>
      </x:c>
      <x:c r="C273" s="23" t="s">
        <x:v>1433</x:v>
      </x:c>
      <x:c r="D273" s="23" t="s">
        <x:v>1155</x:v>
      </x:c>
      <x:c r="E273" s="23" t="s">
        <x:v>1434</x:v>
      </x:c>
      <x:c r="F273" s="23" t="s">
        <x:v>1435</x:v>
      </x:c>
      <x:c r="G273" s="20" t="str">
        <x:v>暂时测不了</x:v>
      </x:c>
      <x:c r="H273" s="20" t="str">
        <x:v>第十轮：本步尚未作为同一事件完整链路验收。当前步骤：按现有接口提供明确反馈及当前解除依据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73" s="20" t="s">
        <x:v>92</x:v>
      </x:c>
      <x:c r="J273" s="21">
        <x:v>46293</x:v>
      </x:c>
      <x:c r="K273" s="20" t="str">
        <x:v>第十轮报告；r10-data.json；既有轮次证据</x:v>
      </x:c>
      <x:c r="L273" s="20" t="s">
        <x:v>1218</x:v>
      </x:c>
    </x:row>
    <x:row r="274" ht="160" customHeight="1">
      <x:c r="A274" s="23" t="s">
        <x:v>1154</x:v>
      </x:c>
      <x:c r="B274" s="23">
        <x:v>9</x:v>
      </x:c>
      <x:c r="C274" s="23" t="s">
        <x:v>1436</x:v>
      </x:c>
      <x:c r="D274" s="23" t="s">
        <x:v>1155</x:v>
      </x:c>
      <x:c r="E274" s="23" t="s">
        <x:v>1437</x:v>
      </x:c>
      <x:c r="F274" s="23" t="s">
        <x:v>1438</x:v>
      </x:c>
      <x:c r="G274" s="20" t="str">
        <x:v>暂时测不了</x:v>
      </x:c>
      <x:c r="H274" s="20" t="str">
        <x:v>第十轮：本步尚未作为同一事件完整链路验收。当前步骤：核对风险、通知、回执、证据及相关统计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74" s="20" t="s">
        <x:v>92</x:v>
      </x:c>
      <x:c r="J274" s="21">
        <x:v>46293</x:v>
      </x:c>
      <x:c r="K274" s="20" t="str">
        <x:v>第十轮报告；r10-data.json；既有轮次证据</x:v>
      </x:c>
      <x:c r="L274" s="20" t="s">
        <x:v>1218</x:v>
      </x:c>
    </x:row>
    <x:row r="275" ht="160" customHeight="1">
      <x:c r="A275" s="23" t="s">
        <x:v>1154</x:v>
      </x:c>
      <x:c r="B275" s="23">
        <x:v>10</x:v>
      </x:c>
      <x:c r="C275" s="23" t="s">
        <x:v>1439</x:v>
      </x:c>
      <x:c r="D275" s="23" t="s">
        <x:v>1155</x:v>
      </x:c>
      <x:c r="E275" s="23" t="s">
        <x:v>1440</x:v>
      </x:c>
      <x:c r="F275" s="23" t="s">
        <x:v>1441</x:v>
      </x:c>
      <x:c r="G275" s="20" t="str">
        <x:v>暂时测不了</x:v>
      </x:c>
      <x:c r="H275" s="20" t="str">
        <x:v>第十轮：本步尚未作为同一事件完整链路验收。当前步骤：刷新重登，查历史并结束模拟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75" s="20" t="s">
        <x:v>92</x:v>
      </x:c>
      <x:c r="J275" s="21">
        <x:v>46293</x:v>
      </x:c>
      <x:c r="K275" s="20" t="str">
        <x:v>第十轮报告；r10-data.json；既有轮次证据</x:v>
      </x:c>
      <x:c r="L275" s="20" t="s">
        <x:v>1218</x:v>
      </x:c>
    </x:row>
    <x:row r="276" ht="160" customHeight="1">
      <x:c r="A276" s="25" t="s">
        <x:v>1159</x:v>
      </x:c>
      <x:c r="B276" s="25">
        <x:v>1</x:v>
      </x:c>
      <x:c r="C276" s="25" t="s">
        <x:v>1442</x:v>
      </x:c>
      <x:c r="D276" s="25" t="s">
        <x:v>1160</x:v>
      </x:c>
      <x:c r="E276" s="25" t="s">
        <x:v>1443</x:v>
      </x:c>
      <x:c r="F276" s="25" t="s">
        <x:v>1444</x:v>
      </x:c>
      <x:c r="G276" s="20" t="str">
        <x:v>暂时测不了</x:v>
      </x:c>
      <x:c r="H276" s="20" t="str">
        <x:v>第十轮：本步尚未作为同一事件完整链路验收。当前步骤：登记三路协议版本、设备、目标真值和坐标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76" s="20" t="s">
        <x:v>92</x:v>
      </x:c>
      <x:c r="J276" s="21">
        <x:v>46293</x:v>
      </x:c>
      <x:c r="K276" s="20" t="str">
        <x:v>第十轮报告；r10-data.json；既有轮次证据</x:v>
      </x:c>
      <x:c r="L276" s="20" t="s">
        <x:v>1218</x:v>
      </x:c>
    </x:row>
    <x:row r="277" ht="160" customHeight="1">
      <x:c r="A277" s="25" t="s">
        <x:v>1159</x:v>
      </x:c>
      <x:c r="B277" s="25">
        <x:v>2</x:v>
      </x:c>
      <x:c r="C277" s="25" t="s">
        <x:v>1445</x:v>
      </x:c>
      <x:c r="D277" s="25" t="s">
        <x:v>1160</x:v>
      </x:c>
      <x:c r="E277" s="25" t="s">
        <x:v>1446</x:v>
      </x:c>
      <x:c r="F277" s="25" t="s">
        <x:v>1447</x:v>
      </x:c>
      <x:c r="G277" s="20" t="str">
        <x:v>暂时测不了</x:v>
      </x:c>
      <x:c r="H277" s="20" t="str">
        <x:v>第十轮：本步尚未作为同一事件完整链路验收。当前步骤：先只发送融合箱雷达帧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77" s="20" t="s">
        <x:v>92</x:v>
      </x:c>
      <x:c r="J277" s="21">
        <x:v>46293</x:v>
      </x:c>
      <x:c r="K277" s="20" t="str">
        <x:v>第十轮报告；r10-data.json；既有轮次证据</x:v>
      </x:c>
      <x:c r="L277" s="20" t="s">
        <x:v>1218</x:v>
      </x:c>
    </x:row>
    <x:row r="278" ht="160" customHeight="1">
      <x:c r="A278" s="25" t="s">
        <x:v>1159</x:v>
      </x:c>
      <x:c r="B278" s="25">
        <x:v>3</x:v>
      </x:c>
      <x:c r="C278" s="25" t="s">
        <x:v>1448</x:v>
      </x:c>
      <x:c r="D278" s="25" t="s">
        <x:v>1160</x:v>
      </x:c>
      <x:c r="E278" s="25" t="s">
        <x:v>1449</x:v>
      </x:c>
      <x:c r="F278" s="25" t="s">
        <x:v>1450</x:v>
      </x:c>
      <x:c r="G278" s="20" t="str">
        <x:v>暂时测不了</x:v>
      </x:c>
      <x:c r="H278" s="20" t="str">
        <x:v>第十轮：本步尚未作为同一事件完整链路验收。当前步骤：发送相同时空的5G-A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78" s="20" t="s">
        <x:v>92</x:v>
      </x:c>
      <x:c r="J278" s="21">
        <x:v>46293</x:v>
      </x:c>
      <x:c r="K278" s="20" t="str">
        <x:v>第十轮报告；r10-data.json；既有轮次证据</x:v>
      </x:c>
      <x:c r="L278" s="20" t="s">
        <x:v>1218</x:v>
      </x:c>
    </x:row>
    <x:row r="279" ht="160" customHeight="1">
      <x:c r="A279" s="25" t="s">
        <x:v>1159</x:v>
      </x:c>
      <x:c r="B279" s="25">
        <x:v>4</x:v>
      </x:c>
      <x:c r="C279" s="25" t="s">
        <x:v>1451</x:v>
      </x:c>
      <x:c r="D279" s="25" t="s">
        <x:v>1160</x:v>
      </x:c>
      <x:c r="E279" s="25" t="s">
        <x:v>1452</x:v>
      </x:c>
      <x:c r="F279" s="25" t="s">
        <x:v>1453</x:v>
      </x:c>
      <x:c r="G279" s="20" t="str">
        <x:v>暂时测不了</x:v>
      </x:c>
      <x:c r="H279" s="20" t="str">
        <x:v>第十轮：本步尚未作为同一事件完整链路验收。当前步骤：补入同目标TDOA及遥控器位置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79" s="20" t="s">
        <x:v>92</x:v>
      </x:c>
      <x:c r="J279" s="21">
        <x:v>46293</x:v>
      </x:c>
      <x:c r="K279" s="20" t="str">
        <x:v>第十轮报告；r10-data.json；既有轮次证据</x:v>
      </x:c>
      <x:c r="L279" s="20" t="s">
        <x:v>1218</x:v>
      </x:c>
    </x:row>
    <x:row r="280" ht="160" customHeight="1">
      <x:c r="A280" s="25" t="s">
        <x:v>1159</x:v>
      </x:c>
      <x:c r="B280" s="25">
        <x:v>5</x:v>
      </x:c>
      <x:c r="C280" s="25" t="s">
        <x:v>1454</x:v>
      </x:c>
      <x:c r="D280" s="25" t="s">
        <x:v>1160</x:v>
      </x:c>
      <x:c r="E280" s="25" t="s">
        <x:v>1455</x:v>
      </x:c>
      <x:c r="F280" s="25" t="s">
        <x:v>1456</x:v>
      </x:c>
      <x:c r="G280" s="20" t="str">
        <x:v>暂时测不了</x:v>
      </x:c>
      <x:c r="H280" s="20" t="str">
        <x:v>第十轮：本步尚未作为同一事件完整链路验收。当前步骤：加入第二架交叉飞行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0" s="20" t="s">
        <x:v>92</x:v>
      </x:c>
      <x:c r="J280" s="21">
        <x:v>46293</x:v>
      </x:c>
      <x:c r="K280" s="20" t="str">
        <x:v>第十轮报告；r10-data.json；既有轮次证据</x:v>
      </x:c>
      <x:c r="L280" s="20" t="s">
        <x:v>1218</x:v>
      </x:c>
    </x:row>
    <x:row r="281" ht="160" customHeight="1">
      <x:c r="A281" s="25" t="s">
        <x:v>1159</x:v>
      </x:c>
      <x:c r="B281" s="25">
        <x:v>6</x:v>
      </x:c>
      <x:c r="C281" s="25" t="s">
        <x:v>1457</x:v>
      </x:c>
      <x:c r="D281" s="25" t="s">
        <x:v>1160</x:v>
      </x:c>
      <x:c r="E281" s="25" t="s">
        <x:v>1458</x:v>
      </x:c>
      <x:c r="F281" s="25" t="s">
        <x:v>1459</x:v>
      </x:c>
      <x:c r="G281" s="20" t="str">
        <x:v>暂时测不了</x:v>
      </x:c>
      <x:c r="H281" s="20" t="str">
        <x:v>第十轮：本步尚未作为同一事件完整链路验收。当前步骤：关联有效计划，核对合法性及告警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1" s="20" t="s">
        <x:v>92</x:v>
      </x:c>
      <x:c r="J281" s="21">
        <x:v>46293</x:v>
      </x:c>
      <x:c r="K281" s="20" t="str">
        <x:v>第十轮报告；r10-data.json；既有轮次证据</x:v>
      </x:c>
      <x:c r="L281" s="20" t="s">
        <x:v>1218</x:v>
      </x:c>
    </x:row>
    <x:row r="282" ht="160" customHeight="1">
      <x:c r="A282" s="25" t="s">
        <x:v>1159</x:v>
      </x:c>
      <x:c r="B282" s="25">
        <x:v>7</x:v>
      </x:c>
      <x:c r="C282" s="25" t="s">
        <x:v>1460</x:v>
      </x:c>
      <x:c r="D282" s="25" t="s">
        <x:v>1160</x:v>
      </x:c>
      <x:c r="E282" s="25" t="s">
        <x:v>1461</x:v>
      </x:c>
      <x:c r="F282" s="25" t="s">
        <x:v>1462</x:v>
      </x:c>
      <x:c r="G282" s="20" t="str">
        <x:v>暂时测不了</x:v>
      </x:c>
      <x:c r="H282" s="20" t="str">
        <x:v>第十轮：本步尚未作为同一事件完整链路验收。当前步骤：停止TDOA，其他两路持续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2" s="20" t="s">
        <x:v>92</x:v>
      </x:c>
      <x:c r="J282" s="21">
        <x:v>46293</x:v>
      </x:c>
      <x:c r="K282" s="20" t="str">
        <x:v>第十轮报告；r10-data.json；既有轮次证据</x:v>
      </x:c>
      <x:c r="L282" s="20" t="s">
        <x:v>1218</x:v>
      </x:c>
    </x:row>
    <x:row r="283" ht="160" customHeight="1">
      <x:c r="A283" s="25" t="s">
        <x:v>1159</x:v>
      </x:c>
      <x:c r="B283" s="25">
        <x:v>8</x:v>
      </x:c>
      <x:c r="C283" s="25" t="s">
        <x:v>1463</x:v>
      </x:c>
      <x:c r="D283" s="25" t="s">
        <x:v>1160</x:v>
      </x:c>
      <x:c r="E283" s="25" t="s">
        <x:v>1464</x:v>
      </x:c>
      <x:c r="F283" s="25" t="s">
        <x:v>1465</x:v>
      </x:c>
      <x:c r="G283" s="20" t="str">
        <x:v>暂时测不了</x:v>
      </x:c>
      <x:c r="H283" s="20" t="str">
        <x:v>第十轮：本步尚未作为同一事件完整链路验收。当前步骤：恢复当前数据，同时按协议补传旧数据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3" s="20" t="s">
        <x:v>92</x:v>
      </x:c>
      <x:c r="J283" s="21">
        <x:v>46293</x:v>
      </x:c>
      <x:c r="K283" s="20" t="str">
        <x:v>第十轮报告；r10-data.json；既有轮次证据</x:v>
      </x:c>
      <x:c r="L283" s="20" t="s">
        <x:v>1218</x:v>
      </x:c>
    </x:row>
    <x:row r="284" ht="160" customHeight="1">
      <x:c r="A284" s="25" t="s">
        <x:v>1159</x:v>
      </x:c>
      <x:c r="B284" s="25">
        <x:v>9</x:v>
      </x:c>
      <x:c r="C284" s="25" t="s">
        <x:v>1466</x:v>
      </x:c>
      <x:c r="D284" s="25" t="s">
        <x:v>1160</x:v>
      </x:c>
      <x:c r="E284" s="25" t="s">
        <x:v>1467</x:v>
      </x:c>
      <x:c r="F284" s="25" t="s">
        <x:v>1468</x:v>
      </x:c>
      <x:c r="G284" s="20" t="str">
        <x:v>暂时测不了</x:v>
      </x:c>
      <x:c r="H284" s="20" t="str">
        <x:v>第十轮：本步尚未作为同一事件完整链路验收。当前步骤：查原始来源、轨迹、证据和统计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4" s="20" t="s">
        <x:v>92</x:v>
      </x:c>
      <x:c r="J284" s="21">
        <x:v>46293</x:v>
      </x:c>
      <x:c r="K284" s="20" t="str">
        <x:v>第十轮报告；r10-data.json；既有轮次证据</x:v>
      </x:c>
      <x:c r="L284" s="20" t="s">
        <x:v>1218</x:v>
      </x:c>
    </x:row>
    <x:row r="285" ht="160" customHeight="1">
      <x:c r="A285" s="25" t="s">
        <x:v>1159</x:v>
      </x:c>
      <x:c r="B285" s="25">
        <x:v>10</x:v>
      </x:c>
      <x:c r="C285" s="25" t="s">
        <x:v>1469</x:v>
      </x:c>
      <x:c r="D285" s="25" t="s">
        <x:v>1160</x:v>
      </x:c>
      <x:c r="E285" s="25" t="s">
        <x:v>1470</x:v>
      </x:c>
      <x:c r="F285" s="25" t="s">
        <x:v>1471</x:v>
      </x:c>
      <x:c r="G285" s="20" t="str">
        <x:v>暂时测不了</x:v>
      </x:c>
      <x:c r="H285" s="20" t="str">
        <x:v>第十轮：本步尚未作为同一事件完整链路验收。当前步骤：记录ID稳定、重复数、时延，重登核对并停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5" s="20" t="s">
        <x:v>92</x:v>
      </x:c>
      <x:c r="J285" s="21">
        <x:v>46293</x:v>
      </x:c>
      <x:c r="K285" s="20" t="str">
        <x:v>第十轮报告；r10-data.json；既有轮次证据</x:v>
      </x:c>
      <x:c r="L285" s="20" t="s">
        <x:v>1218</x:v>
      </x:c>
    </x:row>
    <x:row r="286" ht="160" customHeight="1">
      <x:c r="A286" s="23" t="s">
        <x:v>1164</x:v>
      </x:c>
      <x:c r="B286" s="23">
        <x:v>1</x:v>
      </x:c>
      <x:c r="C286" s="23" t="s">
        <x:v>1472</x:v>
      </x:c>
      <x:c r="D286" s="23" t="s">
        <x:v>1165</x:v>
      </x:c>
      <x:c r="E286" s="23" t="s">
        <x:v>1473</x:v>
      </x:c>
      <x:c r="F286" s="23" t="s">
        <x:v>1474</x:v>
      </x:c>
      <x:c r="G286" s="20" t="str">
        <x:v>暂时测不了</x:v>
      </x:c>
      <x:c r="H286" s="20" t="str">
        <x:v>第十轮：本步尚未作为同一事件完整链路验收。当前步骤：读取光电与反制设备协议、账号、M1配置和授权范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86" s="20" t="s">
        <x:v>92</x:v>
      </x:c>
      <x:c r="J286" s="21">
        <x:v>46293</x:v>
      </x:c>
      <x:c r="K286" s="20" t="str">
        <x:v>第十轮报告；r10-data.json；既有轮次证据</x:v>
      </x:c>
      <x:c r="L286" s="20" t="s">
        <x:v>1218</x:v>
      </x:c>
    </x:row>
    <x:row r="287" ht="160" customHeight="1">
      <x:c r="A287" s="23" t="s">
        <x:v>1164</x:v>
      </x:c>
      <x:c r="B287" s="23">
        <x:v>2</x:v>
      </x:c>
      <x:c r="C287" s="23" t="s">
        <x:v>1475</x:v>
      </x:c>
      <x:c r="D287" s="23" t="s">
        <x:v>1165</x:v>
      </x:c>
      <x:c r="E287" s="23" t="s">
        <x:v>1476</x:v>
      </x:c>
      <x:c r="F287" s="23" t="s">
        <x:v>1477</x:v>
      </x:c>
      <x:c r="G287" s="20" t="str">
        <x:v>暂时测不了</x:v>
      </x:c>
      <x:c r="H287" s="20" t="str">
        <x:v>第十轮：本步尚未作为同一事件完整链路验收。当前步骤：输入持续有效的无人机观测与违规依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87" s="20" t="s">
        <x:v>92</x:v>
      </x:c>
      <x:c r="J287" s="21">
        <x:v>46293</x:v>
      </x:c>
      <x:c r="K287" s="20" t="str">
        <x:v>第十轮报告；r10-data.json；既有轮次证据</x:v>
      </x:c>
      <x:c r="L287" s="20" t="s">
        <x:v>1218</x:v>
      </x:c>
    </x:row>
    <x:row r="288" ht="160" customHeight="1">
      <x:c r="A288" s="23" t="s">
        <x:v>1164</x:v>
      </x:c>
      <x:c r="B288" s="23">
        <x:v>3</x:v>
      </x:c>
      <x:c r="C288" s="23" t="s">
        <x:v>1478</x:v>
      </x:c>
      <x:c r="D288" s="23" t="s">
        <x:v>1165</x:v>
      </x:c>
      <x:c r="E288" s="23" t="s">
        <x:v>1479</x:v>
      </x:c>
      <x:c r="F288" s="23" t="s">
        <x:v>1480</x:v>
      </x:c>
      <x:c r="G288" s="20" t="str">
        <x:v>暂时测不了</x:v>
      </x:c>
      <x:c r="H288" s="20" t="str">
        <x:v>第十轮：本步尚未作为同一事件完整链路验收。当前步骤：在已有业务入口选择目标和可用光电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88" s="20" t="s">
        <x:v>92</x:v>
      </x:c>
      <x:c r="J288" s="21">
        <x:v>46293</x:v>
      </x:c>
      <x:c r="K288" s="20" t="str">
        <x:v>第十轮报告；r10-data.json；既有轮次证据</x:v>
      </x:c>
      <x:c r="L288" s="20" t="s">
        <x:v>1218</x:v>
      </x:c>
    </x:row>
    <x:row r="289" ht="160" customHeight="1">
      <x:c r="A289" s="23" t="s">
        <x:v>1164</x:v>
      </x:c>
      <x:c r="B289" s="23">
        <x:v>4</x:v>
      </x:c>
      <x:c r="C289" s="23" t="s">
        <x:v>1481</x:v>
      </x:c>
      <x:c r="D289" s="23" t="s">
        <x:v>1165</x:v>
      </x:c>
      <x:c r="E289" s="23" t="s">
        <x:v>1482</x:v>
      </x:c>
      <x:c r="F289" s="23" t="s">
        <x:v>1483</x:v>
      </x:c>
      <x:c r="G289" s="20" t="str">
        <x:v>暂时测不了</x:v>
      </x:c>
      <x:c r="H289" s="20" t="str">
        <x:v>第十轮：本步尚未作为同一事件完整链路验收。当前步骤：查看受理、跟踪状态及视频可用状态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89" s="20" t="s">
        <x:v>92</x:v>
      </x:c>
      <x:c r="J289" s="21">
        <x:v>46293</x:v>
      </x:c>
      <x:c r="K289" s="20" t="str">
        <x:v>第十轮报告；r10-data.json；既有轮次证据</x:v>
      </x:c>
      <x:c r="L289" s="20" t="s">
        <x:v>1218</x:v>
      </x:c>
    </x:row>
    <x:row r="290" ht="160" customHeight="1">
      <x:c r="A290" s="23" t="s">
        <x:v>1164</x:v>
      </x:c>
      <x:c r="B290" s="23">
        <x:v>5</x:v>
      </x:c>
      <x:c r="C290" s="23" t="s">
        <x:v>1484</x:v>
      </x:c>
      <x:c r="D290" s="23" t="s">
        <x:v>1165</x:v>
      </x:c>
      <x:c r="E290" s="23" t="s">
        <x:v>1485</x:v>
      </x:c>
      <x:c r="F290" s="23" t="s">
        <x:v>1486</x:v>
      </x:c>
      <x:c r="G290" s="20" t="str">
        <x:v>暂时测不了</x:v>
      </x:c>
      <x:c r="H290" s="20" t="str">
        <x:v>第十轮：本步尚未作为同一事件完整链路验收。当前步骤：核对光电类别、来源、截图与视频关联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0" s="20" t="s">
        <x:v>92</x:v>
      </x:c>
      <x:c r="J290" s="21">
        <x:v>46293</x:v>
      </x:c>
      <x:c r="K290" s="20" t="str">
        <x:v>第十轮报告；r10-data.json；既有轮次证据</x:v>
      </x:c>
      <x:c r="L290" s="20" t="s">
        <x:v>1218</x:v>
      </x:c>
    </x:row>
    <x:row r="291" ht="160" customHeight="1">
      <x:c r="A291" s="23" t="s">
        <x:v>1164</x:v>
      </x:c>
      <x:c r="B291" s="23">
        <x:v>6</x:v>
      </x:c>
      <x:c r="C291" s="23" t="s">
        <x:v>1487</x:v>
      </x:c>
      <x:c r="D291" s="23" t="s">
        <x:v>1165</x:v>
      </x:c>
      <x:c r="E291" s="23" t="s">
        <x:v>1488</x:v>
      </x:c>
      <x:c r="F291" s="23" t="s">
        <x:v>1489</x:v>
      </x:c>
      <x:c r="G291" s="20" t="str">
        <x:v>暂时测不了</x:v>
      </x:c>
      <x:c r="H291" s="20" t="str">
        <x:v>第十轮：本步尚未作为同一事件完整链路验收。当前步骤：核实后按通知计时推进，人员申请，另一账号审批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1" s="20" t="s">
        <x:v>92</x:v>
      </x:c>
      <x:c r="J291" s="21">
        <x:v>46293</x:v>
      </x:c>
      <x:c r="K291" s="20" t="str">
        <x:v>第十轮报告；r10-data.json；既有轮次证据</x:v>
      </x:c>
      <x:c r="L291" s="20" t="s">
        <x:v>1218</x:v>
      </x:c>
    </x:row>
    <x:row r="292" ht="160" customHeight="1">
      <x:c r="A292" s="23" t="s">
        <x:v>1164</x:v>
      </x:c>
      <x:c r="B292" s="23">
        <x:v>7</x:v>
      </x:c>
      <x:c r="C292" s="23" t="s">
        <x:v>1490</x:v>
      </x:c>
      <x:c r="D292" s="23" t="s">
        <x:v>1165</x:v>
      </x:c>
      <x:c r="E292" s="23" t="s">
        <x:v>1491</x:v>
      </x:c>
      <x:c r="F292" s="23" t="s">
        <x:v>1492</x:v>
      </x:c>
      <x:c r="G292" s="20" t="str">
        <x:v>暂时测不了</x:v>
      </x:c>
      <x:c r="H292" s="20" t="str">
        <x:v>第十轮：本步尚未作为同一事件完整链路验收。当前步骤：核对父授权反制结果，再核对干扰子授权与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2" s="20" t="s">
        <x:v>92</x:v>
      </x:c>
      <x:c r="J292" s="21">
        <x:v>46293</x:v>
      </x:c>
      <x:c r="K292" s="20" t="str">
        <x:v>第十轮报告；r10-data.json；既有轮次证据</x:v>
      </x:c>
      <x:c r="L292" s="20" t="s">
        <x:v>1218</x:v>
      </x:c>
    </x:row>
    <x:row r="293" ht="160" customHeight="1">
      <x:c r="A293" s="23" t="s">
        <x:v>1164</x:v>
      </x:c>
      <x:c r="B293" s="23">
        <x:v>8</x:v>
      </x:c>
      <x:c r="C293" s="23" t="s">
        <x:v>1493</x:v>
      </x:c>
      <x:c r="D293" s="23" t="s">
        <x:v>1165</x:v>
      </x:c>
      <x:c r="E293" s="23" t="s">
        <x:v>1494</x:v>
      </x:c>
      <x:c r="F293" s="23" t="s">
        <x:v>1495</x:v>
      </x:c>
      <x:c r="G293" s="20" t="str">
        <x:v>暂时测不了</x:v>
      </x:c>
      <x:c r="H293" s="20" t="str">
        <x:v>第十轮：本步尚未作为同一事件完整链路验收。当前步骤：干扰完成后查看已冻结交接，按M1由有权者通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3" s="20" t="s">
        <x:v>92</x:v>
      </x:c>
      <x:c r="J293" s="21">
        <x:v>46293</x:v>
      </x:c>
      <x:c r="K293" s="20" t="str">
        <x:v>第十轮报告；r10-data.json；既有轮次证据</x:v>
      </x:c>
      <x:c r="L293" s="20" t="s">
        <x:v>1218</x:v>
      </x:c>
    </x:row>
    <x:row r="294" ht="160" customHeight="1">
      <x:c r="A294" s="23" t="s">
        <x:v>1164</x:v>
      </x:c>
      <x:c r="B294" s="23">
        <x:v>9</x:v>
      </x:c>
      <x:c r="C294" s="23" t="s">
        <x:v>1496</x:v>
      </x:c>
      <x:c r="D294" s="23" t="s">
        <x:v>1165</x:v>
      </x:c>
      <x:c r="E294" s="23" t="s">
        <x:v>1497</x:v>
      </x:c>
      <x:c r="F294" s="23" t="s">
        <x:v>1498</x:v>
      </x:c>
      <x:c r="G294" s="20" t="str">
        <x:v>暂时测不了</x:v>
      </x:c>
      <x:c r="H294" s="20" t="str">
        <x:v>第十轮：本步尚未作为同一事件完整链路验收。当前步骤：查看原始轨迹、光电证据、授权、回执及冻结材料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4" s="20" t="s">
        <x:v>92</x:v>
      </x:c>
      <x:c r="J294" s="21">
        <x:v>46293</x:v>
      </x:c>
      <x:c r="K294" s="20" t="str">
        <x:v>第十轮报告；r10-data.json；既有轮次证据</x:v>
      </x:c>
      <x:c r="L294" s="20" t="s">
        <x:v>1218</x:v>
      </x:c>
    </x:row>
    <x:row r="295" ht="160" customHeight="1">
      <x:c r="A295" s="23" t="s">
        <x:v>1164</x:v>
      </x:c>
      <x:c r="B295" s="23">
        <x:v>10</x:v>
      </x:c>
      <x:c r="C295" s="23" t="s">
        <x:v>1499</x:v>
      </x:c>
      <x:c r="D295" s="23" t="s">
        <x:v>1165</x:v>
      </x:c>
      <x:c r="E295" s="23" t="s">
        <x:v>1500</x:v>
      </x:c>
      <x:c r="F295" s="23" t="s">
        <x:v>1501</x:v>
      </x:c>
      <x:c r="G295" s="20" t="str">
        <x:v>暂时测不了</x:v>
      </x:c>
      <x:c r="H295" s="20" t="str">
        <x:v>第十轮：本步尚未作为同一事件完整链路验收。当前步骤：正常停止或确认结束，重登核对后台审计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5" s="20" t="s">
        <x:v>92</x:v>
      </x:c>
      <x:c r="J295" s="21">
        <x:v>46293</x:v>
      </x:c>
      <x:c r="K295" s="20" t="str">
        <x:v>第十轮报告；r10-data.json；既有轮次证据</x:v>
      </x:c>
      <x:c r="L295" s="20" t="s">
        <x:v>1218</x:v>
      </x:c>
    </x:row>
    <x:row r="296" ht="160" customHeight="1">
      <x:c r="A296" s="25" t="s">
        <x:v>1168</x:v>
      </x:c>
      <x:c r="B296" s="25">
        <x:v>1</x:v>
      </x:c>
      <x:c r="C296" s="25" t="s">
        <x:v>1502</x:v>
      </x:c>
      <x:c r="D296" s="25" t="s">
        <x:v>1169</x:v>
      </x:c>
      <x:c r="E296" s="25" t="s">
        <x:v>1503</x:v>
      </x:c>
      <x:c r="F296" s="25" t="s">
        <x:v>1504</x:v>
      </x:c>
      <x:c r="G296" s="20" t="str">
        <x:v>暂时测不了</x:v>
      </x:c>
      <x:c r="H296" s="20" t="str">
        <x:v>第十轮：本步尚未作为同一事件完整链路验收。当前步骤：核实事件属实，确保没有反制或干扰记录，准备可用模拟处罚接收方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296" s="20" t="s">
        <x:v>92</x:v>
      </x:c>
      <x:c r="J296" s="21">
        <x:v>46293</x:v>
      </x:c>
      <x:c r="K296" s="20" t="str">
        <x:v>第十轮报告；r10-data.json；既有轮次证据</x:v>
      </x:c>
      <x:c r="L296" s="20" t="s">
        <x:v>1218</x:v>
      </x:c>
    </x:row>
    <x:row r="297" ht="160" customHeight="1">
      <x:c r="A297" s="25" t="s">
        <x:v>1168</x:v>
      </x:c>
      <x:c r="B297" s="25">
        <x:v>2</x:v>
      </x:c>
      <x:c r="C297" s="25" t="s">
        <x:v>1505</x:v>
      </x:c>
      <x:c r="D297" s="25" t="s">
        <x:v>1169</x:v>
      </x:c>
      <x:c r="E297" s="25" t="s">
        <x:v>1506</x:v>
      </x:c>
      <x:c r="F297" s="25" t="s">
        <x:v>1507</x:v>
      </x:c>
      <x:c r="G297" s="20" t="str">
        <x:v>暂时测不了</x:v>
      </x:c>
      <x:c r="H297" s="20" t="str">
        <x:v>第十轮：本步尚未作为同一事件完整链路验收。当前步骤：回查授权和设备命令清单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297" s="20" t="s">
        <x:v>92</x:v>
      </x:c>
      <x:c r="J297" s="21">
        <x:v>46293</x:v>
      </x:c>
      <x:c r="K297" s="20" t="str">
        <x:v>第十轮报告；r10-data.json；既有轮次证据</x:v>
      </x:c>
      <x:c r="L297" s="20" t="s">
        <x:v>1218</x:v>
      </x:c>
    </x:row>
    <x:row r="298" ht="160" customHeight="1">
      <x:c r="A298" s="25" t="s">
        <x:v>1168</x:v>
      </x:c>
      <x:c r="B298" s="25">
        <x:v>3</x:v>
      </x:c>
      <x:c r="C298" s="25" t="s">
        <x:v>1508</x:v>
      </x:c>
      <x:c r="D298" s="25" t="s">
        <x:v>1169</x:v>
      </x:c>
      <x:c r="E298" s="25" t="s">
        <x:v>1509</x:v>
      </x:c>
      <x:c r="F298" s="25" t="s">
        <x:v>1510</x:v>
      </x:c>
      <x:c r="G298" s="20" t="str">
        <x:v>暂时测不了</x:v>
      </x:c>
      <x:c r="H298" s="20" t="str">
        <x:v>第十轮：本步尚未作为同一事件完整链路验收。当前步骤：从该事件查找现有允许的交接入口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298" s="20" t="s">
        <x:v>92</x:v>
      </x:c>
      <x:c r="J298" s="21">
        <x:v>46293</x:v>
      </x:c>
      <x:c r="K298" s="20" t="str">
        <x:v>第十轮报告；r10-data.json；既有轮次证据</x:v>
      </x:c>
      <x:c r="L298" s="20" t="s">
        <x:v>1218</x:v>
      </x:c>
    </x:row>
    <x:row r="299" ht="160" customHeight="1">
      <x:c r="A299" s="25" t="s">
        <x:v>1168</x:v>
      </x:c>
      <x:c r="B299" s="25">
        <x:v>4</x:v>
      </x:c>
      <x:c r="C299" s="25" t="s">
        <x:v>1511</x:v>
      </x:c>
      <x:c r="D299" s="25" t="s">
        <x:v>1169</x:v>
      </x:c>
      <x:c r="E299" s="25" t="s">
        <x:v>1512</x:v>
      </x:c>
      <x:c r="F299" s="25" t="s">
        <x:v>1513</x:v>
      </x:c>
      <x:c r="G299" s="20" t="str">
        <x:v>暂时测不了</x:v>
      </x:c>
      <x:c r="H299" s="20" t="str">
        <x:v>第十轮：本步尚未作为同一事件完整链路验收。当前步骤：入口存在则由有权者提交；仅有接口时开发配合单独记录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299" s="20" t="s">
        <x:v>92</x:v>
      </x:c>
      <x:c r="J299" s="21">
        <x:v>46293</x:v>
      </x:c>
      <x:c r="K299" s="20" t="str">
        <x:v>第十轮报告；r10-data.json；既有轮次证据</x:v>
      </x:c>
      <x:c r="L299" s="20" t="s">
        <x:v>1218</x:v>
      </x:c>
    </x:row>
    <x:row r="300" ht="160" customHeight="1">
      <x:c r="A300" s="25" t="s">
        <x:v>1168</x:v>
      </x:c>
      <x:c r="B300" s="25">
        <x:v>5</x:v>
      </x:c>
      <x:c r="C300" s="25" t="s">
        <x:v>1514</x:v>
      </x:c>
      <x:c r="D300" s="25" t="s">
        <x:v>1169</x:v>
      </x:c>
      <x:c r="E300" s="25" t="s">
        <x:v>1515</x:v>
      </x:c>
      <x:c r="F300" s="25" t="s">
        <x:v>1516</x:v>
      </x:c>
      <x:c r="G300" s="20" t="str">
        <x:v>暂时测不了</x:v>
      </x:c>
      <x:c r="H300" s="20" t="str">
        <x:v>第十轮：本步尚未作为同一事件完整链路验收。当前步骤：打开交接材料及事件版本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0" s="20" t="s">
        <x:v>92</x:v>
      </x:c>
      <x:c r="J300" s="21">
        <x:v>46293</x:v>
      </x:c>
      <x:c r="K300" s="20" t="str">
        <x:v>第十轮报告；r10-data.json；既有轮次证据</x:v>
      </x:c>
      <x:c r="L300" s="20" t="s">
        <x:v>1218</x:v>
      </x:c>
    </x:row>
    <x:row r="301" ht="160" customHeight="1">
      <x:c r="A301" s="25" t="s">
        <x:v>1168</x:v>
      </x:c>
      <x:c r="B301" s="25">
        <x:v>6</x:v>
      </x:c>
      <x:c r="C301" s="25" t="s">
        <x:v>1517</x:v>
      </x:c>
      <x:c r="D301" s="25" t="s">
        <x:v>1169</x:v>
      </x:c>
      <x:c r="E301" s="25" t="s">
        <x:v>1518</x:v>
      </x:c>
      <x:c r="F301" s="25" t="s">
        <x:v>1519</x:v>
      </x:c>
      <x:c r="G301" s="20" t="str">
        <x:v>暂时测不了</x:v>
      </x:c>
      <x:c r="H301" s="20" t="str">
        <x:v>第十轮：本步尚未作为同一事件完整链路验收。当前步骤：按实际配置发模拟通知或处理待发送事项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1" s="20" t="s">
        <x:v>92</x:v>
      </x:c>
      <x:c r="J301" s="21">
        <x:v>46293</x:v>
      </x:c>
      <x:c r="K301" s="20" t="str">
        <x:v>第十轮报告；r10-data.json；既有轮次证据</x:v>
      </x:c>
      <x:c r="L301" s="20" t="s">
        <x:v>1218</x:v>
      </x:c>
    </x:row>
    <x:row r="302" ht="160" customHeight="1">
      <x:c r="A302" s="25" t="s">
        <x:v>1168</x:v>
      </x:c>
      <x:c r="B302" s="25">
        <x:v>7</x:v>
      </x:c>
      <x:c r="C302" s="25" t="s">
        <x:v>1520</x:v>
      </x:c>
      <x:c r="D302" s="25" t="s">
        <x:v>1169</x:v>
      </x:c>
      <x:c r="E302" s="25" t="s">
        <x:v>1521</x:v>
      </x:c>
      <x:c r="F302" s="25" t="s">
        <x:v>1522</x:v>
      </x:c>
      <x:c r="G302" s="20" t="str">
        <x:v>暂时测不了</x:v>
      </x:c>
      <x:c r="H302" s="20" t="str">
        <x:v>第十轮：本步尚未作为同一事件完整链路验收。当前步骤：模拟渠道返回对应送达和签收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2" s="20" t="s">
        <x:v>92</x:v>
      </x:c>
      <x:c r="J302" s="21">
        <x:v>46293</x:v>
      </x:c>
      <x:c r="K302" s="20" t="str">
        <x:v>第十轮报告；r10-data.json；既有轮次证据</x:v>
      </x:c>
      <x:c r="L302" s="20" t="s">
        <x:v>1218</x:v>
      </x:c>
    </x:row>
    <x:row r="303" ht="160" customHeight="1">
      <x:c r="A303" s="25" t="s">
        <x:v>1168</x:v>
      </x:c>
      <x:c r="B303" s="25">
        <x:v>8</x:v>
      </x:c>
      <x:c r="C303" s="25" t="s">
        <x:v>1523</x:v>
      </x:c>
      <x:c r="D303" s="25" t="s">
        <x:v>1169</x:v>
      </x:c>
      <x:c r="E303" s="25" t="s">
        <x:v>1524</x:v>
      </x:c>
      <x:c r="F303" s="25" t="s">
        <x:v>1525</x:v>
      </x:c>
      <x:c r="G303" s="20" t="str">
        <x:v>暂时测不了</x:v>
      </x:c>
      <x:c r="H303" s="20" t="str">
        <x:v>第十轮：本步尚未作为同一事件完整链路验收。当前步骤：在获准范围更新原事件资料，回看旧冻结材料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3" s="20" t="s">
        <x:v>92</x:v>
      </x:c>
      <x:c r="J303" s="21">
        <x:v>46293</x:v>
      </x:c>
      <x:c r="K303" s="20" t="str">
        <x:v>第十轮报告；r10-data.json；既有轮次证据</x:v>
      </x:c>
      <x:c r="L303" s="20" t="s">
        <x:v>1218</x:v>
      </x:c>
    </x:row>
    <x:row r="304" ht="160" customHeight="1">
      <x:c r="A304" s="25" t="s">
        <x:v>1168</x:v>
      </x:c>
      <x:c r="B304" s="25">
        <x:v>9</x:v>
      </x:c>
      <x:c r="C304" s="25" t="s">
        <x:v>1526</x:v>
      </x:c>
      <x:c r="D304" s="25" t="s">
        <x:v>1169</x:v>
      </x:c>
      <x:c r="E304" s="25" t="s">
        <x:v>1527</x:v>
      </x:c>
      <x:c r="F304" s="25" t="s">
        <x:v>1528</x:v>
      </x:c>
      <x:c r="G304" s="20" t="str">
        <x:v>暂时测不了</x:v>
      </x:c>
      <x:c r="H304" s="20" t="str">
        <x:v>第十轮：本步尚未作为同一事件完整链路验收。当前步骤：在处罚、证据、统计页对照本事件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4" s="20" t="s">
        <x:v>92</x:v>
      </x:c>
      <x:c r="J304" s="21">
        <x:v>46293</x:v>
      </x:c>
      <x:c r="K304" s="20" t="str">
        <x:v>第十轮报告；r10-data.json；既有轮次证据</x:v>
      </x:c>
      <x:c r="L304" s="20" t="s">
        <x:v>1218</x:v>
      </x:c>
    </x:row>
    <x:row r="305" ht="160" customHeight="1">
      <x:c r="A305" s="25" t="s">
        <x:v>1168</x:v>
      </x:c>
      <x:c r="B305" s="25">
        <x:v>10</x:v>
      </x:c>
      <x:c r="C305" s="25" t="s">
        <x:v>1529</x:v>
      </x:c>
      <x:c r="D305" s="25" t="s">
        <x:v>1169</x:v>
      </x:c>
      <x:c r="E305" s="25" t="s">
        <x:v>1530</x:v>
      </x:c>
      <x:c r="F305" s="25" t="s">
        <x:v>1531</x:v>
      </x:c>
      <x:c r="G305" s="20" t="str">
        <x:v>暂时测不了</x:v>
      </x:c>
      <x:c r="H305" s="20" t="str">
        <x:v>第十轮：本步尚未作为同一事件完整链路验收。当前步骤：重登复查，留下入口缺口或完整证据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5" s="20" t="s">
        <x:v>92</x:v>
      </x:c>
      <x:c r="J305" s="21">
        <x:v>46293</x:v>
      </x:c>
      <x:c r="K305" s="20" t="str">
        <x:v>第十轮报告；r10-data.json；既有轮次证据</x:v>
      </x:c>
      <x:c r="L305" s="20" t="s">
        <x:v>1218</x:v>
      </x:c>
    </x:row>
    <x:row r="306" ht="160" customHeight="1">
      <x:c r="A306" s="5" t="s">
        <x:v>1173</x:v>
      </x:c>
      <x:c r="B306" s="5">
        <x:v>1</x:v>
      </x:c>
      <x:c r="C306" s="5" t="s">
        <x:v>1532</x:v>
      </x:c>
      <x:c r="D306" s="5" t="s">
        <x:v>1174</x:v>
      </x:c>
      <x:c r="E306" s="5" t="s">
        <x:v>1533</x:v>
      </x:c>
      <x:c r="F306" s="5" t="s">
        <x:v>1534</x:v>
      </x:c>
      <x:c r="G306" s="20" t="str">
        <x:v>暂时测不了</x:v>
      </x:c>
      <x:c r="H306" s="20" t="str">
        <x:v>第十轮：本步尚未作为同一事件完整链路验收。当前步骤：准备专用测试TCP设备、接入范围、协议版本与账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06" s="20" t="s">
        <x:v>92</x:v>
      </x:c>
      <x:c r="J306" s="21">
        <x:v>46293</x:v>
      </x:c>
      <x:c r="K306" s="20" t="str">
        <x:v>第十轮报告；r10-data.json；既有轮次证据</x:v>
      </x:c>
      <x:c r="L306" s="20" t="s">
        <x:v>1218</x:v>
      </x:c>
    </x:row>
    <x:row r="307" ht="160" customHeight="1">
      <x:c r="A307" s="5" t="s">
        <x:v>1173</x:v>
      </x:c>
      <x:c r="B307" s="5">
        <x:v>2</x:v>
      </x:c>
      <x:c r="C307" s="5" t="s">
        <x:v>1535</x:v>
      </x:c>
      <x:c r="D307" s="5" t="s">
        <x:v>1174</x:v>
      </x:c>
      <x:c r="E307" s="5" t="s">
        <x:v>1536</x:v>
      </x:c>
      <x:c r="F307" s="5" t="s">
        <x:v>1537</x:v>
      </x:c>
      <x:c r="G307" s="20" t="str">
        <x:v>暂时测不了</x:v>
      </x:c>
      <x:c r="H307" s="20" t="str">
        <x:v>第十轮：本步尚未作为同一事件完整链路验收。当前步骤：从统一入口选雷达及支持的TCP协议，保存配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07" s="20" t="s">
        <x:v>92</x:v>
      </x:c>
      <x:c r="J307" s="21">
        <x:v>46293</x:v>
      </x:c>
      <x:c r="K307" s="20" t="str">
        <x:v>第十轮报告；r10-data.json；既有轮次证据</x:v>
      </x:c>
      <x:c r="L307" s="20" t="s">
        <x:v>1218</x:v>
      </x:c>
    </x:row>
    <x:row r="308" ht="160" customHeight="1">
      <x:c r="A308" s="5" t="s">
        <x:v>1173</x:v>
      </x:c>
      <x:c r="B308" s="5">
        <x:v>3</x:v>
      </x:c>
      <x:c r="C308" s="5" t="s">
        <x:v>1538</x:v>
      </x:c>
      <x:c r="D308" s="5" t="s">
        <x:v>1174</x:v>
      </x:c>
      <x:c r="E308" s="5" t="s">
        <x:v>1539</x:v>
      </x:c>
      <x:c r="F308" s="5" t="s">
        <x:v>1540</x:v>
      </x:c>
      <x:c r="G308" s="20" t="str">
        <x:v>暂时测不了</x:v>
      </x:c>
      <x:c r="H308" s="20" t="str">
        <x:v>第十轮：本步尚未作为同一事件完整链路验收。当前步骤：核对型号、单位区域、地址和允许启停状态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08" s="20" t="s">
        <x:v>92</x:v>
      </x:c>
      <x:c r="J308" s="21">
        <x:v>46293</x:v>
      </x:c>
      <x:c r="K308" s="20" t="str">
        <x:v>第十轮报告；r10-data.json；既有轮次证据</x:v>
      </x:c>
      <x:c r="L308" s="20" t="s">
        <x:v>1218</x:v>
      </x:c>
    </x:row>
    <x:row r="309" ht="160" customHeight="1">
      <x:c r="A309" s="5" t="s">
        <x:v>1173</x:v>
      </x:c>
      <x:c r="B309" s="5">
        <x:v>4</x:v>
      </x:c>
      <x:c r="C309" s="5" t="s">
        <x:v>1541</x:v>
      </x:c>
      <x:c r="D309" s="5" t="s">
        <x:v>1174</x:v>
      </x:c>
      <x:c r="E309" s="5" t="s">
        <x:v>1542</x:v>
      </x:c>
      <x:c r="F309" s="5" t="s">
        <x:v>1543</x:v>
      </x:c>
      <x:c r="G309" s="20" t="str">
        <x:v>暂时测不了</x:v>
      </x:c>
      <x:c r="H309" s="20" t="str">
        <x:v>第十轮：本步尚未作为同一事件完整链路验收。当前步骤：创建任务并发起连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09" s="20" t="s">
        <x:v>92</x:v>
      </x:c>
      <x:c r="J309" s="21">
        <x:v>46293</x:v>
      </x:c>
      <x:c r="K309" s="20" t="str">
        <x:v>第十轮报告；r10-data.json；既有轮次证据</x:v>
      </x:c>
      <x:c r="L309" s="20" t="s">
        <x:v>1218</x:v>
      </x:c>
    </x:row>
    <x:row r="310" ht="160" customHeight="1">
      <x:c r="A310" s="5" t="s">
        <x:v>1173</x:v>
      </x:c>
      <x:c r="B310" s="5">
        <x:v>5</x:v>
      </x:c>
      <x:c r="C310" s="5" t="s">
        <x:v>1544</x:v>
      </x:c>
      <x:c r="D310" s="5" t="s">
        <x:v>1174</x:v>
      </x:c>
      <x:c r="E310" s="5" t="s">
        <x:v>1545</x:v>
      </x:c>
      <x:c r="F310" s="5" t="s">
        <x:v>1546</x:v>
      </x:c>
      <x:c r="G310" s="20" t="str">
        <x:v>暂时测不了</x:v>
      </x:c>
      <x:c r="H310" s="20" t="str">
        <x:v>第十轮：本步尚未作为同一事件完整链路验收。当前步骤：连接成功后保存本次参数，再开始调测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10" s="20" t="s">
        <x:v>92</x:v>
      </x:c>
      <x:c r="J310" s="21">
        <x:v>46293</x:v>
      </x:c>
      <x:c r="K310" s="20" t="str">
        <x:v>第十轮报告；r10-data.json；既有轮次证据</x:v>
      </x:c>
      <x:c r="L310" s="20" t="s">
        <x:v>1218</x:v>
      </x:c>
    </x:row>
    <x:row r="311" ht="160" customHeight="1">
      <x:c r="A311" s="5" t="s">
        <x:v>1173</x:v>
      </x:c>
      <x:c r="B311" s="5">
        <x:v>6</x:v>
      </x:c>
      <x:c r="C311" s="5" t="s">
        <x:v>1547</x:v>
      </x:c>
      <x:c r="D311" s="5" t="s">
        <x:v>1174</x:v>
      </x:c>
      <x:c r="E311" s="5" t="s">
        <x:v>1548</x:v>
      </x:c>
      <x:c r="F311" s="5" t="s">
        <x:v>1549</x:v>
      </x:c>
      <x:c r="G311" s="20" t="str">
        <x:v>暂时测不了</x:v>
      </x:c>
      <x:c r="H311" s="20" t="str">
        <x:v>第十轮：本步尚未作为同一事件完整链路验收。当前步骤：由模拟器返回真实测试协议响应、心跳和点迹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11" s="20" t="s">
        <x:v>92</x:v>
      </x:c>
      <x:c r="J311" s="21">
        <x:v>46293</x:v>
      </x:c>
      <x:c r="K311" s="20" t="str">
        <x:v>第十轮报告；r10-data.json；既有轮次证据</x:v>
      </x:c>
      <x:c r="L311" s="20" t="s">
        <x:v>1218</x:v>
      </x:c>
    </x:row>
    <x:row r="312" ht="160" customHeight="1">
      <x:c r="A312" s="5" t="s">
        <x:v>1173</x:v>
      </x:c>
      <x:c r="B312" s="5">
        <x:v>7</x:v>
      </x:c>
      <x:c r="C312" s="5" t="s">
        <x:v>1550</x:v>
      </x:c>
      <x:c r="D312" s="5" t="s">
        <x:v>1174</x:v>
      </x:c>
      <x:c r="E312" s="5" t="s">
        <x:v>1551</x:v>
      </x:c>
      <x:c r="F312" s="5" t="s">
        <x:v>1552</x:v>
      </x:c>
      <x:c r="G312" s="20" t="str">
        <x:v>暂时测不了</x:v>
      </x:c>
      <x:c r="H312" s="20" t="str">
        <x:v>第十轮：本步尚未作为同一事件完整链路验收。当前步骤：查看结束状态及完整报告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12" s="20" t="s">
        <x:v>92</x:v>
      </x:c>
      <x:c r="J312" s="21">
        <x:v>46293</x:v>
      </x:c>
      <x:c r="K312" s="20" t="str">
        <x:v>第十轮报告；r10-data.json；既有轮次证据</x:v>
      </x:c>
      <x:c r="L312" s="20" t="s">
        <x:v>1218</x:v>
      </x:c>
    </x:row>
    <x:row r="313" ht="160" customHeight="1">
      <x:c r="A313" s="5" t="s">
        <x:v>1173</x:v>
      </x:c>
      <x:c r="B313" s="5">
        <x:v>8</x:v>
      </x:c>
      <x:c r="C313" s="5" t="s">
        <x:v>1553</x:v>
      </x:c>
      <x:c r="D313" s="5" t="s">
        <x:v>1174</x:v>
      </x:c>
      <x:c r="E313" s="5" t="s">
        <x:v>1554</x:v>
      </x:c>
      <x:c r="F313" s="5" t="s">
        <x:v>1555</x:v>
      </x:c>
      <x:c r="G313" s="20" t="str">
        <x:v>暂时测不了</x:v>
      </x:c>
      <x:c r="H313" s="20" t="str">
        <x:v>第十轮：本步尚未作为同一事件完整链路验收。当前步骤：核对设备当前信息、来源时间和健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13" s="20" t="s">
        <x:v>92</x:v>
      </x:c>
      <x:c r="J313" s="21">
        <x:v>46293</x:v>
      </x:c>
      <x:c r="K313" s="20" t="str">
        <x:v>第十轮报告；r10-data.json；既有轮次证据</x:v>
      </x:c>
      <x:c r="L313" s="20" t="s">
        <x:v>1218</x:v>
      </x:c>
    </x:row>
    <x:row r="314" ht="160" customHeight="1">
      <x:c r="A314" s="5" t="s">
        <x:v>1173</x:v>
      </x:c>
      <x:c r="B314" s="5">
        <x:v>9</x:v>
      </x:c>
      <x:c r="C314" s="5" t="s">
        <x:v>1556</x:v>
      </x:c>
      <x:c r="D314" s="5" t="s">
        <x:v>1174</x:v>
      </x:c>
      <x:c r="E314" s="5" t="s">
        <x:v>1557</x:v>
      </x:c>
      <x:c r="F314" s="5" t="s">
        <x:v>1558</x:v>
      </x:c>
      <x:c r="G314" s="20" t="str">
        <x:v>暂时测不了</x:v>
      </x:c>
      <x:c r="H314" s="20" t="str">
        <x:v>第十轮：本步尚未作为同一事件完整链路验收。当前步骤：前台融合感知查本设备原始来源及统一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14" s="20" t="s">
        <x:v>92</x:v>
      </x:c>
      <x:c r="J314" s="21">
        <x:v>46293</x:v>
      </x:c>
      <x:c r="K314" s="20" t="str">
        <x:v>第十轮报告；r10-data.json；既有轮次证据</x:v>
      </x:c>
      <x:c r="L314" s="20" t="s">
        <x:v>1218</x:v>
      </x:c>
    </x:row>
    <x:row r="315" ht="160" customHeight="1">
      <x:c r="A315" s="5" t="s">
        <x:v>1173</x:v>
      </x:c>
      <x:c r="B315" s="5">
        <x:v>10</x:v>
      </x:c>
      <x:c r="C315" s="5" t="s">
        <x:v>1559</x:v>
      </x:c>
      <x:c r="D315" s="5" t="s">
        <x:v>1174</x:v>
      </x:c>
      <x:c r="E315" s="5" t="s">
        <x:v>1560</x:v>
      </x:c>
      <x:c r="F315" s="5" t="s">
        <x:v>1561</x:v>
      </x:c>
      <x:c r="G315" s="20" t="str">
        <x:v>暂时测不了</x:v>
      </x:c>
      <x:c r="H315" s="20" t="str">
        <x:v>第十轮：本步尚未作为同一事件完整链路验收。当前步骤：重登回查报告和目标，结束模拟并核对状态变化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15" s="20" t="s">
        <x:v>92</x:v>
      </x:c>
      <x:c r="J315" s="21">
        <x:v>46293</x:v>
      </x:c>
      <x:c r="K315" s="20" t="str">
        <x:v>第十轮报告；r10-data.json；既有轮次证据</x:v>
      </x:c>
      <x:c r="L315" s="20" t="s">
        <x:v>1218</x:v>
      </x:c>
    </x:row>
    <x:row r="316" ht="93" customHeight="1">
      <x:c r="A316" s="23" t="s">
        <x:v>1178</x:v>
      </x:c>
      <x:c r="B316" s="23">
        <x:v>1</x:v>
      </x:c>
      <x:c r="C316" s="23" t="s">
        <x:v>1562</x:v>
      </x:c>
      <x:c r="D316" s="23" t="s">
        <x:v>1179</x:v>
      </x:c>
      <x:c r="E316" s="23" t="s">
        <x:v>1563</x:v>
      </x:c>
      <x:c r="F316" s="23" t="s">
        <x:v>1564</x:v>
      </x:c>
      <x:c r="G316" s="20" t="s">
        <x:v>11</x:v>
      </x:c>
      <x:c r="H316" s="20" t="s">
        <x:v>1565</x:v>
      </x:c>
      <x:c r="I316" s="20" t="s">
        <x:v>1566</x:v>
      </x:c>
      <x:c r="J316" s="21" t="s">
        <x:v>1567</x:v>
      </x:c>
      <x:c r="K316" s="20" t="s">
        <x:v>1568</x:v>
      </x:c>
      <x:c r="L316" s="20" t="s">
        <x:v>1569</x:v>
      </x:c>
    </x:row>
    <x:row r="317" ht="160" customHeight="1">
      <x:c r="A317" s="23" t="s">
        <x:v>1178</x:v>
      </x:c>
      <x:c r="B317" s="23">
        <x:v>2</x:v>
      </x:c>
      <x:c r="C317" s="23" t="s">
        <x:v>1570</x:v>
      </x:c>
      <x:c r="D317" s="23" t="s">
        <x:v>1179</x:v>
      </x:c>
      <x:c r="E317" s="23" t="s">
        <x:v>1571</x:v>
      </x:c>
      <x:c r="F317" s="23" t="s">
        <x:v>1572</x:v>
      </x:c>
      <x:c r="G317" s="20" t="str">
        <x:v>暂时测不了</x:v>
      </x:c>
      <x:c r="H317" s="20" t="str">
        <x:v>第十轮：本步尚未作为同一事件完整链路验收。当前步骤：登记设备，发送有效工参和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17" s="20" t="s">
        <x:v>92</x:v>
      </x:c>
      <x:c r="J317" s="21">
        <x:v>46293</x:v>
      </x:c>
      <x:c r="K317" s="20" t="str">
        <x:v>第十轮报告；r10-data.json；既有轮次证据</x:v>
      </x:c>
      <x:c r="L317" s="20" t="s">
        <x:v>1218</x:v>
      </x:c>
    </x:row>
    <x:row r="318" ht="93" customHeight="1">
      <x:c r="A318" s="23" t="s">
        <x:v>1178</x:v>
      </x:c>
      <x:c r="B318" s="23">
        <x:v>3</x:v>
      </x:c>
      <x:c r="C318" s="23" t="s">
        <x:v>1573</x:v>
      </x:c>
      <x:c r="D318" s="23" t="s">
        <x:v>1179</x:v>
      </x:c>
      <x:c r="E318" s="23" t="s">
        <x:v>1574</x:v>
      </x:c>
      <x:c r="F318" s="23" t="s">
        <x:v>1575</x:v>
      </x:c>
      <x:c r="G318" s="20" t="s">
        <x:v>11</x:v>
      </x:c>
      <x:c r="H318" s="20" t="s">
        <x:v>1576</x:v>
      </x:c>
      <x:c r="I318" s="20" t="s">
        <x:v>92</x:v>
      </x:c>
      <x:c r="J318" s="21">
        <x:v>46292</x:v>
      </x:c>
      <x:c r="K318" s="20" t="s">
        <x:v>1577</x:v>
      </x:c>
      <x:c r="L318" s="20" t="s">
        <x:v>1578</x:v>
      </x:c>
    </x:row>
    <x:row r="319" ht="93" customHeight="1">
      <x:c r="A319" s="23" t="s">
        <x:v>1178</x:v>
      </x:c>
      <x:c r="B319" s="23">
        <x:v>4</x:v>
      </x:c>
      <x:c r="C319" s="23" t="s">
        <x:v>1579</x:v>
      </x:c>
      <x:c r="D319" s="23" t="s">
        <x:v>1179</x:v>
      </x:c>
      <x:c r="E319" s="23" t="s">
        <x:v>1580</x:v>
      </x:c>
      <x:c r="F319" s="23" t="s">
        <x:v>1581</x:v>
      </x:c>
      <x:c r="G319" s="20" t="s">
        <x:v>11</x:v>
      </x:c>
      <x:c r="H319" s="20" t="s">
        <x:v>1582</x:v>
      </x:c>
      <x:c r="I319" s="20" t="s">
        <x:v>1566</x:v>
      </x:c>
      <x:c r="J319" s="21" t="s">
        <x:v>1567</x:v>
      </x:c>
      <x:c r="K319" s="20" t="s">
        <x:v>1568</x:v>
      </x:c>
      <x:c r="L319" s="20" t="s">
        <x:v>1569</x:v>
      </x:c>
    </x:row>
    <x:row r="320" ht="160" customHeight="1">
      <x:c r="A320" s="23" t="s">
        <x:v>1178</x:v>
      </x:c>
      <x:c r="B320" s="23">
        <x:v>5</x:v>
      </x:c>
      <x:c r="C320" s="23" t="s">
        <x:v>1583</x:v>
      </x:c>
      <x:c r="D320" s="23" t="s">
        <x:v>1179</x:v>
      </x:c>
      <x:c r="E320" s="23" t="s">
        <x:v>1584</x:v>
      </x:c>
      <x:c r="F320" s="23" t="s">
        <x:v>1585</x:v>
      </x:c>
      <x:c r="G320" s="20" t="str">
        <x:v>暂时测不了</x:v>
      </x:c>
      <x:c r="H320" s="20" t="str">
        <x:v>第十轮：本步尚未作为同一事件完整链路验收。当前步骤：跨多个调度周期查离线事件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20" s="20" t="s">
        <x:v>92</x:v>
      </x:c>
      <x:c r="J320" s="21">
        <x:v>46293</x:v>
      </x:c>
      <x:c r="K320" s="20" t="str">
        <x:v>第十轮报告；r10-data.json；既有轮次证据</x:v>
      </x:c>
      <x:c r="L320" s="20" t="s">
        <x:v>1218</x:v>
      </x:c>
    </x:row>
    <x:row r="321" ht="93" customHeight="1">
      <x:c r="A321" s="23" t="s">
        <x:v>1178</x:v>
      </x:c>
      <x:c r="B321" s="23">
        <x:v>6</x:v>
      </x:c>
      <x:c r="C321" s="23" t="s">
        <x:v>1586</x:v>
      </x:c>
      <x:c r="D321" s="23" t="s">
        <x:v>1179</x:v>
      </x:c>
      <x:c r="E321" s="23" t="s">
        <x:v>1587</x:v>
      </x:c>
      <x:c r="F321" s="23" t="s">
        <x:v>1588</x:v>
      </x:c>
      <x:c r="G321" s="20" t="s">
        <x:v>11</x:v>
      </x:c>
      <x:c r="H321" s="20" t="s">
        <x:v>1589</x:v>
      </x:c>
      <x:c r="I321" s="20" t="s">
        <x:v>1566</x:v>
      </x:c>
      <x:c r="J321" s="21" t="s">
        <x:v>1567</x:v>
      </x:c>
      <x:c r="K321" s="20" t="s">
        <x:v>1568</x:v>
      </x:c>
      <x:c r="L321" s="20" t="s">
        <x:v>1569</x:v>
      </x:c>
    </x:row>
    <x:row r="322" ht="93" customHeight="1">
      <x:c r="A322" s="23" t="s">
        <x:v>1178</x:v>
      </x:c>
      <x:c r="B322" s="23">
        <x:v>7</x:v>
      </x:c>
      <x:c r="C322" s="23" t="s">
        <x:v>1590</x:v>
      </x:c>
      <x:c r="D322" s="23" t="s">
        <x:v>1179</x:v>
      </x:c>
      <x:c r="E322" s="23" t="s">
        <x:v>1591</x:v>
      </x:c>
      <x:c r="F322" s="23" t="s">
        <x:v>1592</x:v>
      </x:c>
      <x:c r="G322" s="20" t="s">
        <x:v>11</x:v>
      </x:c>
      <x:c r="H322" s="20" t="s">
        <x:v>1593</x:v>
      </x:c>
      <x:c r="I322" s="20" t="s">
        <x:v>1566</x:v>
      </x:c>
      <x:c r="J322" s="21" t="s">
        <x:v>1567</x:v>
      </x:c>
      <x:c r="K322" s="20" t="s">
        <x:v>1568</x:v>
      </x:c>
      <x:c r="L322" s="20" t="s">
        <x:v>1569</x:v>
      </x:c>
    </x:row>
    <x:row r="323" ht="93" customHeight="1">
      <x:c r="A323" s="23" t="s">
        <x:v>1178</x:v>
      </x:c>
      <x:c r="B323" s="23">
        <x:v>8</x:v>
      </x:c>
      <x:c r="C323" s="23" t="s">
        <x:v>1594</x:v>
      </x:c>
      <x:c r="D323" s="23" t="s">
        <x:v>1179</x:v>
      </x:c>
      <x:c r="E323" s="23" t="s">
        <x:v>1595</x:v>
      </x:c>
      <x:c r="F323" s="23" t="s">
        <x:v>1596</x:v>
      </x:c>
      <x:c r="G323" s="20" t="s">
        <x:v>11</x:v>
      </x:c>
      <x:c r="H323" s="20" t="s">
        <x:v>1597</x:v>
      </x:c>
      <x:c r="I323" s="20" t="s">
        <x:v>1566</x:v>
      </x:c>
      <x:c r="J323" s="21" t="s">
        <x:v>1567</x:v>
      </x:c>
      <x:c r="K323" s="20" t="s">
        <x:v>1568</x:v>
      </x:c>
      <x:c r="L323" s="20" t="s">
        <x:v>1569</x:v>
      </x:c>
    </x:row>
    <x:row r="324" ht="160" customHeight="1">
      <x:c r="A324" s="23" t="s">
        <x:v>1178</x:v>
      </x:c>
      <x:c r="B324" s="23">
        <x:v>9</x:v>
      </x:c>
      <x:c r="C324" s="23" t="s">
        <x:v>1598</x:v>
      </x:c>
      <x:c r="D324" s="23" t="s">
        <x:v>1179</x:v>
      </x:c>
      <x:c r="E324" s="23" t="s">
        <x:v>1599</x:v>
      </x:c>
      <x:c r="F324" s="23" t="s">
        <x:v>1600</x:v>
      </x:c>
      <x:c r="G324" s="20" t="str">
        <x:v>暂时测不了</x:v>
      </x:c>
      <x:c r="H324" s="20" t="str">
        <x:v>第十轮：本步尚未作为同一事件完整链路验收。当前步骤：检查健康仍未知与已GOOD的独立样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24" s="20" t="s">
        <x:v>92</x:v>
      </x:c>
      <x:c r="J324" s="21">
        <x:v>46293</x:v>
      </x:c>
      <x:c r="K324" s="20" t="str">
        <x:v>第十轮报告；r10-data.json；既有轮次证据</x:v>
      </x:c>
      <x:c r="L324" s="20" t="s">
        <x:v>1218</x:v>
      </x:c>
    </x:row>
    <x:row r="325" ht="160" customHeight="1">
      <x:c r="A325" s="23" t="s">
        <x:v>1178</x:v>
      </x:c>
      <x:c r="B325" s="23">
        <x:v>10</x:v>
      </x:c>
      <x:c r="C325" s="23" t="s">
        <x:v>1601</x:v>
      </x:c>
      <x:c r="D325" s="23" t="s">
        <x:v>1179</x:v>
      </x:c>
      <x:c r="E325" s="23" t="s">
        <x:v>1602</x:v>
      </x:c>
      <x:c r="F325" s="23" t="s">
        <x:v>1603</x:v>
      </x:c>
      <x:c r="G325" s="20" t="str">
        <x:v>暂时测不了</x:v>
      </x:c>
      <x:c r="H325" s="20" t="str">
        <x:v>第十轮：本步尚未作为同一事件完整链路验收。当前步骤：回前台、后台事件历史，结束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25" s="20" t="s">
        <x:v>92</x:v>
      </x:c>
      <x:c r="J325" s="21">
        <x:v>46293</x:v>
      </x:c>
      <x:c r="K325" s="20" t="str">
        <x:v>第十轮报告；r10-data.json；既有轮次证据</x:v>
      </x:c>
      <x:c r="L325" s="20" t="s">
        <x:v>1218</x:v>
      </x:c>
    </x:row>
    <x:row r="326" ht="160" customHeight="1">
      <x:c r="A326" s="25" t="s">
        <x:v>1183</x:v>
      </x:c>
      <x:c r="B326" s="25">
        <x:v>1</x:v>
      </x:c>
      <x:c r="C326" s="25" t="s">
        <x:v>1604</x:v>
      </x:c>
      <x:c r="D326" s="25" t="s">
        <x:v>1184</x:v>
      </x:c>
      <x:c r="E326" s="25" t="s">
        <x:v>1605</x:v>
      </x:c>
      <x:c r="F326" s="25" t="s">
        <x:v>1606</x:v>
      </x:c>
      <x:c r="G326" s="20" t="str">
        <x:v>暂时测不了</x:v>
      </x:c>
      <x:c r="H326" s="20" t="str">
        <x:v>第十轮：本步尚未作为同一事件完整链路验收。当前步骤：准备到起飞时间仍未见目标的计划和确有异常的关联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26" s="20" t="s">
        <x:v>92</x:v>
      </x:c>
      <x:c r="J326" s="21">
        <x:v>46293</x:v>
      </x:c>
      <x:c r="K326" s="20" t="str">
        <x:v>第十轮报告；r10-data.json；既有轮次证据</x:v>
      </x:c>
      <x:c r="L326" s="20" t="s">
        <x:v>1218</x:v>
      </x:c>
    </x:row>
    <x:row r="327" ht="160" customHeight="1">
      <x:c r="A327" s="25" t="s">
        <x:v>1183</x:v>
      </x:c>
      <x:c r="B327" s="25">
        <x:v>2</x:v>
      </x:c>
      <x:c r="C327" s="25" t="s">
        <x:v>1607</x:v>
      </x:c>
      <x:c r="D327" s="25" t="s">
        <x:v>1184</x:v>
      </x:c>
      <x:c r="E327" s="25" t="s">
        <x:v>1608</x:v>
      </x:c>
      <x:c r="F327" s="25" t="s">
        <x:v>1609</x:v>
      </x:c>
      <x:c r="G327" s="20" t="str">
        <x:v>暂时测不了</x:v>
      </x:c>
      <x:c r="H327" s="20" t="str">
        <x:v>第十轮：本步尚未作为同一事件完整链路验收。当前步骤：由有权账号发起设备异常通知并记源事项ID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27" s="20" t="s">
        <x:v>92</x:v>
      </x:c>
      <x:c r="J327" s="21">
        <x:v>46293</x:v>
      </x:c>
      <x:c r="K327" s="20" t="str">
        <x:v>第十轮报告；r10-data.json；既有轮次证据</x:v>
      </x:c>
      <x:c r="L327" s="20" t="s">
        <x:v>1218</x:v>
      </x:c>
    </x:row>
    <x:row r="328" ht="160" customHeight="1">
      <x:c r="A328" s="25" t="s">
        <x:v>1183</x:v>
      </x:c>
      <x:c r="B328" s="25">
        <x:v>3</x:v>
      </x:c>
      <x:c r="C328" s="25" t="s">
        <x:v>1610</x:v>
      </x:c>
      <x:c r="D328" s="25" t="s">
        <x:v>1184</x:v>
      </x:c>
      <x:c r="E328" s="25" t="s">
        <x:v>1611</x:v>
      </x:c>
      <x:c r="F328" s="25" t="s">
        <x:v>1612</x:v>
      </x:c>
      <x:c r="G328" s="20" t="str">
        <x:v>暂时测不了</x:v>
      </x:c>
      <x:c r="H328" s="20" t="str">
        <x:v>第十轮：本步尚未作为同一事件完整链路验收。当前步骤：查看消息、上报详情和通知投递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28" s="20" t="s">
        <x:v>92</x:v>
      </x:c>
      <x:c r="J328" s="21">
        <x:v>46293</x:v>
      </x:c>
      <x:c r="K328" s="20" t="str">
        <x:v>第十轮报告；r10-data.json；既有轮次证据</x:v>
      </x:c>
      <x:c r="L328" s="20" t="s">
        <x:v>1218</x:v>
      </x:c>
    </x:row>
    <x:row r="329" ht="93" customHeight="1">
      <x:c r="A329" s="25" t="s">
        <x:v>1183</x:v>
      </x:c>
      <x:c r="B329" s="25">
        <x:v>4</x:v>
      </x:c>
      <x:c r="C329" s="25" t="s">
        <x:v>1613</x:v>
      </x:c>
      <x:c r="D329" s="25" t="s">
        <x:v>1184</x:v>
      </x:c>
      <x:c r="E329" s="25" t="s">
        <x:v>1614</x:v>
      </x:c>
      <x:c r="F329" s="25" t="s">
        <x:v>1615</x:v>
      </x:c>
      <x:c r="G329" s="20" t="s">
        <x:v>11</x:v>
      </x:c>
      <x:c r="H329" s="20" t="s">
        <x:v>1616</x:v>
      </x:c>
      <x:c r="I329" s="20" t="s">
        <x:v>1566</x:v>
      </x:c>
      <x:c r="J329" s="21" t="s">
        <x:v>1567</x:v>
      </x:c>
      <x:c r="K329" s="20" t="s">
        <x:v>1617</x:v>
      </x:c>
      <x:c r="L329" s="20" t="s">
        <x:v>1618</x:v>
      </x:c>
    </x:row>
    <x:row r="330" ht="160" customHeight="1">
      <x:c r="A330" s="25" t="s">
        <x:v>1183</x:v>
      </x:c>
      <x:c r="B330" s="25">
        <x:v>5</x:v>
      </x:c>
      <x:c r="C330" s="25" t="s">
        <x:v>1619</x:v>
      </x:c>
      <x:c r="D330" s="25" t="s">
        <x:v>1184</x:v>
      </x:c>
      <x:c r="E330" s="25" t="s">
        <x:v>1620</x:v>
      </x:c>
      <x:c r="F330" s="25" t="s">
        <x:v>1621</x:v>
      </x:c>
      <x:c r="G330" s="20" t="str">
        <x:v>暂时测不了</x:v>
      </x:c>
      <x:c r="H330" s="20" t="str">
        <x:v>第十轮：本步尚未作为同一事件完整链路验收。当前步骤：保存实际处理说明，必要时关联同设备已有调测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30" s="20" t="s">
        <x:v>92</x:v>
      </x:c>
      <x:c r="J330" s="21">
        <x:v>46293</x:v>
      </x:c>
      <x:c r="K330" s="20" t="str">
        <x:v>第十轮报告；r10-data.json；既有轮次证据</x:v>
      </x:c>
      <x:c r="L330" s="20" t="s">
        <x:v>1218</x:v>
      </x:c>
    </x:row>
    <x:row r="331" ht="160" customHeight="1">
      <x:c r="A331" s="25" t="s">
        <x:v>1183</x:v>
      </x:c>
      <x:c r="B331" s="25">
        <x:v>6</x:v>
      </x:c>
      <x:c r="C331" s="25" t="s">
        <x:v>1622</x:v>
      </x:c>
      <x:c r="D331" s="25" t="s">
        <x:v>1184</x:v>
      </x:c>
      <x:c r="E331" s="25" t="s">
        <x:v>1623</x:v>
      </x:c>
      <x:c r="F331" s="25" t="s">
        <x:v>1624</x:v>
      </x:c>
      <x:c r="G331" s="20" t="str">
        <x:v>暂时测不了</x:v>
      </x:c>
      <x:c r="H331" s="20" t="str">
        <x:v>第十轮：本步尚未作为同一事件完整链路验收。当前步骤：模拟修复，提供新鲜在线GOOD无告警状态，结束活动任务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31" s="20" t="s">
        <x:v>92</x:v>
      </x:c>
      <x:c r="J331" s="21">
        <x:v>46293</x:v>
      </x:c>
      <x:c r="K331" s="20" t="str">
        <x:v>第十轮报告；r10-data.json；既有轮次证据</x:v>
      </x:c>
      <x:c r="L331" s="20" t="s">
        <x:v>1218</x:v>
      </x:c>
    </x:row>
    <x:row r="332" ht="160" customHeight="1">
      <x:c r="A332" s="25" t="s">
        <x:v>1183</x:v>
      </x:c>
      <x:c r="B332" s="25">
        <x:v>7</x:v>
      </x:c>
      <x:c r="C332" s="25" t="s">
        <x:v>1625</x:v>
      </x:c>
      <x:c r="D332" s="25" t="s">
        <x:v>1184</x:v>
      </x:c>
      <x:c r="E332" s="25" t="s">
        <x:v>1626</x:v>
      </x:c>
      <x:c r="F332" s="25" t="s">
        <x:v>1627</x:v>
      </x:c>
      <x:c r="G332" s="20" t="str">
        <x:v>暂时测不了</x:v>
      </x:c>
      <x:c r="H332" s="20" t="str">
        <x:v>第十轮：本步尚未作为同一事件完整链路验收。当前步骤：对未恢复异常逐一走原恢复核验流程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32" s="20" t="s">
        <x:v>92</x:v>
      </x:c>
      <x:c r="J332" s="21">
        <x:v>46293</x:v>
      </x:c>
      <x:c r="K332" s="20" t="str">
        <x:v>第十轮报告；r10-data.json；既有轮次证据</x:v>
      </x:c>
      <x:c r="L332" s="20" t="s">
        <x:v>1218</x:v>
      </x:c>
    </x:row>
    <x:row r="333" ht="160" customHeight="1">
      <x:c r="A333" s="25" t="s">
        <x:v>1183</x:v>
      </x:c>
      <x:c r="B333" s="25">
        <x:v>8</x:v>
      </x:c>
      <x:c r="C333" s="25" t="s">
        <x:v>1628</x:v>
      </x:c>
      <x:c r="D333" s="25" t="s">
        <x:v>1184</x:v>
      </x:c>
      <x:c r="E333" s="25" t="s">
        <x:v>1629</x:v>
      </x:c>
      <x:c r="F333" s="25" t="s">
        <x:v>1630</x:v>
      </x:c>
      <x:c r="G333" s="20" t="str">
        <x:v>暂时测不了</x:v>
      </x:c>
      <x:c r="H333" s="20" t="str">
        <x:v>第十轮：本步尚未作为同一事件完整链路验收。当前步骤：提交待核验，再执行恢复核验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33" s="20" t="s">
        <x:v>92</x:v>
      </x:c>
      <x:c r="J333" s="21">
        <x:v>46293</x:v>
      </x:c>
      <x:c r="K333" s="20" t="str">
        <x:v>第十轮报告；r10-data.json；既有轮次证据</x:v>
      </x:c>
      <x:c r="L333" s="20" t="s">
        <x:v>1218</x:v>
      </x:c>
    </x:row>
    <x:row r="334" ht="160" customHeight="1">
      <x:c r="A334" s="25" t="s">
        <x:v>1183</x:v>
      </x:c>
      <x:c r="B334" s="25">
        <x:v>9</x:v>
      </x:c>
      <x:c r="C334" s="25" t="s">
        <x:v>1631</x:v>
      </x:c>
      <x:c r="D334" s="25" t="s">
        <x:v>1184</x:v>
      </x:c>
      <x:c r="E334" s="25" t="s">
        <x:v>1632</x:v>
      </x:c>
      <x:c r="F334" s="25" t="s">
        <x:v>1633</x:v>
      </x:c>
      <x:c r="G334" s="20" t="str">
        <x:v>暂时测不了</x:v>
      </x:c>
      <x:c r="H334" s="20" t="str">
        <x:v>第十轮：本步尚未作为同一事件完整链路验收。当前步骤：300秒有效窗口内填完成说明，系统重新核验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34" s="20" t="s">
        <x:v>92</x:v>
      </x:c>
      <x:c r="J334" s="21">
        <x:v>46293</x:v>
      </x:c>
      <x:c r="K334" s="20" t="str">
        <x:v>第十轮报告；r10-data.json；既有轮次证据</x:v>
      </x:c>
      <x:c r="L334" s="20" t="s">
        <x:v>1218</x:v>
      </x:c>
    </x:row>
    <x:row r="335" ht="160" customHeight="1">
      <x:c r="A335" s="25" t="s">
        <x:v>1183</x:v>
      </x:c>
      <x:c r="B335" s="25">
        <x:v>10</x:v>
      </x:c>
      <x:c r="C335" s="25" t="s">
        <x:v>1634</x:v>
      </x:c>
      <x:c r="D335" s="25" t="s">
        <x:v>1184</x:v>
      </x:c>
      <x:c r="E335" s="25" t="s">
        <x:v>1635</x:v>
      </x:c>
      <x:c r="F335" s="25" t="s">
        <x:v>1636</x:v>
      </x:c>
      <x:c r="G335" s="20" t="str">
        <x:v>暂时测不了</x:v>
      </x:c>
      <x:c r="H335" s="20" t="str">
        <x:v>第十轮：本步尚未作为同一事件完整链路验收。当前步骤：重登并查原计划、设备点、通知和后台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35" s="20" t="s">
        <x:v>92</x:v>
      </x:c>
      <x:c r="J335" s="21">
        <x:v>46293</x:v>
      </x:c>
      <x:c r="K335" s="20" t="str">
        <x:v>第十轮报告；r10-data.json；既有轮次证据</x:v>
      </x:c>
      <x:c r="L335" s="20" t="s">
        <x:v>1218</x:v>
      </x:c>
    </x:row>
    <x:row r="336" ht="93" customHeight="1">
      <x:c r="A336" s="27" t="s">
        <x:v>1188</x:v>
      </x:c>
      <x:c r="B336" s="27">
        <x:v>1</x:v>
      </x:c>
      <x:c r="C336" s="27" t="s">
        <x:v>1637</x:v>
      </x:c>
      <x:c r="D336" s="27" t="s">
        <x:v>1189</x:v>
      </x:c>
      <x:c r="E336" s="27" t="s">
        <x:v>1638</x:v>
      </x:c>
      <x:c r="F336" s="27" t="s">
        <x:v>1639</x:v>
      </x:c>
      <x:c r="G336" s="20" t="s">
        <x:v>11</x:v>
      </x:c>
      <x:c r="H336" s="20" t="s">
        <x:v>1640</x:v>
      </x:c>
      <x:c r="I336" s="20" t="s">
        <x:v>1566</x:v>
      </x:c>
      <x:c r="J336" s="21" t="s">
        <x:v>1567</x:v>
      </x:c>
      <x:c r="K336" s="20" t="s">
        <x:v>1617</x:v>
      </x:c>
      <x:c r="L336" s="20" t="s">
        <x:v>1618</x:v>
      </x:c>
    </x:row>
    <x:row r="337" ht="93" customHeight="1">
      <x:c r="A337" s="27" t="s">
        <x:v>1188</x:v>
      </x:c>
      <x:c r="B337" s="27">
        <x:v>2</x:v>
      </x:c>
      <x:c r="C337" s="27" t="s">
        <x:v>1641</x:v>
      </x:c>
      <x:c r="D337" s="27" t="s">
        <x:v>1189</x:v>
      </x:c>
      <x:c r="E337" s="27" t="s">
        <x:v>1642</x:v>
      </x:c>
      <x:c r="F337" s="27" t="s">
        <x:v>1643</x:v>
      </x:c>
      <x:c r="G337" s="20" t="s">
        <x:v>11</x:v>
      </x:c>
      <x:c r="H337" s="20" t="s">
        <x:v>1644</x:v>
      </x:c>
      <x:c r="I337" s="20" t="s">
        <x:v>1566</x:v>
      </x:c>
      <x:c r="J337" s="21" t="s">
        <x:v>1567</x:v>
      </x:c>
      <x:c r="K337" s="20" t="s">
        <x:v>1617</x:v>
      </x:c>
      <x:c r="L337" s="20" t="s">
        <x:v>1618</x:v>
      </x:c>
    </x:row>
    <x:row r="338" ht="93" customHeight="1">
      <x:c r="A338" s="27" t="s">
        <x:v>1188</x:v>
      </x:c>
      <x:c r="B338" s="27">
        <x:v>3</x:v>
      </x:c>
      <x:c r="C338" s="27" t="s">
        <x:v>1645</x:v>
      </x:c>
      <x:c r="D338" s="27" t="s">
        <x:v>1189</x:v>
      </x:c>
      <x:c r="E338" s="27" t="s">
        <x:v>1646</x:v>
      </x:c>
      <x:c r="F338" s="27" t="s">
        <x:v>1647</x:v>
      </x:c>
      <x:c r="G338" s="20" t="s">
        <x:v>11</x:v>
      </x:c>
      <x:c r="H338" s="20" t="s">
        <x:v>1648</x:v>
      </x:c>
      <x:c r="I338" s="20" t="s">
        <x:v>1566</x:v>
      </x:c>
      <x:c r="J338" s="21" t="s">
        <x:v>1567</x:v>
      </x:c>
      <x:c r="K338" s="20" t="s">
        <x:v>1617</x:v>
      </x:c>
      <x:c r="L338" s="20" t="s">
        <x:v>1618</x:v>
      </x:c>
    </x:row>
    <x:row r="339" ht="93" customHeight="1">
      <x:c r="A339" s="27" t="s">
        <x:v>1188</x:v>
      </x:c>
      <x:c r="B339" s="27">
        <x:v>4</x:v>
      </x:c>
      <x:c r="C339" s="27" t="s">
        <x:v>1649</x:v>
      </x:c>
      <x:c r="D339" s="27" t="s">
        <x:v>1189</x:v>
      </x:c>
      <x:c r="E339" s="27" t="s">
        <x:v>1650</x:v>
      </x:c>
      <x:c r="F339" s="27" t="s">
        <x:v>1651</x:v>
      </x:c>
      <x:c r="G339" s="20" t="s">
        <x:v>11</x:v>
      </x:c>
      <x:c r="H339" s="20" t="s">
        <x:v>1652</x:v>
      </x:c>
      <x:c r="I339" s="20" t="s">
        <x:v>1566</x:v>
      </x:c>
      <x:c r="J339" s="21" t="s">
        <x:v>1567</x:v>
      </x:c>
      <x:c r="K339" s="20" t="s">
        <x:v>1617</x:v>
      </x:c>
      <x:c r="L339" s="20" t="s">
        <x:v>1618</x:v>
      </x:c>
    </x:row>
    <x:row r="340" ht="93" customHeight="1">
      <x:c r="A340" s="27" t="s">
        <x:v>1188</x:v>
      </x:c>
      <x:c r="B340" s="27">
        <x:v>5</x:v>
      </x:c>
      <x:c r="C340" s="27" t="s">
        <x:v>1653</x:v>
      </x:c>
      <x:c r="D340" s="27" t="s">
        <x:v>1189</x:v>
      </x:c>
      <x:c r="E340" s="27" t="s">
        <x:v>1654</x:v>
      </x:c>
      <x:c r="F340" s="27" t="s">
        <x:v>1655</x:v>
      </x:c>
      <x:c r="G340" s="20" t="s">
        <x:v>11</x:v>
      </x:c>
      <x:c r="H340" s="20" t="s">
        <x:v>1656</x:v>
      </x:c>
      <x:c r="I340" s="20" t="s">
        <x:v>1566</x:v>
      </x:c>
      <x:c r="J340" s="21" t="s">
        <x:v>1567</x:v>
      </x:c>
      <x:c r="K340" s="20" t="s">
        <x:v>1617</x:v>
      </x:c>
      <x:c r="L340" s="20" t="s">
        <x:v>1618</x:v>
      </x:c>
    </x:row>
    <x:row r="341" ht="160" customHeight="1">
      <x:c r="A341" s="27" t="s">
        <x:v>1188</x:v>
      </x:c>
      <x:c r="B341" s="27">
        <x:v>6</x:v>
      </x:c>
      <x:c r="C341" s="27" t="s">
        <x:v>1657</x:v>
      </x:c>
      <x:c r="D341" s="27" t="s">
        <x:v>1189</x:v>
      </x:c>
      <x:c r="E341" s="27" t="s">
        <x:v>1658</x:v>
      </x:c>
      <x:c r="F341" s="27" t="s">
        <x:v>1659</x:v>
      </x:c>
      <x:c r="G341" s="20" t="str">
        <x:v>暂时测不了</x:v>
      </x:c>
      <x:c r="H341" s="20" t="str">
        <x:v>第十轮：本步尚未作为同一事件完整链路验收。当前步骤：点击恢复处理并保存新进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41" s="20" t="s">
        <x:v>92</x:v>
      </x:c>
      <x:c r="J341" s="21">
        <x:v>46293</x:v>
      </x:c>
      <x:c r="K341" s="20" t="str">
        <x:v>第十轮报告；r10-data.json；既有轮次证据</x:v>
      </x:c>
      <x:c r="L341" s="20" t="s">
        <x:v>1218</x:v>
      </x:c>
    </x:row>
    <x:row r="342" ht="160" customHeight="1">
      <x:c r="A342" s="27" t="s">
        <x:v>1188</x:v>
      </x:c>
      <x:c r="B342" s="27">
        <x:v>7</x:v>
      </x:c>
      <x:c r="C342" s="27" t="s">
        <x:v>1660</x:v>
      </x:c>
      <x:c r="D342" s="27" t="s">
        <x:v>1189</x:v>
      </x:c>
      <x:c r="E342" s="27" t="s">
        <x:v>1661</x:v>
      </x:c>
      <x:c r="F342" s="27" t="s">
        <x:v>1662</x:v>
      </x:c>
      <x:c r="G342" s="20" t="str">
        <x:v>暂时测不了</x:v>
      </x:c>
      <x:c r="H342" s="20" t="str">
        <x:v>第十轮：本步尚未作为同一事件完整链路验收。当前步骤：补齐全部恢复条件，重新提交核验获得PASS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42" s="20" t="s">
        <x:v>92</x:v>
      </x:c>
      <x:c r="J342" s="21">
        <x:v>46293</x:v>
      </x:c>
      <x:c r="K342" s="20" t="str">
        <x:v>第十轮报告；r10-data.json；既有轮次证据</x:v>
      </x:c>
      <x:c r="L342" s="20" t="s">
        <x:v>1218</x:v>
      </x:c>
    </x:row>
    <x:row r="343" ht="160" customHeight="1">
      <x:c r="A343" s="27" t="s">
        <x:v>1188</x:v>
      </x:c>
      <x:c r="B343" s="27">
        <x:v>8</x:v>
      </x:c>
      <x:c r="C343" s="27" t="s">
        <x:v>1663</x:v>
      </x:c>
      <x:c r="D343" s="27" t="s">
        <x:v>1189</x:v>
      </x:c>
      <x:c r="E343" s="27" t="s">
        <x:v>1664</x:v>
      </x:c>
      <x:c r="F343" s="27" t="s">
        <x:v>1665</x:v>
      </x:c>
      <x:c r="G343" s="20" t="str">
        <x:v>暂时测不了</x:v>
      </x:c>
      <x:c r="H343" s="20" t="str">
        <x:v>第十轮：本步尚未作为同一事件完整链路验收。当前步骤：PASS后、完成前让设备再次故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43" s="20" t="s">
        <x:v>92</x:v>
      </x:c>
      <x:c r="J343" s="21">
        <x:v>46293</x:v>
      </x:c>
      <x:c r="K343" s="20" t="str">
        <x:v>第十轮报告；r10-data.json；既有轮次证据</x:v>
      </x:c>
      <x:c r="L343" s="20" t="s">
        <x:v>1218</x:v>
      </x:c>
    </x:row>
    <x:row r="344" ht="160" customHeight="1">
      <x:c r="A344" s="27" t="s">
        <x:v>1188</x:v>
      </x:c>
      <x:c r="B344" s="27">
        <x:v>9</x:v>
      </x:c>
      <x:c r="C344" s="27" t="s">
        <x:v>1666</x:v>
      </x:c>
      <x:c r="D344" s="27" t="s">
        <x:v>1189</x:v>
      </x:c>
      <x:c r="E344" s="27" t="s">
        <x:v>1667</x:v>
      </x:c>
      <x:c r="F344" s="27" t="s">
        <x:v>1668</x:v>
      </x:c>
      <x:c r="G344" s="20" t="str">
        <x:v>暂时测不了</x:v>
      </x:c>
      <x:c r="H344" s="20" t="str">
        <x:v>第十轮：本步尚未作为同一事件完整链路验收。当前步骤：修复后消除未恢复事件，重新核验并确认完成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44" s="20" t="s">
        <x:v>92</x:v>
      </x:c>
      <x:c r="J344" s="21">
        <x:v>46293</x:v>
      </x:c>
      <x:c r="K344" s="20" t="str">
        <x:v>第十轮报告；r10-data.json；既有轮次证据</x:v>
      </x:c>
      <x:c r="L344" s="20" t="s">
        <x:v>1218</x:v>
      </x:c>
    </x:row>
    <x:row r="345" ht="160" customHeight="1">
      <x:c r="A345" s="27" t="s">
        <x:v>1188</x:v>
      </x:c>
      <x:c r="B345" s="27">
        <x:v>10</x:v>
      </x:c>
      <x:c r="C345" s="27" t="s">
        <x:v>1669</x:v>
      </x:c>
      <x:c r="D345" s="27" t="s">
        <x:v>1189</x:v>
      </x:c>
      <x:c r="E345" s="27" t="s">
        <x:v>1670</x:v>
      </x:c>
      <x:c r="F345" s="27" t="s">
        <x:v>1671</x:v>
      </x:c>
      <x:c r="G345" s="20" t="str">
        <x:v>暂时测不了</x:v>
      </x:c>
      <x:c r="H345" s="20" t="str">
        <x:v>第十轮：本步尚未作为同一事件完整链路验收。当前步骤：检查各轮进展、核验失败、PASS与完成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45" s="20" t="s">
        <x:v>92</x:v>
      </x:c>
      <x:c r="J345" s="21">
        <x:v>46293</x:v>
      </x:c>
      <x:c r="K345" s="20" t="str">
        <x:v>第十轮报告；r10-data.json；既有轮次证据</x:v>
      </x:c>
      <x:c r="L345" s="20" t="s">
        <x:v>1218</x:v>
      </x:c>
    </x:row>
    <x:row r="346" ht="160" customHeight="1">
      <x:c r="A346" s="29" t="s">
        <x:v>1193</x:v>
      </x:c>
      <x:c r="B346" s="29">
        <x:v>1</x:v>
      </x:c>
      <x:c r="C346" s="29" t="s">
        <x:v>1672</x:v>
      </x:c>
      <x:c r="D346" s="29" t="s">
        <x:v>1194</x:v>
      </x:c>
      <x:c r="E346" s="29" t="s">
        <x:v>1673</x:v>
      </x:c>
      <x:c r="F346" s="29" t="s">
        <x:v>1674</x:v>
      </x:c>
      <x:c r="G346" s="20" t="str">
        <x:v>暂时测不了</x:v>
      </x:c>
      <x:c r="H346" s="20" t="str">
        <x:v>第十轮：本步尚未作为同一事件完整链路验收。当前步骤：甲乙账号均有同范围运维权限，打开同一待处理任务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46" s="20" t="s">
        <x:v>92</x:v>
      </x:c>
      <x:c r="J346" s="21">
        <x:v>46293</x:v>
      </x:c>
      <x:c r="K346" s="20" t="str">
        <x:v>第十轮报告；r10-data.json；既有轮次证据</x:v>
      </x:c>
      <x:c r="L346" s="20" t="s">
        <x:v>1218</x:v>
      </x:c>
    </x:row>
    <x:row r="347" ht="160" customHeight="1">
      <x:c r="A347" s="29" t="s">
        <x:v>1193</x:v>
      </x:c>
      <x:c r="B347" s="29">
        <x:v>2</x:v>
      </x:c>
      <x:c r="C347" s="29" t="s">
        <x:v>1675</x:v>
      </x:c>
      <x:c r="D347" s="29" t="s">
        <x:v>1194</x:v>
      </x:c>
      <x:c r="E347" s="29" t="s">
        <x:v>1676</x:v>
      </x:c>
      <x:c r="F347" s="29" t="s">
        <x:v>1677</x:v>
      </x:c>
      <x:c r="G347" s="20" t="str">
        <x:v>暂时测不了</x:v>
      </x:c>
      <x:c r="H347" s="20" t="str">
        <x:v>第十轮：本步尚未作为同一事件完整链路验收。当前步骤：两人几乎同时提交开始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47" s="20" t="s">
        <x:v>92</x:v>
      </x:c>
      <x:c r="J347" s="21">
        <x:v>46293</x:v>
      </x:c>
      <x:c r="K347" s="20" t="str">
        <x:v>第十轮报告；r10-data.json；既有轮次证据</x:v>
      </x:c>
      <x:c r="L347" s="20" t="s">
        <x:v>1218</x:v>
      </x:c>
    </x:row>
    <x:row r="348" ht="160" customHeight="1">
      <x:c r="A348" s="29" t="s">
        <x:v>1193</x:v>
      </x:c>
      <x:c r="B348" s="29">
        <x:v>3</x:v>
      </x:c>
      <x:c r="C348" s="29" t="s">
        <x:v>1678</x:v>
      </x:c>
      <x:c r="D348" s="29" t="s">
        <x:v>1194</x:v>
      </x:c>
      <x:c r="E348" s="29" t="s">
        <x:v>1679</x:v>
      </x:c>
      <x:c r="F348" s="29" t="s">
        <x:v>1680</x:v>
      </x:c>
      <x:c r="G348" s="20" t="str">
        <x:v>暂时测不了</x:v>
      </x:c>
      <x:c r="H348" s="20" t="str">
        <x:v>第十轮：本步尚未作为同一事件完整链路验收。当前步骤：未成功者回查任务，不更换目标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48" s="20" t="s">
        <x:v>92</x:v>
      </x:c>
      <x:c r="J348" s="21">
        <x:v>46293</x:v>
      </x:c>
      <x:c r="K348" s="20" t="str">
        <x:v>第十轮报告；r10-data.json；既有轮次证据</x:v>
      </x:c>
      <x:c r="L348" s="20" t="s">
        <x:v>1218</x:v>
      </x:c>
    </x:row>
    <x:row r="349" ht="160" customHeight="1">
      <x:c r="A349" s="29" t="s">
        <x:v>1193</x:v>
      </x:c>
      <x:c r="B349" s="29">
        <x:v>4</x:v>
      </x:c>
      <x:c r="C349" s="29" t="s">
        <x:v>1681</x:v>
      </x:c>
      <x:c r="D349" s="29" t="s">
        <x:v>1194</x:v>
      </x:c>
      <x:c r="E349" s="29" t="s">
        <x:v>1682</x:v>
      </x:c>
      <x:c r="F349" s="29" t="s">
        <x:v>1683</x:v>
      </x:c>
      <x:c r="G349" s="20" t="str">
        <x:v>暂时测不了</x:v>
      </x:c>
      <x:c r="H349" s="20" t="str">
        <x:v>第十轮：本步尚未作为同一事件完整链路验收。当前步骤：提交有效进展后模拟响应丢失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49" s="20" t="s">
        <x:v>92</x:v>
      </x:c>
      <x:c r="J349" s="21">
        <x:v>46293</x:v>
      </x:c>
      <x:c r="K349" s="20" t="str">
        <x:v>第十轮报告；r10-data.json；既有轮次证据</x:v>
      </x:c>
      <x:c r="L349" s="20" t="s">
        <x:v>1218</x:v>
      </x:c>
    </x:row>
    <x:row r="350" ht="160" customHeight="1">
      <x:c r="A350" s="29" t="s">
        <x:v>1193</x:v>
      </x:c>
      <x:c r="B350" s="29">
        <x:v>5</x:v>
      </x:c>
      <x:c r="C350" s="29" t="s">
        <x:v>1684</x:v>
      </x:c>
      <x:c r="D350" s="29" t="s">
        <x:v>1194</x:v>
      </x:c>
      <x:c r="E350" s="29" t="s">
        <x:v>1685</x:v>
      </x:c>
      <x:c r="F350" s="29" t="s">
        <x:v>1686</x:v>
      </x:c>
      <x:c r="G350" s="20" t="str">
        <x:v>暂时测不了</x:v>
      </x:c>
      <x:c r="H350" s="20" t="str">
        <x:v>第十轮：本步尚未作为同一事件完整链路验收。当前步骤：恢复网络，查询同任务当前事件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50" s="20" t="s">
        <x:v>92</x:v>
      </x:c>
      <x:c r="J350" s="21">
        <x:v>46293</x:v>
      </x:c>
      <x:c r="K350" s="20" t="str">
        <x:v>第十轮报告；r10-data.json；既有轮次证据</x:v>
      </x:c>
      <x:c r="L350" s="20" t="s">
        <x:v>1218</x:v>
      </x:c>
    </x:row>
    <x:row r="351" ht="160" customHeight="1">
      <x:c r="A351" s="29" t="s">
        <x:v>1193</x:v>
      </x:c>
      <x:c r="B351" s="29">
        <x:v>6</x:v>
      </x:c>
      <x:c r="C351" s="29" t="s">
        <x:v>1687</x:v>
      </x:c>
      <x:c r="D351" s="29" t="s">
        <x:v>1194</x:v>
      </x:c>
      <x:c r="E351" s="29" t="s">
        <x:v>1688</x:v>
      </x:c>
      <x:c r="F351" s="29" t="s">
        <x:v>1689</x:v>
      </x:c>
      <x:c r="G351" s="20" t="str">
        <x:v>暂时测不了</x:v>
      </x:c>
      <x:c r="H351" s="20" t="str">
        <x:v>第十轮：本步尚未作为同一事件完整链路验收。当前步骤：开发协助使用同键同内容重放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51" s="20" t="s">
        <x:v>92</x:v>
      </x:c>
      <x:c r="J351" s="21">
        <x:v>46293</x:v>
      </x:c>
      <x:c r="K351" s="20" t="str">
        <x:v>第十轮报告；r10-data.json；既有轮次证据</x:v>
      </x:c>
      <x:c r="L351" s="20" t="s">
        <x:v>1218</x:v>
      </x:c>
    </x:row>
    <x:row r="352" ht="160" customHeight="1">
      <x:c r="A352" s="29" t="s">
        <x:v>1193</x:v>
      </x:c>
      <x:c r="B352" s="29">
        <x:v>7</x:v>
      </x:c>
      <x:c r="C352" s="29" t="s">
        <x:v>1690</x:v>
      </x:c>
      <x:c r="D352" s="29" t="s">
        <x:v>1194</x:v>
      </x:c>
      <x:c r="E352" s="29" t="s">
        <x:v>1691</x:v>
      </x:c>
      <x:c r="F352" s="29" t="s">
        <x:v>1692</x:v>
      </x:c>
      <x:c r="G352" s="20" t="str">
        <x:v>暂时测不了</x:v>
      </x:c>
      <x:c r="H352" s="20" t="str">
        <x:v>第十轮：本步尚未作为同一事件完整链路验收。当前步骤：用相同提交编号提交另一内容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52" s="20" t="s">
        <x:v>92</x:v>
      </x:c>
      <x:c r="J352" s="21">
        <x:v>46293</x:v>
      </x:c>
      <x:c r="K352" s="20" t="str">
        <x:v>第十轮报告；r10-data.json；既有轮次证据</x:v>
      </x:c>
      <x:c r="L352" s="20" t="s">
        <x:v>1218</x:v>
      </x:c>
    </x:row>
    <x:row r="353" ht="160" customHeight="1">
      <x:c r="A353" s="29" t="s">
        <x:v>1193</x:v>
      </x:c>
      <x:c r="B353" s="29">
        <x:v>8</x:v>
      </x:c>
      <x:c r="C353" s="29" t="s">
        <x:v>1693</x:v>
      </x:c>
      <x:c r="D353" s="29" t="s">
        <x:v>1194</x:v>
      </x:c>
      <x:c r="E353" s="29" t="s">
        <x:v>1694</x:v>
      </x:c>
      <x:c r="F353" s="29" t="s">
        <x:v>1695</x:v>
      </x:c>
      <x:c r="G353" s="20" t="str">
        <x:v>暂时测不了</x:v>
      </x:c>
      <x:c r="H353" s="20" t="str">
        <x:v>第十轮：本步尚未作为同一事件完整链路验收。当前步骤：管理员撤销甲权限，再尝试原请求重放和新操作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53" s="20" t="s">
        <x:v>92</x:v>
      </x:c>
      <x:c r="J353" s="21">
        <x:v>46293</x:v>
      </x:c>
      <x:c r="K353" s="20" t="str">
        <x:v>第十轮报告；r10-data.json；既有轮次证据</x:v>
      </x:c>
      <x:c r="L353" s="20" t="s">
        <x:v>1218</x:v>
      </x:c>
    </x:row>
    <x:row r="354" ht="160" customHeight="1">
      <x:c r="A354" s="29" t="s">
        <x:v>1193</x:v>
      </x:c>
      <x:c r="B354" s="29">
        <x:v>9</x:v>
      </x:c>
      <x:c r="C354" s="29" t="s">
        <x:v>1696</x:v>
      </x:c>
      <x:c r="D354" s="29" t="s">
        <x:v>1194</x:v>
      </x:c>
      <x:c r="E354" s="29" t="s">
        <x:v>1697</x:v>
      </x:c>
      <x:c r="F354" s="29" t="s">
        <x:v>1698</x:v>
      </x:c>
      <x:c r="G354" s="20" t="str">
        <x:v>暂时测不了</x:v>
      </x:c>
      <x:c r="H354" s="20" t="str">
        <x:v>第十轮：本步尚未作为同一事件完整链路验收。当前步骤：甲乙分别标记已读并查看各自未读数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54" s="20" t="s">
        <x:v>92</x:v>
      </x:c>
      <x:c r="J354" s="21">
        <x:v>46293</x:v>
      </x:c>
      <x:c r="K354" s="20" t="str">
        <x:v>第十轮报告；r10-data.json；既有轮次证据</x:v>
      </x:c>
      <x:c r="L354" s="20" t="s">
        <x:v>1218</x:v>
      </x:c>
    </x:row>
    <x:row r="355" ht="160" customHeight="1">
      <x:c r="A355" s="29" t="s">
        <x:v>1193</x:v>
      </x:c>
      <x:c r="B355" s="29">
        <x:v>10</x:v>
      </x:c>
      <x:c r="C355" s="29" t="s">
        <x:v>1699</x:v>
      </x:c>
      <x:c r="D355" s="29" t="s">
        <x:v>1194</x:v>
      </x:c>
      <x:c r="E355" s="29" t="s">
        <x:v>1700</x:v>
      </x:c>
      <x:c r="F355" s="29" t="s">
        <x:v>1701</x:v>
      </x:c>
      <x:c r="G355" s="20" t="str">
        <x:v>暂时测不了</x:v>
      </x:c>
      <x:c r="H355" s="20" t="str">
        <x:v>第十轮：本步尚未作为同一事件完整链路验收。当前步骤：核对开始、进展、拒绝、版本和任务历史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55" s="20" t="s">
        <x:v>92</x:v>
      </x:c>
      <x:c r="J355" s="21">
        <x:v>46293</x:v>
      </x:c>
      <x:c r="K355" s="20" t="str">
        <x:v>第十轮报告；r10-data.json；既有轮次证据</x:v>
      </x:c>
      <x:c r="L355" s="20" t="s">
        <x:v>1218</x:v>
      </x:c>
    </x:row>
    <x:row r="356" ht="160" customHeight="1">
      <x:c r="A356" s="31" t="s">
        <x:v>1198</x:v>
      </x:c>
      <x:c r="B356" s="31">
        <x:v>1</x:v>
      </x:c>
      <x:c r="C356" s="31" t="s">
        <x:v>1702</x:v>
      </x:c>
      <x:c r="D356" s="31" t="s">
        <x:v>1199</x:v>
      </x:c>
      <x:c r="E356" s="31" t="s">
        <x:v>1703</x:v>
      </x:c>
      <x:c r="F356" s="31" t="s">
        <x:v>1704</x:v>
      </x:c>
      <x:c r="G356" s="20" t="str">
        <x:v>暂时测不了</x:v>
      </x:c>
      <x:c r="H356" s="20" t="str">
        <x:v>第十轮：本步尚未作为同一事件完整链路验收。当前步骤：选择专用可弃设备，预先留存任务、事件或证据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56" s="20" t="s">
        <x:v>92</x:v>
      </x:c>
      <x:c r="J356" s="21">
        <x:v>46293</x:v>
      </x:c>
      <x:c r="K356" s="20" t="str">
        <x:v>第十轮报告；r10-data.json；既有轮次证据</x:v>
      </x:c>
      <x:c r="L356" s="20" t="s">
        <x:v>1218</x:v>
      </x:c>
    </x:row>
    <x:row r="357" ht="160" customHeight="1">
      <x:c r="A357" s="31" t="s">
        <x:v>1198</x:v>
      </x:c>
      <x:c r="B357" s="31">
        <x:v>2</x:v>
      </x:c>
      <x:c r="C357" s="31" t="s">
        <x:v>1705</x:v>
      </x:c>
      <x:c r="D357" s="31" t="s">
        <x:v>1199</x:v>
      </x:c>
      <x:c r="E357" s="31" t="s">
        <x:v>1706</x:v>
      </x:c>
      <x:c r="F357" s="31" t="s">
        <x:v>1707</x:v>
      </x:c>
      <x:c r="G357" s="20" t="str">
        <x:v>暂时测不了</x:v>
      </x:c>
      <x:c r="H357" s="20" t="str">
        <x:v>第十轮：本步尚未作为同一事件完整链路验收。当前步骤：在仍启用时执行删除测试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57" s="20" t="s">
        <x:v>92</x:v>
      </x:c>
      <x:c r="J357" s="21">
        <x:v>46293</x:v>
      </x:c>
      <x:c r="K357" s="20" t="str">
        <x:v>第十轮报告；r10-data.json；既有轮次证据</x:v>
      </x:c>
      <x:c r="L357" s="20" t="s">
        <x:v>1218</x:v>
      </x:c>
    </x:row>
    <x:row r="358" ht="160" customHeight="1">
      <x:c r="A358" s="31" t="s">
        <x:v>1198</x:v>
      </x:c>
      <x:c r="B358" s="31">
        <x:v>3</x:v>
      </x:c>
      <x:c r="C358" s="31" t="s">
        <x:v>1708</x:v>
      </x:c>
      <x:c r="D358" s="31" t="s">
        <x:v>1199</x:v>
      </x:c>
      <x:c r="E358" s="31" t="s">
        <x:v>1709</x:v>
      </x:c>
      <x:c r="F358" s="31" t="s">
        <x:v>1710</x:v>
      </x:c>
      <x:c r="G358" s="20" t="str">
        <x:v>暂时测不了</x:v>
      </x:c>
      <x:c r="H358" s="20" t="str">
        <x:v>第十轮：本步尚未作为同一事件完整链路验收。当前步骤：停用但保留测试未完成任务，再尝试删除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58" s="20" t="s">
        <x:v>92</x:v>
      </x:c>
      <x:c r="J358" s="21">
        <x:v>46293</x:v>
      </x:c>
      <x:c r="K358" s="20" t="str">
        <x:v>第十轮报告；r10-data.json；既有轮次证据</x:v>
      </x:c>
      <x:c r="L358" s="20" t="s">
        <x:v>1218</x:v>
      </x:c>
    </x:row>
    <x:row r="359" ht="160" customHeight="1">
      <x:c r="A359" s="31" t="s">
        <x:v>1198</x:v>
      </x:c>
      <x:c r="B359" s="31">
        <x:v>4</x:v>
      </x:c>
      <x:c r="C359" s="31" t="s">
        <x:v>1711</x:v>
      </x:c>
      <x:c r="D359" s="31" t="s">
        <x:v>1199</x:v>
      </x:c>
      <x:c r="E359" s="31" t="s">
        <x:v>1712</x:v>
      </x:c>
      <x:c r="F359" s="31" t="s">
        <x:v>1713</x:v>
      </x:c>
      <x:c r="G359" s="20" t="str">
        <x:v>暂时测不了</x:v>
      </x:c>
      <x:c r="H359" s="20" t="str">
        <x:v>第十轮：本步尚未作为同一事件完整链路验收。当前步骤：按允许流程结束或取消活动任务并确认设备停用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59" s="20" t="s">
        <x:v>92</x:v>
      </x:c>
      <x:c r="J359" s="21">
        <x:v>46293</x:v>
      </x:c>
      <x:c r="K359" s="20" t="str">
        <x:v>第十轮报告；r10-data.json；既有轮次证据</x:v>
      </x:c>
      <x:c r="L359" s="20" t="s">
        <x:v>1218</x:v>
      </x:c>
    </x:row>
    <x:row r="360" ht="160" customHeight="1">
      <x:c r="A360" s="31" t="s">
        <x:v>1198</x:v>
      </x:c>
      <x:c r="B360" s="31">
        <x:v>5</x:v>
      </x:c>
      <x:c r="C360" s="31" t="s">
        <x:v>1714</x:v>
      </x:c>
      <x:c r="D360" s="31" t="s">
        <x:v>1199</x:v>
      </x:c>
      <x:c r="E360" s="31" t="s">
        <x:v>1715</x:v>
      </x:c>
      <x:c r="F360" s="31" t="s">
        <x:v>1716</x:v>
      </x:c>
      <x:c r="G360" s="20" t="str">
        <x:v>暂时测不了</x:v>
      </x:c>
      <x:c r="H360" s="20" t="str">
        <x:v>第十轮：本步尚未作为同一事件完整链路验收。当前步骤：携当前版本填写有效原因删除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60" s="20" t="s">
        <x:v>92</x:v>
      </x:c>
      <x:c r="J360" s="21">
        <x:v>46293</x:v>
      </x:c>
      <x:c r="K360" s="20" t="str">
        <x:v>第十轮报告；r10-data.json；既有轮次证据</x:v>
      </x:c>
      <x:c r="L360" s="20" t="s">
        <x:v>1218</x:v>
      </x:c>
    </x:row>
    <x:row r="361" ht="160" customHeight="1">
      <x:c r="A361" s="31" t="s">
        <x:v>1198</x:v>
      </x:c>
      <x:c r="B361" s="31">
        <x:v>6</x:v>
      </x:c>
      <x:c r="C361" s="31" t="s">
        <x:v>1717</x:v>
      </x:c>
      <x:c r="D361" s="31" t="s">
        <x:v>1199</x:v>
      </x:c>
      <x:c r="E361" s="31" t="s">
        <x:v>1718</x:v>
      </x:c>
      <x:c r="F361" s="31" t="s">
        <x:v>1719</x:v>
      </x:c>
      <x:c r="G361" s="20" t="str">
        <x:v>暂时测不了</x:v>
      </x:c>
      <x:c r="H361" s="20" t="str">
        <x:v>第十轮：本步尚未作为同一事件完整链路验收。当前步骤：查台账、设备树、选项和统计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61" s="20" t="s">
        <x:v>92</x:v>
      </x:c>
      <x:c r="J361" s="21">
        <x:v>46293</x:v>
      </x:c>
      <x:c r="K361" s="20" t="str">
        <x:v>第十轮报告；r10-data.json；既有轮次证据</x:v>
      </x:c>
      <x:c r="L361" s="20" t="s">
        <x:v>1218</x:v>
      </x:c>
    </x:row>
    <x:row r="362" ht="160" customHeight="1">
      <x:c r="A362" s="31" t="s">
        <x:v>1198</x:v>
      </x:c>
      <x:c r="B362" s="31">
        <x:v>7</x:v>
      </x:c>
      <x:c r="C362" s="31" t="s">
        <x:v>1720</x:v>
      </x:c>
      <x:c r="D362" s="31" t="s">
        <x:v>1199</x:v>
      </x:c>
      <x:c r="E362" s="31" t="s">
        <x:v>1721</x:v>
      </x:c>
      <x:c r="F362" s="31" t="s">
        <x:v>1722</x:v>
      </x:c>
      <x:c r="G362" s="20" t="str">
        <x:v>暂时测不了</x:v>
      </x:c>
      <x:c r="H362" s="20" t="str">
        <x:v>第十轮：本步尚未作为同一事件完整链路验收。当前步骤：在前台当前设备点和列表查同设备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62" s="20" t="s">
        <x:v>92</x:v>
      </x:c>
      <x:c r="J362" s="21">
        <x:v>46293</x:v>
      </x:c>
      <x:c r="K362" s="20" t="str">
        <x:v>第十轮报告；r10-data.json；既有轮次证据</x:v>
      </x:c>
      <x:c r="L362" s="20" t="s">
        <x:v>1218</x:v>
      </x:c>
    </x:row>
    <x:row r="363" ht="160" customHeight="1">
      <x:c r="A363" s="31" t="s">
        <x:v>1198</x:v>
      </x:c>
      <x:c r="B363" s="31">
        <x:v>8</x:v>
      </x:c>
      <x:c r="C363" s="31" t="s">
        <x:v>1723</x:v>
      </x:c>
      <x:c r="D363" s="31" t="s">
        <x:v>1199</x:v>
      </x:c>
      <x:c r="E363" s="31" t="s">
        <x:v>1724</x:v>
      </x:c>
      <x:c r="F363" s="31" t="s">
        <x:v>1725</x:v>
      </x:c>
      <x:c r="G363" s="20" t="str">
        <x:v>暂时测不了</x:v>
      </x:c>
      <x:c r="H363" s="20" t="str">
        <x:v>第十轮：本步尚未作为同一事件完整链路验收。当前步骤：按原任务、事件、命令、证据ID回看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63" s="20" t="s">
        <x:v>92</x:v>
      </x:c>
      <x:c r="J363" s="21">
        <x:v>46293</x:v>
      </x:c>
      <x:c r="K363" s="20" t="str">
        <x:v>第十轮报告；r10-data.json；既有轮次证据</x:v>
      </x:c>
      <x:c r="L363" s="20" t="s">
        <x:v>1218</x:v>
      </x:c>
    </x:row>
    <x:row r="364" ht="160" customHeight="1">
      <x:c r="A364" s="31" t="s">
        <x:v>1198</x:v>
      </x:c>
      <x:c r="B364" s="31">
        <x:v>9</x:v>
      </x:c>
      <x:c r="C364" s="31" t="s">
        <x:v>1726</x:v>
      </x:c>
      <x:c r="D364" s="31" t="s">
        <x:v>1199</x:v>
      </x:c>
      <x:c r="E364" s="31" t="s">
        <x:v>1727</x:v>
      </x:c>
      <x:c r="F364" s="31" t="s">
        <x:v>1728</x:v>
      </x:c>
      <x:c r="G364" s="20" t="str">
        <x:v>暂时测不了</x:v>
      </x:c>
      <x:c r="H364" s="20" t="str">
        <x:v>第十轮：本步尚未作为同一事件完整链路验收。当前步骤：再次删除，尝试新建同编号或同接入身份。。浏览器阻塞已解除；设备回执、角色会话、通知主体/通道、处罚接收方及场景真值是否齐全以本轮报告为准。历史局部证据：第八轮：同一专用设备已停用并逻辑退役；重用原device_no创建返回500 INTERNAL_ERROR，数据库唯一键仍阻断，但未给出明确业务冲突。</x:v>
      </x:c>
      <x:c r="I364" s="20" t="s">
        <x:v>92</x:v>
      </x:c>
      <x:c r="J364" s="21">
        <x:v>46293</x:v>
      </x:c>
      <x:c r="K364" s="20" t="str">
        <x:v>第十轮报告；r10-data.json；既有轮次证据</x:v>
      </x:c>
      <x:c r="L364" s="20" t="s">
        <x:v>1729</x:v>
      </x:c>
    </x:row>
    <x:row r="365" ht="160" customHeight="1">
      <x:c r="A365" s="31" t="s">
        <x:v>1198</x:v>
      </x:c>
      <x:c r="B365" s="31">
        <x:v>10</x:v>
      </x:c>
      <x:c r="C365" s="31" t="s">
        <x:v>1730</x:v>
      </x:c>
      <x:c r="D365" s="31" t="s">
        <x:v>1199</x:v>
      </x:c>
      <x:c r="E365" s="31" t="s">
        <x:v>1731</x:v>
      </x:c>
      <x:c r="F365" s="31" t="s">
        <x:v>1732</x:v>
      </x:c>
      <x:c r="G365" s="20" t="str">
        <x:v>暂时测不了</x:v>
      </x:c>
      <x:c r="H365" s="20" t="str">
        <x:v>第十轮：本步尚未作为同一事件完整链路验收。当前步骤：前后台重登复查状态、数量及审计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65" s="20" t="s">
        <x:v>92</x:v>
      </x:c>
      <x:c r="J365" s="21">
        <x:v>46293</x:v>
      </x:c>
      <x:c r="K365" s="20" t="str">
        <x:v>第十轮报告；r10-data.json；既有轮次证据</x:v>
      </x:c>
      <x:c r="L365" s="20" t="s">
        <x:v>1218</x:v>
      </x:c>
    </x:row>
  </x:sheetData>
  <x:mergeCells>
    <x:mergeCell ref="A3:L3"/>
    <x:mergeCell ref="A4:L4"/>
  </x:mergeCells>
  <x:conditionalFormatting sqref="G6:G265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0" priority="3" operator="equal">
      <x:formula>"有问题"</x:formula>
    </x:cfRule>
    <x:cfRule type="cellIs" dxfId="4" priority="4" operator="equal">
      <x:formula>"暂时测不了"</x:formula>
    </x:cfRule>
    <x:cfRule type="cellIs" dxfId="7" priority="5" operator="equal">
      <x:formula>"进行中"</x:formula>
    </x:cfRule>
    <x:cfRule type="cellIs" dxfId="0" priority="6" operator="equal">
      <x:formula>"未填结果"</x:formula>
    </x:cfRule>
  </x:conditionalFormatting>
  <x:conditionalFormatting sqref="G266:G305">
    <x:cfRule type="cellIs" dxfId="3" priority="7" operator="equal">
      <x:formula>"通过"</x:formula>
    </x:cfRule>
    <x:cfRule type="cellIs" dxfId="0" priority="8" operator="equal">
      <x:formula>"有问题"</x:formula>
    </x:cfRule>
    <x:cfRule type="cellIs" dxfId="4" priority="9" operator="equal">
      <x:formula>"暂时测不了"</x:formula>
    </x:cfRule>
    <x:cfRule type="cellIs" dxfId="2" priority="10" operator="equal">
      <x:formula>"还没测"</x:formula>
    </x:cfRule>
    <x:cfRule type="cellIs" dxfId="4" priority="11" operator="equal">
      <x:formula>"待补证据"</x:formula>
    </x:cfRule>
    <x:cfRule type="cellIs" dxfId="7" priority="12" operator="equal">
      <x:formula>"进行中"</x:formula>
    </x:cfRule>
  </x:conditionalFormatting>
  <x:conditionalFormatting sqref="G306:G365">
    <x:cfRule type="cellIs" dxfId="2" priority="13" operator="equal">
      <x:formula>"还没测"</x:formula>
    </x:cfRule>
    <x:cfRule type="cellIs" dxfId="3" priority="14" operator="equal">
      <x:formula>"通过"</x:formula>
    </x:cfRule>
    <x:cfRule type="cellIs" dxfId="3" priority="15" operator="equal">
      <x:formula>"记录齐全"</x:formula>
    </x:cfRule>
    <x:cfRule type="cellIs" dxfId="0" priority="16" operator="equal">
      <x:formula>"有问题"</x:formula>
    </x:cfRule>
    <x:cfRule type="cellIs" dxfId="4" priority="17" operator="equal">
      <x:formula>"暂时测不了"</x:formula>
    </x:cfRule>
    <x:cfRule type="cellIs" dxfId="4" priority="18" operator="equal">
      <x:formula>"待补证据"</x:formula>
    </x:cfRule>
    <x:cfRule type="cellIs" dxfId="7" priority="19" operator="equal">
      <x:formula>"进行中"</x:formula>
    </x:cfRule>
  </x:conditionalFormatting>
  <x:dataValidations count="1">
    <x:dataValidation type="list" sqref="G6:G265 G266:G305 G306:G365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eafd94f9204be4"/>
  </x:tableParts>
</x:worksheet>
</file>

<file path=xl/worksheets/sheet8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1" width="10" customWidth="1"/>
    <x:col min="2" max="2" width="16" customWidth="1"/>
    <x:col min="3" max="3" width="19" customWidth="1"/>
    <x:col min="4" max="4" width="33" customWidth="1"/>
    <x:col min="5" max="5" width="61" customWidth="1"/>
    <x:col min="6" max="6" width="66" customWidth="1"/>
    <x:col min="7" max="7" width="49" customWidth="1"/>
    <x:col min="8" max="8" width="40" customWidth="1"/>
    <x:col min="9" max="9" width="25" customWidth="1"/>
    <x:col min="10" max="10" width="34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</x:row>
    <x:row r="2" ht="32" customHeight="1">
      <x:c r="A2" s="16" t="s">
        <x:v>1733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3" ht="34" customHeight="1">
      <x:c r="A3" s="17" t="str">
        <x:v>第十轮继续测试记录：本地可重现代码问题已逐项修复；仍缺完整设备/通知/处罚链及角色会话，未宣称整体上线验收通过。详见第十轮报告。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 ht="34" customHeight="1">
      <x:c r="A4" s="17" t="s">
        <x:v>1734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34" customHeight="1">
      <x:c r="A5" s="18" t="s">
        <x:v>78</x:v>
      </x:c>
      <x:c r="B5" s="18" t="s">
        <x:v>1735</x:v>
      </x:c>
      <x:c r="C5" s="18" t="s">
        <x:v>1736</x:v>
      </x:c>
      <x:c r="D5" s="18" t="s">
        <x:v>1737</x:v>
      </x:c>
      <x:c r="E5" s="18" t="s">
        <x:v>1738</x:v>
      </x:c>
      <x:c r="F5" s="18" t="s">
        <x:v>1739</x:v>
      </x:c>
      <x:c r="G5" s="18" t="s">
        <x:v>1740</x:v>
      </x:c>
      <x:c r="H5" s="18" t="s">
        <x:v>1741</x:v>
      </x:c>
      <x:c r="I5" s="18" t="s">
        <x:v>702</x:v>
      </x:c>
      <x:c r="J5" s="18" t="s">
        <x:v>1742</x:v>
      </x:c>
    </x:row>
    <x:row r="6" ht="142" customHeight="1">
      <x:c r="A6" s="34" t="s">
        <x:v>1743</x:v>
      </x:c>
      <x:c r="B6" s="34" t="s">
        <x:v>1744</x:v>
      </x:c>
      <x:c r="C6" s="34" t="s">
        <x:v>1745</x:v>
      </x:c>
      <x:c r="D6" s="34" t="s">
        <x:v>1746</x:v>
      </x:c>
      <x:c r="E6" s="34" t="s">
        <x:v>1747</x:v>
      </x:c>
      <x:c r="F6" s="34" t="s">
        <x:v>1748</x:v>
      </x:c>
      <x:c r="G6" s="34" t="s">
        <x:v>1749</x:v>
      </x:c>
      <x:c r="H6" s="34" t="s">
        <x:v>1750</x:v>
      </x:c>
      <x:c r="I6" s="20" t="s">
        <x:v>62</x:v>
      </x:c>
      <x:c r="J6" s="20" t="s">
        <x:v>62</x:v>
      </x:c>
    </x:row>
    <x:row r="7" ht="142" customHeight="1">
      <x:c r="A7" s="34" t="s">
        <x:v>1751</x:v>
      </x:c>
      <x:c r="B7" s="34" t="s">
        <x:v>1752</x:v>
      </x:c>
      <x:c r="C7" s="34" t="s">
        <x:v>1753</x:v>
      </x:c>
      <x:c r="D7" s="34" t="s">
        <x:v>1754</x:v>
      </x:c>
      <x:c r="E7" s="34" t="s">
        <x:v>1755</x:v>
      </x:c>
      <x:c r="F7" s="34" t="s">
        <x:v>1756</x:v>
      </x:c>
      <x:c r="G7" s="34" t="s">
        <x:v>1757</x:v>
      </x:c>
      <x:c r="H7" s="34" t="s">
        <x:v>1758</x:v>
      </x:c>
      <x:c r="I7" s="20" t="s">
        <x:v>62</x:v>
      </x:c>
      <x:c r="J7" s="20" t="s">
        <x:v>62</x:v>
      </x:c>
    </x:row>
    <x:row r="8" ht="142" customHeight="1">
      <x:c r="A8" s="34" t="s">
        <x:v>1759</x:v>
      </x:c>
      <x:c r="B8" s="34" t="s">
        <x:v>1752</x:v>
      </x:c>
      <x:c r="C8" s="34" t="s">
        <x:v>1760</x:v>
      </x:c>
      <x:c r="D8" s="34" t="s">
        <x:v>1761</x:v>
      </x:c>
      <x:c r="E8" s="34" t="s">
        <x:v>1762</x:v>
      </x:c>
      <x:c r="F8" s="34" t="s">
        <x:v>1763</x:v>
      </x:c>
      <x:c r="G8" s="34" t="s">
        <x:v>1764</x:v>
      </x:c>
      <x:c r="H8" s="34" t="s">
        <x:v>1765</x:v>
      </x:c>
      <x:c r="I8" s="20" t="s">
        <x:v>62</x:v>
      </x:c>
      <x:c r="J8" s="20" t="s">
        <x:v>62</x:v>
      </x:c>
    </x:row>
    <x:row r="9" ht="142" customHeight="1">
      <x:c r="A9" s="34" t="s">
        <x:v>1766</x:v>
      </x:c>
      <x:c r="B9" s="34" t="s">
        <x:v>1752</x:v>
      </x:c>
      <x:c r="C9" s="34" t="s">
        <x:v>1767</x:v>
      </x:c>
      <x:c r="D9" s="34" t="s">
        <x:v>1768</x:v>
      </x:c>
      <x:c r="E9" s="34" t="s">
        <x:v>1769</x:v>
      </x:c>
      <x:c r="F9" s="34" t="s">
        <x:v>1770</x:v>
      </x:c>
      <x:c r="G9" s="34" t="s">
        <x:v>1771</x:v>
      </x:c>
      <x:c r="H9" s="34" t="s">
        <x:v>1772</x:v>
      </x:c>
      <x:c r="I9" s="20" t="s">
        <x:v>62</x:v>
      </x:c>
      <x:c r="J9" s="20" t="s">
        <x:v>62</x:v>
      </x:c>
    </x:row>
    <x:row r="10" ht="142" customHeight="1">
      <x:c r="A10" s="34" t="s">
        <x:v>1773</x:v>
      </x:c>
      <x:c r="B10" s="34" t="s">
        <x:v>1744</x:v>
      </x:c>
      <x:c r="C10" s="34" t="s">
        <x:v>1774</x:v>
      </x:c>
      <x:c r="D10" s="34" t="s">
        <x:v>1775</x:v>
      </x:c>
      <x:c r="E10" s="34" t="s">
        <x:v>1776</x:v>
      </x:c>
      <x:c r="F10" s="34" t="s">
        <x:v>1777</x:v>
      </x:c>
      <x:c r="G10" s="34" t="s">
        <x:v>1778</x:v>
      </x:c>
      <x:c r="H10" s="34" t="s">
        <x:v>1779</x:v>
      </x:c>
      <x:c r="I10" s="20" t="s">
        <x:v>62</x:v>
      </x:c>
      <x:c r="J10" s="20" t="s">
        <x:v>62</x:v>
      </x:c>
    </x:row>
    <x:row r="11" ht="142" customHeight="1">
      <x:c r="A11" s="5" t="s">
        <x:v>1780</x:v>
      </x:c>
      <x:c r="B11" s="5" t="s">
        <x:v>1781</x:v>
      </x:c>
      <x:c r="C11" s="5" t="s">
        <x:v>1782</x:v>
      </x:c>
      <x:c r="D11" s="5" t="s">
        <x:v>1783</x:v>
      </x:c>
      <x:c r="E11" s="5" t="s">
        <x:v>1784</x:v>
      </x:c>
      <x:c r="F11" s="5" t="s">
        <x:v>1785</x:v>
      </x:c>
      <x:c r="G11" s="5" t="s">
        <x:v>1786</x:v>
      </x:c>
      <x:c r="H11" s="5" t="s">
        <x:v>1787</x:v>
      </x:c>
      <x:c r="I11" s="20" t="s">
        <x:v>62</x:v>
      </x:c>
      <x:c r="J11" s="20" t="s">
        <x:v>62</x:v>
      </x:c>
    </x:row>
    <x:row r="12" ht="142" customHeight="1">
      <x:c r="A12" s="25" t="s">
        <x:v>1788</x:v>
      </x:c>
      <x:c r="B12" s="25" t="s">
        <x:v>1781</x:v>
      </x:c>
      <x:c r="C12" s="25" t="s">
        <x:v>1789</x:v>
      </x:c>
      <x:c r="D12" s="25" t="s">
        <x:v>1790</x:v>
      </x:c>
      <x:c r="E12" s="25" t="s">
        <x:v>1791</x:v>
      </x:c>
      <x:c r="F12" s="25" t="s">
        <x:v>1792</x:v>
      </x:c>
      <x:c r="G12" s="25" t="s">
        <x:v>1793</x:v>
      </x:c>
      <x:c r="H12" s="25" t="s">
        <x:v>1794</x:v>
      </x:c>
      <x:c r="I12" s="20" t="s">
        <x:v>62</x:v>
      </x:c>
      <x:c r="J12" s="20" t="s">
        <x:v>62</x:v>
      </x:c>
    </x:row>
    <x:row r="13" ht="142" customHeight="1">
      <x:c r="A13" s="5" t="s">
        <x:v>1795</x:v>
      </x:c>
      <x:c r="B13" s="5" t="s">
        <x:v>1781</x:v>
      </x:c>
      <x:c r="C13" s="5" t="s">
        <x:v>1796</x:v>
      </x:c>
      <x:c r="D13" s="5" t="s">
        <x:v>1797</x:v>
      </x:c>
      <x:c r="E13" s="5" t="s">
        <x:v>1798</x:v>
      </x:c>
      <x:c r="F13" s="5" t="s">
        <x:v>1799</x:v>
      </x:c>
      <x:c r="G13" s="5" t="s">
        <x:v>1800</x:v>
      </x:c>
      <x:c r="H13" s="5" t="s">
        <x:v>1801</x:v>
      </x:c>
      <x:c r="I13" s="20" t="s">
        <x:v>62</x:v>
      </x:c>
      <x:c r="J13" s="20" t="s">
        <x:v>62</x:v>
      </x:c>
    </x:row>
    <x:row r="14" ht="142" customHeight="1">
      <x:c r="A14" s="25" t="s">
        <x:v>1802</x:v>
      </x:c>
      <x:c r="B14" s="25" t="s">
        <x:v>1781</x:v>
      </x:c>
      <x:c r="C14" s="25" t="s">
        <x:v>1803</x:v>
      </x:c>
      <x:c r="D14" s="25" t="s">
        <x:v>1804</x:v>
      </x:c>
      <x:c r="E14" s="25" t="s">
        <x:v>1805</x:v>
      </x:c>
      <x:c r="F14" s="25" t="s">
        <x:v>1806</x:v>
      </x:c>
      <x:c r="G14" s="25" t="s">
        <x:v>1807</x:v>
      </x:c>
      <x:c r="H14" s="25" t="s">
        <x:v>1808</x:v>
      </x:c>
      <x:c r="I14" s="20" t="s">
        <x:v>62</x:v>
      </x:c>
      <x:c r="J14" s="20" t="s">
        <x:v>62</x:v>
      </x:c>
    </x:row>
    <x:row r="15" ht="142" customHeight="1">
      <x:c r="A15" s="5" t="s">
        <x:v>1809</x:v>
      </x:c>
      <x:c r="B15" s="5" t="s">
        <x:v>1781</x:v>
      </x:c>
      <x:c r="C15" s="5" t="s">
        <x:v>1810</x:v>
      </x:c>
      <x:c r="D15" s="5" t="s">
        <x:v>1811</x:v>
      </x:c>
      <x:c r="E15" s="5" t="s">
        <x:v>1812</x:v>
      </x:c>
      <x:c r="F15" s="5" t="s">
        <x:v>1813</x:v>
      </x:c>
      <x:c r="G15" s="5" t="s">
        <x:v>1814</x:v>
      </x:c>
      <x:c r="H15" s="5" t="s">
        <x:v>1815</x:v>
      </x:c>
      <x:c r="I15" s="20" t="s">
        <x:v>62</x:v>
      </x:c>
      <x:c r="J15" s="20" t="s">
        <x:v>62</x:v>
      </x:c>
    </x:row>
    <x:row r="16" ht="142" customHeight="1">
      <x:c r="A16" s="25" t="s">
        <x:v>1816</x:v>
      </x:c>
      <x:c r="B16" s="25" t="s">
        <x:v>1781</x:v>
      </x:c>
      <x:c r="C16" s="25" t="s">
        <x:v>1817</x:v>
      </x:c>
      <x:c r="D16" s="25" t="s">
        <x:v>1818</x:v>
      </x:c>
      <x:c r="E16" s="25" t="s">
        <x:v>1819</x:v>
      </x:c>
      <x:c r="F16" s="25" t="s">
        <x:v>1820</x:v>
      </x:c>
      <x:c r="G16" s="25" t="s">
        <x:v>1821</x:v>
      </x:c>
      <x:c r="H16" s="25" t="s">
        <x:v>1822</x:v>
      </x:c>
      <x:c r="I16" s="20" t="s">
        <x:v>62</x:v>
      </x:c>
      <x:c r="J16" s="20" t="s">
        <x:v>62</x:v>
      </x:c>
    </x:row>
    <x:row r="17" ht="142" customHeight="1">
      <x:c r="A17" s="5" t="s">
        <x:v>1823</x:v>
      </x:c>
      <x:c r="B17" s="5" t="s">
        <x:v>1824</x:v>
      </x:c>
      <x:c r="C17" s="5" t="s">
        <x:v>1825</x:v>
      </x:c>
      <x:c r="D17" s="5" t="s">
        <x:v>1826</x:v>
      </x:c>
      <x:c r="E17" s="5" t="s">
        <x:v>1827</x:v>
      </x:c>
      <x:c r="F17" s="5" t="s">
        <x:v>1828</x:v>
      </x:c>
      <x:c r="G17" s="5" t="s">
        <x:v>1829</x:v>
      </x:c>
      <x:c r="H17" s="5" t="s">
        <x:v>1830</x:v>
      </x:c>
      <x:c r="I17" s="20" t="s">
        <x:v>62</x:v>
      </x:c>
      <x:c r="J17" s="20" t="s">
        <x:v>62</x:v>
      </x:c>
    </x:row>
    <x:row r="18" ht="16.5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 ht="34" customHeight="1">
      <x:c r="A19" s="17" t="s">
        <x:v>1831</x:v>
      </x:c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 ht="34" customHeight="1">
      <x:c r="A20" s="17" t="s">
        <x:v>1832</x:v>
      </x:c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1" ht="34" customHeight="1">
      <x:c r="A21" s="17" t="s">
        <x:v>1833</x:v>
      </x:c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2" ht="34" customHeight="1">
      <x:c r="A22" s="17" t="s">
        <x:v>1834</x:v>
      </x:c>
      <x:c r="B22" s="17"/>
      <x:c r="C22" s="17"/>
      <x:c r="D22" s="17"/>
      <x:c r="E22" s="17"/>
      <x:c r="F22" s="17"/>
      <x:c r="G22" s="17"/>
      <x:c r="H22" s="17"/>
      <x:c r="I22" s="17"/>
      <x:c r="J22" s="17"/>
    </x:row>
    <x:row r="23" ht="34" customHeight="1">
      <x:c r="A23" s="17" t="s">
        <x:v>1835</x:v>
      </x:c>
      <x:c r="B23" s="17"/>
      <x:c r="C23" s="17"/>
      <x:c r="D23" s="17"/>
      <x:c r="E23" s="17"/>
      <x:c r="F23" s="17"/>
      <x:c r="G23" s="17"/>
      <x:c r="H23" s="17"/>
      <x:c r="I23" s="17"/>
      <x:c r="J23" s="17"/>
    </x:row>
    <x:row r="24" ht="16.5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 ht="16.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 ht="16.5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</x:sheetData>
  <x:mergeCells>
    <x:mergeCell ref="A3:J3"/>
    <x:mergeCell ref="A4:J4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  <x:tableParts count="1">
    <x:tablePart xmlns:r="http://schemas.openxmlformats.org/officeDocument/2006/relationships" r:id="R004ca1ce7fee4259"/>
  </x:tableParts>
</x:worksheet>
</file>

<file path=xl/worksheets/sheet9.xml><?xml version="1.0" encoding="utf-8"?>
<x:worksheet xmlns:x="http://schemas.openxmlformats.org/spreadsheetml/2006/main">
  <x:sheetPr>
    <x:tabColor rgb="FF059669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2" width="11" customWidth="1"/>
    <x:col min="3" max="3" width="19" customWidth="1"/>
    <x:col min="4" max="4" width="17" customWidth="1"/>
    <x:col min="5" max="6" width="60" customWidth="1"/>
    <x:col min="7" max="7" width="68" customWidth="1"/>
    <x:col min="8" max="8" width="16" customWidth="1"/>
    <x:col min="9" max="10" width="38" customWidth="1"/>
    <x:col min="11" max="11" width="18" customWidth="1"/>
    <x:col min="12" max="12" width="16" customWidth="1"/>
    <x:col min="13" max="13" width="18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32" customHeight="1">
      <x:c r="A2" s="16" t="s">
        <x:v>1836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3" ht="34" customHeight="1">
      <x:c r="A3" s="17" t="s">
        <x:v>1837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</x:row>
    <x:row r="4" ht="34" customHeight="1">
      <x:c r="A4" s="17" t="s">
        <x:v>1838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 ht="34" customHeight="1">
      <x:c r="A5" s="18" t="s">
        <x:v>78</x:v>
      </x:c>
      <x:c r="B5" s="18" t="s">
        <x:v>87</x:v>
      </x:c>
      <x:c r="C5" s="18" t="s">
        <x:v>1839</x:v>
      </x:c>
      <x:c r="D5" s="18" t="s">
        <x:v>79</x:v>
      </x:c>
      <x:c r="E5" s="18" t="s">
        <x:v>1840</x:v>
      </x:c>
      <x:c r="F5" s="18" t="s">
        <x:v>80</x:v>
      </x:c>
      <x:c r="G5" s="18" t="s">
        <x:v>81</x:v>
      </x:c>
      <x:c r="H5" s="18" t="s">
        <x:v>82</x:v>
      </x:c>
      <x:c r="I5" s="18" t="s">
        <x:v>1841</x:v>
      </x:c>
      <x:c r="J5" s="18" t="s">
        <x:v>1842</x:v>
      </x:c>
      <x:c r="K5" s="18" t="s">
        <x:v>1843</x:v>
      </x:c>
      <x:c r="L5" s="18" t="s">
        <x:v>1844</x:v>
      </x:c>
      <x:c r="M5" s="18" t="s">
        <x:v>1845</x:v>
      </x:c>
    </x:row>
    <x:row r="6" ht="160" customHeight="1">
      <x:c r="A6" s="4" t="s">
        <x:v>1846</x:v>
      </x:c>
      <x:c r="B6" s="4" t="s">
        <x:v>1743</x:v>
      </x:c>
      <x:c r="C6" s="4" t="s">
        <x:v>1847</x:v>
      </x:c>
      <x:c r="D6" s="4" t="s">
        <x:v>88</x:v>
      </x:c>
      <x:c r="E6" s="4" t="s">
        <x:v>1848</x:v>
      </x:c>
      <x:c r="F6" s="4" t="s">
        <x:v>1849</x:v>
      </x:c>
      <x:c r="G6" s="4" t="s">
        <x:v>1850</x:v>
      </x:c>
      <x:c r="H6" s="303" t="str">
        <x:v>暂时测不了</x:v>
      </x:c>
      <x:c r="I6" s="303" t="str">
        <x:v>第十轮：缺本组合独立规则版本、已核验主体和可执行设备回执链；自动服务隔离测试已通过，但未将单个条件分支扩记为自动/手动整链通过。 本项步骤：记录系统生成的授权方式、发起人和依据，不启动真实设备。
留证：授权依据、系统授权记录、规则版本</x:v>
      </x:c>
      <x:c r="J6" s="303" t="str">
        <x:v>第十轮报告；本轮隔离回归日志（不等于整行联测通过）</x:v>
      </x:c>
      <x:c r="K6" s="303" t="str">
        <x:v>Codex</x:v>
      </x:c>
      <x:c r="L6" s="327" t="str">
        <x:v>2026-09-28</x:v>
      </x:c>
      <x:c r="M6" s="17" t="str">
        <x:f t="shared" ref="M6:M53" si="0">IF(H6="通过",IF(COUNTBLANK(I6:L6)=0,"记录齐全","待补证据"),H6)</x:f>
        <x:v>暂时测不了</x:v>
      </x:c>
    </x:row>
    <x:row r="7" ht="160" customHeight="1">
      <x:c r="A7" s="5" t="s">
        <x:v>1851</x:v>
      </x:c>
      <x:c r="B7" s="5" t="s">
        <x:v>1743</x:v>
      </x:c>
      <x:c r="C7" s="5" t="s">
        <x:v>1847</x:v>
      </x:c>
      <x:c r="D7" s="5" t="s">
        <x:v>88</x:v>
      </x:c>
      <x:c r="E7" s="5" t="s">
        <x:v>1852</x:v>
      </x:c>
      <x:c r="F7" s="5" t="s">
        <x:v>1853</x:v>
      </x:c>
      <x:c r="G7" s="5" t="s">
        <x:v>1854</x:v>
      </x:c>
      <x:c r="H7" s="303" t="str">
        <x:v>暂时测不了</x:v>
      </x:c>
      <x:c r="I7" s="303" t="str">
        <x:v>第十轮：缺本组合独立规则版本、已核验主体和可执行设备回执链；自动服务隔离测试已通过，但未将单个条件分支扩记为自动/手动整链通过。 本项步骤：等待队列尝试下发，回查设备收令。
留证：撤权时刻、队列检查、设备命令</x:v>
      </x:c>
      <x:c r="J7" s="303" t="str">
        <x:v>第十轮报告；本轮隔离回归日志（不等于整行联测通过）</x:v>
      </x:c>
      <x:c r="K7" s="303" t="str">
        <x:v>Codex</x:v>
      </x:c>
      <x:c r="L7" s="327" t="str">
        <x:v>2026-09-28</x:v>
      </x:c>
      <x:c r="M7" s="17" t="str">
        <x:f t="shared" si="0"/>
        <x:v>暂时测不了</x:v>
      </x:c>
    </x:row>
    <x:row r="8" ht="160" customHeight="1">
      <x:c r="A8" s="4" t="s">
        <x:v>1855</x:v>
      </x:c>
      <x:c r="B8" s="4" t="s">
        <x:v>1743</x:v>
      </x:c>
      <x:c r="C8" s="4" t="s">
        <x:v>1847</x:v>
      </x:c>
      <x:c r="D8" s="4" t="s">
        <x:v>88</x:v>
      </x:c>
      <x:c r="E8" s="4" t="s">
        <x:v>1856</x:v>
      </x:c>
      <x:c r="F8" s="4" t="s">
        <x:v>1857</x:v>
      </x:c>
      <x:c r="G8" s="4" t="s">
        <x:v>1858</x:v>
      </x:c>
      <x:c r="H8" s="303" t="str">
        <x:v>暂时测不了</x:v>
      </x:c>
      <x:c r="I8" s="303" t="str">
        <x:v>第十轮：缺本组合独立规则版本、已核验主体和可执行设备回执链；自动服务隔离测试已通过，但未将单个条件分支扩记为自动/手动整链通过。 本项步骤：对照请求人、审批人、授权方式和审计。
留证：两批事件和授权、审计</x:v>
      </x:c>
      <x:c r="J8" s="303" t="str">
        <x:v>第十轮报告；本轮隔离回归日志（不等于整行联测通过）</x:v>
      </x:c>
      <x:c r="K8" s="303" t="str">
        <x:v>Codex</x:v>
      </x:c>
      <x:c r="L8" s="327" t="str">
        <x:v>2026-09-28</x:v>
      </x:c>
      <x:c r="M8" s="17" t="str">
        <x:f t="shared" si="0"/>
        <x:v>暂时测不了</x:v>
      </x:c>
    </x:row>
    <x:row r="9" ht="160" customHeight="1">
      <x:c r="A9" s="5" t="s">
        <x:v>1859</x:v>
      </x:c>
      <x:c r="B9" s="5" t="s">
        <x:v>1751</x:v>
      </x:c>
      <x:c r="C9" s="5" t="s">
        <x:v>1860</x:v>
      </x:c>
      <x:c r="D9" s="5" t="s">
        <x:v>88</x:v>
      </x:c>
      <x:c r="E9" s="5" t="s">
        <x:v>1861</x:v>
      </x:c>
      <x:c r="F9" s="5" t="s">
        <x:v>1862</x:v>
      </x:c>
      <x:c r="G9" s="5" t="s">
        <x:v>1863</x:v>
      </x:c>
      <x:c r="H9" s="303" t="str">
        <x:v>暂时测不了</x:v>
      </x:c>
      <x:c r="I9" s="303" t="str">
        <x:v>第十轮：缺本组合独立规则版本、已核验主体和可执行设备回执链；自动服务隔离测试已通过，但未将单个条件分支扩记为自动/手动整链通过。 本项步骤：输入待核实事件并观察，再用有权账号核实。
留证：配置回读、运行状态、核实历史</x:v>
      </x:c>
      <x:c r="J9" s="303" t="str">
        <x:v>第十轮报告；本轮隔离回归日志（不等于整行联测通过）</x:v>
      </x:c>
      <x:c r="K9" s="303" t="str">
        <x:v>Codex</x:v>
      </x:c>
      <x:c r="L9" s="327" t="str">
        <x:v>2026-09-28</x:v>
      </x:c>
      <x:c r="M9" s="17" t="str">
        <x:f t="shared" si="0"/>
        <x:v>暂时测不了</x:v>
      </x:c>
    </x:row>
    <x:row r="10" ht="160" customHeight="1">
      <x:c r="A10" s="4" t="s">
        <x:v>1864</x:v>
      </x:c>
      <x:c r="B10" s="4" t="s">
        <x:v>1751</x:v>
      </x:c>
      <x:c r="C10" s="4" t="s">
        <x:v>1860</x:v>
      </x:c>
      <x:c r="D10" s="4" t="s">
        <x:v>88</x:v>
      </x:c>
      <x:c r="E10" s="4" t="s">
        <x:v>1865</x:v>
      </x:c>
      <x:c r="F10" s="4" t="s">
        <x:v>1866</x:v>
      </x:c>
      <x:c r="G10" s="4" t="s">
        <x:v>1867</x:v>
      </x:c>
      <x:c r="H10" s="303" t="str">
        <x:v>暂时测不了</x:v>
      </x:c>
      <x:c r="I10" s="303" t="str">
        <x:v>第十轮：缺本组合独立规则版本、已核验主体和可执行设备回执链；自动服务隔离测试已通过，但未将单个条件分支扩记为自动/手动整链通过。 本项步骤：关闭引擎后观察后台调度和模拟收件箱，不点发送。
留证：引擎配置、干扰回执、投递记录</x:v>
      </x:c>
      <x:c r="J10" s="303" t="str">
        <x:v>第十轮报告；本轮隔离回归日志（不等于整行联测通过）</x:v>
      </x:c>
      <x:c r="K10" s="303" t="str">
        <x:v>Codex</x:v>
      </x:c>
      <x:c r="L10" s="327" t="str">
        <x:v>2026-09-28</x:v>
      </x:c>
      <x:c r="M10" s="17" t="str">
        <x:f t="shared" si="0"/>
        <x:v>暂时测不了</x:v>
      </x:c>
    </x:row>
    <x:row r="11" ht="160" customHeight="1">
      <x:c r="A11" s="5" t="s">
        <x:v>1868</x:v>
      </x:c>
      <x:c r="B11" s="5" t="s">
        <x:v>1751</x:v>
      </x:c>
      <x:c r="C11" s="5" t="s">
        <x:v>1860</x:v>
      </x:c>
      <x:c r="D11" s="5" t="s">
        <x:v>88</x:v>
      </x:c>
      <x:c r="E11" s="5" t="s">
        <x:v>1869</x:v>
      </x:c>
      <x:c r="F11" s="5" t="s">
        <x:v>1870</x:v>
      </x:c>
      <x:c r="G11" s="5" t="s">
        <x:v>1871</x:v>
      </x:c>
      <x:c r="H11" s="303" t="str">
        <x:v>暂时测不了</x:v>
      </x:c>
      <x:c r="I11" s="303" t="str">
        <x:v>第十轮：缺本组合独立规则版本、已核验主体和可执行设备回执链；自动服务隔离测试已通过，但未将单个条件分支扩记为自动/手动整链通过。 本项步骤：查看交接和投递，再由有权人员点击通知。
留证：交接ID、等待原因、人工发送回执</x:v>
      </x:c>
      <x:c r="J11" s="303" t="str">
        <x:v>第十轮报告；本轮隔离回归日志（不等于整行联测通过）</x:v>
      </x:c>
      <x:c r="K11" s="303" t="str">
        <x:v>Codex</x:v>
      </x:c>
      <x:c r="L11" s="327" t="str">
        <x:v>2026-09-28</x:v>
      </x:c>
      <x:c r="M11" s="17" t="str">
        <x:f t="shared" si="0"/>
        <x:v>暂时测不了</x:v>
      </x:c>
    </x:row>
    <x:row r="12" ht="160" customHeight="1">
      <x:c r="A12" s="4" t="s">
        <x:v>1872</x:v>
      </x:c>
      <x:c r="B12" s="4" t="s">
        <x:v>1751</x:v>
      </x:c>
      <x:c r="C12" s="4" t="s">
        <x:v>1860</x:v>
      </x:c>
      <x:c r="D12" s="4" t="s">
        <x:v>94</x:v>
      </x:c>
      <x:c r="E12" s="4" t="s">
        <x:v>1873</x:v>
      </x:c>
      <x:c r="F12" s="4" t="s">
        <x:v>1874</x:v>
      </x:c>
      <x:c r="G12" s="4" t="s">
        <x:v>1875</x:v>
      </x:c>
      <x:c r="H12" s="303" t="str">
        <x:v>暂时测不了</x:v>
      </x:c>
      <x:c r="I12" s="303" t="str">
        <x:v>第十轮：缺本组合独立规则版本、已核验主体和可执行设备回执链；自动服务隔离测试已通过，但未将单个条件分支扩记为自动/手动整链通过。 本项步骤：先只满足一条，再持续满足两条。
留证：规则版本、逐条判定、触发时刻</x:v>
      </x:c>
      <x:c r="J12" s="303" t="str">
        <x:v>第十轮报告；本轮隔离回归日志（不等于整行联测通过）</x:v>
      </x:c>
      <x:c r="K12" s="303" t="str">
        <x:v>Codex</x:v>
      </x:c>
      <x:c r="L12" s="327" t="str">
        <x:v>2026-09-28</x:v>
      </x:c>
      <x:c r="M12" s="17" t="str">
        <x:f t="shared" si="0"/>
        <x:v>暂时测不了</x:v>
      </x:c>
    </x:row>
    <x:row r="13" ht="160" customHeight="1">
      <x:c r="A13" s="5" t="s">
        <x:v>1876</x:v>
      </x:c>
      <x:c r="B13" s="5" t="s">
        <x:v>1759</x:v>
      </x:c>
      <x:c r="C13" s="5" t="s">
        <x:v>1877</x:v>
      </x:c>
      <x:c r="D13" s="5" t="s">
        <x:v>88</x:v>
      </x:c>
      <x:c r="E13" s="5" t="s">
        <x:v>1878</x:v>
      </x:c>
      <x:c r="F13" s="5" t="s">
        <x:v>1879</x:v>
      </x:c>
      <x:c r="G13" s="5" t="s">
        <x:v>1880</x:v>
      </x:c>
      <x:c r="H13" s="303" t="str">
        <x:v>暂时测不了</x:v>
      </x:c>
      <x:c r="I13" s="303" t="str">
        <x:v>第十轮：缺本组合独立规则版本、已核验主体和可执行设备回执链；自动服务隔离测试已通过，但未将单个条件分支扩记为自动/手动整链通过。 本项步骤：先确认反制回执，再观察干扰子授权、命令和回执。
留证：父子授权ID、两条命令及回执</x:v>
      </x:c>
      <x:c r="J13" s="303" t="str">
        <x:v>第十轮报告；本轮隔离回归日志（不等于整行联测通过）</x:v>
      </x:c>
      <x:c r="K13" s="303" t="str">
        <x:v>Codex</x:v>
      </x:c>
      <x:c r="L13" s="327" t="str">
        <x:v>2026-09-28</x:v>
      </x:c>
      <x:c r="M13" s="17" t="str">
        <x:f t="shared" si="0"/>
        <x:v>暂时测不了</x:v>
      </x:c>
    </x:row>
    <x:row r="14" ht="160" customHeight="1">
      <x:c r="A14" s="4" t="s">
        <x:v>1881</x:v>
      </x:c>
      <x:c r="B14" s="4" t="s">
        <x:v>1759</x:v>
      </x:c>
      <x:c r="C14" s="4" t="s">
        <x:v>1877</x:v>
      </x:c>
      <x:c r="D14" s="4" t="s">
        <x:v>88</x:v>
      </x:c>
      <x:c r="E14" s="4" t="s">
        <x:v>1882</x:v>
      </x:c>
      <x:c r="F14" s="4" t="s">
        <x:v>1883</x:v>
      </x:c>
      <x:c r="G14" s="4" t="s">
        <x:v>1884</x:v>
      </x:c>
      <x:c r="H14" s="303" t="str">
        <x:v>暂时测不了</x:v>
      </x:c>
      <x:c r="I14" s="303" t="str">
        <x:v>第十轮：缺本组合独立规则版本、已核验主体和可执行设备回执链；自动服务隔离测试已通过，但未将单个条件分支扩记为自动/手动整链通过。 本项步骤：观察干扰是否仍被创建或下发。
留证：观测时间、阻断原因、设备收令</x:v>
      </x:c>
      <x:c r="J14" s="303" t="str">
        <x:v>第十轮报告；本轮隔离回归日志（不等于整行联测通过）</x:v>
      </x:c>
      <x:c r="K14" s="303" t="str">
        <x:v>Codex</x:v>
      </x:c>
      <x:c r="L14" s="327" t="str">
        <x:v>2026-09-28</x:v>
      </x:c>
      <x:c r="M14" s="17" t="str">
        <x:f t="shared" si="0"/>
        <x:v>暂时测不了</x:v>
      </x:c>
    </x:row>
    <x:row r="15" ht="160" customHeight="1">
      <x:c r="A15" s="5" t="s">
        <x:v>1885</x:v>
      </x:c>
      <x:c r="B15" s="5" t="s">
        <x:v>1759</x:v>
      </x:c>
      <x:c r="C15" s="5" t="s">
        <x:v>1877</x:v>
      </x:c>
      <x:c r="D15" s="5" t="s">
        <x:v>88</x:v>
      </x:c>
      <x:c r="E15" s="5" t="s">
        <x:v>1886</x:v>
      </x:c>
      <x:c r="F15" s="5" t="s">
        <x:v>1887</x:v>
      </x:c>
      <x:c r="G15" s="5" t="s">
        <x:v>1888</x:v>
      </x:c>
      <x:c r="H15" s="303" t="str">
        <x:v>暂时测不了</x:v>
      </x:c>
      <x:c r="I15" s="303" t="str">
        <x:v>第十轮：缺本组合独立规则版本、已核验主体和可执行设备回执链；自动服务隔离测试已通过，但未将单个条件分支扩记为自动/手动整链通过。 本项步骤：到期后让续链或队列检查运行。
留证：原有效期、检查时间、无新增指令证据</x:v>
      </x:c>
      <x:c r="J15" s="303" t="str">
        <x:v>第十轮报告；本轮隔离回归日志（不等于整行联测通过）</x:v>
      </x:c>
      <x:c r="K15" s="303" t="str">
        <x:v>Codex</x:v>
      </x:c>
      <x:c r="L15" s="327" t="str">
        <x:v>2026-09-28</x:v>
      </x:c>
      <x:c r="M15" s="17" t="str">
        <x:f t="shared" si="0"/>
        <x:v>暂时测不了</x:v>
      </x:c>
    </x:row>
    <x:row r="16" ht="160" customHeight="1">
      <x:c r="A16" s="4" t="s">
        <x:v>1889</x:v>
      </x:c>
      <x:c r="B16" s="4" t="s">
        <x:v>1759</x:v>
      </x:c>
      <x:c r="C16" s="4" t="s">
        <x:v>1877</x:v>
      </x:c>
      <x:c r="D16" s="4" t="s">
        <x:v>88</x:v>
      </x:c>
      <x:c r="E16" s="4" t="s">
        <x:v>1890</x:v>
      </x:c>
      <x:c r="F16" s="4" t="s">
        <x:v>1891</x:v>
      </x:c>
      <x:c r="G16" s="4" t="s">
        <x:v>1892</x:v>
      </x:c>
      <x:c r="H16" s="303" t="str">
        <x:v>暂时测不了</x:v>
      </x:c>
      <x:c r="I16" s="303" t="str">
        <x:v>第十轮：缺本组合独立规则版本、已核验主体和可执行设备回执链；自动服务隔离测试已通过，但未将单个条件分支扩记为自动/手动整链通过。 本项步骤：查两段授权、告警详情和自动交接。
留证：两段结果、交接查询、设备日志</x:v>
      </x:c>
      <x:c r="J16" s="303" t="str">
        <x:v>第十轮报告；本轮隔离回归日志（不等于整行联测通过）</x:v>
      </x:c>
      <x:c r="K16" s="303" t="str">
        <x:v>Codex</x:v>
      </x:c>
      <x:c r="L16" s="327" t="str">
        <x:v>2026-09-28</x:v>
      </x:c>
      <x:c r="M16" s="17" t="str">
        <x:f t="shared" si="0"/>
        <x:v>暂时测不了</x:v>
      </x:c>
    </x:row>
    <x:row r="17" ht="160" customHeight="1">
      <x:c r="A17" s="5" t="s">
        <x:v>1893</x:v>
      </x:c>
      <x:c r="B17" s="5" t="s">
        <x:v>1766</x:v>
      </x:c>
      <x:c r="C17" s="5" t="s">
        <x:v>1894</x:v>
      </x:c>
      <x:c r="D17" s="5" t="s">
        <x:v>88</x:v>
      </x:c>
      <x:c r="E17" s="5" t="s">
        <x:v>1895</x:v>
      </x:c>
      <x:c r="F17" s="5" t="s">
        <x:v>1896</x:v>
      </x:c>
      <x:c r="G17" s="5" t="s">
        <x:v>1897</x:v>
      </x:c>
      <x:c r="H17" s="303" t="str">
        <x:v>暂时测不了</x:v>
      </x:c>
      <x:c r="I17" s="303" t="str">
        <x:v>第十轮：缺本组合独立规则版本、已核验主体和可执行设备回执链；自动服务隔离测试已通过，但未将单个条件分支扩记为自动/手动整链通过。 本项步骤：通过现有获准入口提交；若仅有接口由开发配合并记录前台入口缺口。
留证：事件、提交入口、交接及入口缺口</x:v>
      </x:c>
      <x:c r="J17" s="303" t="str">
        <x:v>第十轮报告；本轮隔离回归日志（不等于整行联测通过）</x:v>
      </x:c>
      <x:c r="K17" s="303" t="str">
        <x:v>Codex</x:v>
      </x:c>
      <x:c r="L17" s="327" t="str">
        <x:v>2026-09-28</x:v>
      </x:c>
      <x:c r="M17" s="17" t="str">
        <x:f t="shared" si="0"/>
        <x:v>暂时测不了</x:v>
      </x:c>
    </x:row>
    <x:row r="18" ht="160" customHeight="1">
      <x:c r="A18" s="4" t="s">
        <x:v>1898</x:v>
      </x:c>
      <x:c r="B18" s="4" t="s">
        <x:v>1766</x:v>
      </x:c>
      <x:c r="C18" s="4" t="s">
        <x:v>1894</x:v>
      </x:c>
      <x:c r="D18" s="4" t="s">
        <x:v>88</x:v>
      </x:c>
      <x:c r="E18" s="4" t="s">
        <x:v>1899</x:v>
      </x:c>
      <x:c r="F18" s="4" t="s">
        <x:v>1900</x:v>
      </x:c>
      <x:c r="G18" s="4" t="s">
        <x:v>1901</x:v>
      </x:c>
      <x:c r="H18" s="303" t="str">
        <x:v>暂时测不了</x:v>
      </x:c>
      <x:c r="I18" s="303" t="str">
        <x:v>第十轮：缺本组合独立规则版本、已核验主体和可执行设备回执链；自动服务隔离测试已通过，但未将单个条件分支扩记为自动/手动整链通过。 本项步骤：观察后台自动建交接和通知记录。
留证：两段状态、调度、交接查询</x:v>
      </x:c>
      <x:c r="J18" s="303" t="str">
        <x:v>第十轮报告；本轮隔离回归日志（不等于整行联测通过）</x:v>
      </x:c>
      <x:c r="K18" s="303" t="str">
        <x:v>Codex</x:v>
      </x:c>
      <x:c r="L18" s="327" t="str">
        <x:v>2026-09-28</x:v>
      </x:c>
      <x:c r="M18" s="17" t="str">
        <x:f t="shared" si="0"/>
        <x:v>暂时测不了</x:v>
      </x:c>
    </x:row>
    <x:row r="19" ht="160" customHeight="1">
      <x:c r="A19" s="5" t="s">
        <x:v>1902</x:v>
      </x:c>
      <x:c r="B19" s="5" t="s">
        <x:v>1766</x:v>
      </x:c>
      <x:c r="C19" s="5" t="s">
        <x:v>1894</x:v>
      </x:c>
      <x:c r="D19" s="5" t="s">
        <x:v>94</x:v>
      </x:c>
      <x:c r="E19" s="5" t="s">
        <x:v>1903</x:v>
      </x:c>
      <x:c r="F19" s="5" t="s">
        <x:v>1904</x:v>
      </x:c>
      <x:c r="G19" s="5" t="s">
        <x:v>1905</x:v>
      </x:c>
      <x:c r="H19" s="303" t="str">
        <x:v>暂时测不了</x:v>
      </x:c>
      <x:c r="I19" s="303" t="str">
        <x:v>第十轮：缺本组合独立规则版本、已核验主体和可执行设备回执链；自动服务隔离测试已通过，但未将单个条件分支扩记为自动/手动整链通过。 本项步骤：等待调度，查看阻断和可用人工处理入口。
留证：接收方配置、交接查询、提示</x:v>
      </x:c>
      <x:c r="J19" s="303" t="str">
        <x:v>第十轮报告；本轮隔离回归日志（不等于整行联测通过）</x:v>
      </x:c>
      <x:c r="K19" s="303" t="str">
        <x:v>Codex</x:v>
      </x:c>
      <x:c r="L19" s="327" t="str">
        <x:v>2026-09-28</x:v>
      </x:c>
      <x:c r="M19" s="17" t="str">
        <x:f t="shared" si="0"/>
        <x:v>暂时测不了</x:v>
      </x:c>
    </x:row>
    <x:row r="20" ht="160" customHeight="1">
      <x:c r="A20" s="4" t="s">
        <x:v>1906</x:v>
      </x:c>
      <x:c r="B20" s="4" t="s">
        <x:v>1766</x:v>
      </x:c>
      <x:c r="C20" s="4" t="s">
        <x:v>1894</x:v>
      </x:c>
      <x:c r="D20" s="4" t="s">
        <x:v>88</x:v>
      </x:c>
      <x:c r="E20" s="4" t="s">
        <x:v>1907</x:v>
      </x:c>
      <x:c r="F20" s="4" t="s">
        <x:v>1908</x:v>
      </x:c>
      <x:c r="G20" s="4" t="s">
        <x:v>1909</x:v>
      </x:c>
      <x:c r="H20" s="303" t="str">
        <x:v>暂时测不了</x:v>
      </x:c>
      <x:c r="I20" s="303" t="str">
        <x:v>第十轮：缺本组合独立规则版本、已核验主体和可执行设备回执链；自动服务隔离测试已通过，但未将单个条件分支扩记为自动/手动整链通过。 本项步骤：补入与原交接对应的有效迟到签收回执。
留证：原交接ID、回执ID、结果页</x:v>
      </x:c>
      <x:c r="J20" s="303" t="str">
        <x:v>第十轮报告；本轮隔离回归日志（不等于整行联测通过）</x:v>
      </x:c>
      <x:c r="K20" s="303" t="str">
        <x:v>Codex</x:v>
      </x:c>
      <x:c r="L20" s="327" t="str">
        <x:v>2026-09-28</x:v>
      </x:c>
      <x:c r="M20" s="17" t="str">
        <x:f t="shared" si="0"/>
        <x:v>暂时测不了</x:v>
      </x:c>
    </x:row>
    <x:row r="21" ht="160" customHeight="1">
      <x:c r="A21" s="5" t="s">
        <x:v>1910</x:v>
      </x:c>
      <x:c r="B21" s="5" t="s">
        <x:v>1773</x:v>
      </x:c>
      <x:c r="C21" s="5" t="s">
        <x:v>1911</x:v>
      </x:c>
      <x:c r="D21" s="5" t="s">
        <x:v>88</x:v>
      </x:c>
      <x:c r="E21" s="5" t="s">
        <x:v>1912</x:v>
      </x:c>
      <x:c r="F21" s="5" t="s">
        <x:v>1913</x:v>
      </x:c>
      <x:c r="G21" s="5" t="s">
        <x:v>1914</x:v>
      </x:c>
      <x:c r="H21" s="303" t="str">
        <x:v>暂时测不了</x:v>
      </x:c>
      <x:c r="I21" s="303" t="str">
        <x:v>第十轮：缺本组合独立规则版本、已核验主体和可执行设备回执链；自动服务隔离测试已通过，但未将单个条件分支扩记为自动/手动整链通过。 本项步骤：以短信送达时刻起计，在3秒前后记录电话和阶段。
留证：送达、电话任务、观测的时间戳</x:v>
      </x:c>
      <x:c r="J21" s="303" t="str">
        <x:v>第十轮报告；本轮隔离回归日志（不等于整行联测通过）</x:v>
      </x:c>
      <x:c r="K21" s="303" t="str">
        <x:v>Codex</x:v>
      </x:c>
      <x:c r="L21" s="327" t="str">
        <x:v>2026-09-28</x:v>
      </x:c>
      <x:c r="M21" s="17" t="str">
        <x:f t="shared" si="0"/>
        <x:v>暂时测不了</x:v>
      </x:c>
    </x:row>
    <x:row r="22" ht="160" customHeight="1">
      <x:c r="A22" s="4" t="s">
        <x:v>1915</x:v>
      </x:c>
      <x:c r="B22" s="4" t="s">
        <x:v>1773</x:v>
      </x:c>
      <x:c r="C22" s="4" t="s">
        <x:v>1911</x:v>
      </x:c>
      <x:c r="D22" s="4" t="s">
        <x:v>88</x:v>
      </x:c>
      <x:c r="E22" s="4" t="s">
        <x:v>1916</x:v>
      </x:c>
      <x:c r="F22" s="4" t="s">
        <x:v>1917</x:v>
      </x:c>
      <x:c r="G22" s="4" t="s">
        <x:v>1918</x:v>
      </x:c>
      <x:c r="H22" s="303" t="str">
        <x:v>暂时测不了</x:v>
      </x:c>
      <x:c r="I22" s="303" t="str">
        <x:v>第十轮：缺本组合独立规则版本、已核验主体和可执行设备回执链；自动服务隔离测试已通过，但未将单个条件分支扩记为自动/手动整链通过。 本项步骤：在10秒前后记录新位置和电话任务；同时记录调度周期。
留证：送达、有效位置、任务创建时间</x:v>
      </x:c>
      <x:c r="J22" s="303" t="str">
        <x:v>第十轮报告；本轮隔离回归日志（不等于整行联测通过）</x:v>
      </x:c>
      <x:c r="K22" s="303" t="str">
        <x:v>Codex</x:v>
      </x:c>
      <x:c r="L22" s="327" t="str">
        <x:v>2026-09-28</x:v>
      </x:c>
      <x:c r="M22" s="17" t="str">
        <x:f t="shared" si="0"/>
        <x:v>暂时测不了</x:v>
      </x:c>
    </x:row>
    <x:row r="23" ht="160" customHeight="1">
      <x:c r="A23" s="5" t="s">
        <x:v>1919</x:v>
      </x:c>
      <x:c r="B23" s="5" t="s">
        <x:v>1773</x:v>
      </x:c>
      <x:c r="C23" s="5" t="s">
        <x:v>1911</x:v>
      </x:c>
      <x:c r="D23" s="5" t="s">
        <x:v>88</x:v>
      </x:c>
      <x:c r="E23" s="5" t="s">
        <x:v>1920</x:v>
      </x:c>
      <x:c r="F23" s="5" t="s">
        <x:v>1921</x:v>
      </x:c>
      <x:c r="G23" s="5" t="s">
        <x:v>1922</x:v>
      </x:c>
      <x:c r="H23" s="303" t="str">
        <x:v>暂时测不了</x:v>
      </x:c>
      <x:c r="I23" s="303" t="str">
        <x:v>第十轮：缺本组合独立规则版本、已核验主体和可执行设备回执链；自动服务隔离测试已通过，但未将单个条件分支扩记为自动/手动整链通过。 本项步骤：以播放完成时刻起计检查9秒和10秒后的阶段。
留证：拨号、播放完成、阶段时间</x:v>
      </x:c>
      <x:c r="J23" s="303" t="str">
        <x:v>第十轮报告；本轮隔离回归日志（不等于整行联测通过）</x:v>
      </x:c>
      <x:c r="K23" s="303" t="str">
        <x:v>Codex</x:v>
      </x:c>
      <x:c r="L23" s="327" t="str">
        <x:v>2026-09-28</x:v>
      </x:c>
      <x:c r="M23" s="17" t="str">
        <x:f t="shared" si="0"/>
        <x:v>暂时测不了</x:v>
      </x:c>
    </x:row>
    <x:row r="24" ht="160" customHeight="1">
      <x:c r="A24" s="4" t="s">
        <x:v>1923</x:v>
      </x:c>
      <x:c r="B24" s="4" t="s">
        <x:v>1773</x:v>
      </x:c>
      <x:c r="C24" s="4" t="s">
        <x:v>1911</x:v>
      </x:c>
      <x:c r="D24" s="4" t="s">
        <x:v>88</x:v>
      </x:c>
      <x:c r="E24" s="4" t="s">
        <x:v>1924</x:v>
      </x:c>
      <x:c r="F24" s="4" t="s">
        <x:v>1925</x:v>
      </x:c>
      <x:c r="G24" s="4" t="s">
        <x:v>1926</x:v>
      </x:c>
      <x:c r="H24" s="303" t="str">
        <x:v>暂时测不了</x:v>
      </x:c>
      <x:c r="I24" s="303" t="str">
        <x:v>第十轮：缺本组合独立规则版本、已核验主体和可执行设备回执链；自动服务隔离测试已通过，但未将单个条件分支扩记为自动/手动整链通过。 本项步骤：持续观察前台通知进度与电话任务。
留证：发送记录、回执查询、阶段</x:v>
      </x:c>
      <x:c r="J24" s="303" t="str">
        <x:v>第十轮报告；本轮隔离回归日志（不等于整行联测通过）</x:v>
      </x:c>
      <x:c r="K24" s="303" t="str">
        <x:v>Codex</x:v>
      </x:c>
      <x:c r="L24" s="327" t="str">
        <x:v>2026-09-28</x:v>
      </x:c>
      <x:c r="M24" s="17" t="str">
        <x:f t="shared" si="0"/>
        <x:v>暂时测不了</x:v>
      </x:c>
    </x:row>
    <x:row r="25" ht="160" customHeight="1">
      <x:c r="A25" s="5" t="s">
        <x:v>1927</x:v>
      </x:c>
      <x:c r="B25" s="5" t="s">
        <x:v>1780</x:v>
      </x:c>
      <x:c r="C25" s="5" t="s">
        <x:v>1928</x:v>
      </x:c>
      <x:c r="D25" s="5" t="s">
        <x:v>88</x:v>
      </x:c>
      <x:c r="E25" s="5" t="s">
        <x:v>1929</x:v>
      </x:c>
      <x:c r="F25" s="5" t="s">
        <x:v>1930</x:v>
      </x:c>
      <x:c r="G25" s="5" t="s">
        <x:v>1931</x:v>
      </x:c>
      <x:c r="H25" s="303" t="str">
        <x:v>暂时测不了</x:v>
      </x:c>
      <x:c r="I25" s="303" t="str">
        <x:v>第十轮：缺符合本行全部边界条件的独立计划/天气/空间/多来源真值样本；现有无计划UAV与鸟类回放只覆盖部分，未伪造判定、边界或历史材料。 本项步骤：按F27跑发现、风险、核验、通知、反馈和历史。
留证：目标、风险、通知、回执和历史ID</x:v>
      </x:c>
      <x:c r="J25" s="303" t="str">
        <x:v>第十轮报告；本轮隔离回归日志（不等于整行联测通过）</x:v>
      </x:c>
      <x:c r="K25" s="303" t="str">
        <x:v>Codex</x:v>
      </x:c>
      <x:c r="L25" s="327" t="str">
        <x:v>2026-09-28</x:v>
      </x:c>
      <x:c r="M25" s="17" t="str">
        <x:f t="shared" si="0"/>
        <x:v>暂时测不了</x:v>
      </x:c>
    </x:row>
    <x:row r="26" ht="160" customHeight="1">
      <x:c r="A26" s="4" t="s">
        <x:v>1932</x:v>
      </x:c>
      <x:c r="B26" s="4" t="s">
        <x:v>1780</x:v>
      </x:c>
      <x:c r="C26" s="4" t="s">
        <x:v>1928</x:v>
      </x:c>
      <x:c r="D26" s="4" t="s">
        <x:v>88</x:v>
      </x:c>
      <x:c r="E26" s="4" t="s">
        <x:v>1933</x:v>
      </x:c>
      <x:c r="F26" s="4" t="s">
        <x:v>1934</x:v>
      </x:c>
      <x:c r="G26" s="4" t="s">
        <x:v>1935</x:v>
      </x:c>
      <x:c r="H26" s="303" t="str">
        <x:v>暂时测不了</x:v>
      </x:c>
      <x:c r="I26" s="303" t="str">
        <x:v>第十轮：缺符合本行全部边界条件的独立计划/天气/空间/多来源真值样本；现有无计划UAV与鸟类回放只覆盖部分，未伪造判定、边界或历史材料。 本项步骤：回到空域与飞行计划当前风险列表。
留证：签收、持续观测、当前风险</x:v>
      </x:c>
      <x:c r="J26" s="303" t="str">
        <x:v>第十轮报告；本轮隔离回归日志（不等于整行联测通过）</x:v>
      </x:c>
      <x:c r="K26" s="303" t="str">
        <x:v>Codex</x:v>
      </x:c>
      <x:c r="L26" s="327" t="str">
        <x:v>2026-09-28</x:v>
      </x:c>
      <x:c r="M26" s="17" t="str">
        <x:f t="shared" si="0"/>
        <x:v>暂时测不了</x:v>
      </x:c>
    </x:row>
    <x:row r="27" ht="160" customHeight="1">
      <x:c r="A27" s="5" t="s">
        <x:v>1936</x:v>
      </x:c>
      <x:c r="B27" s="5" t="s">
        <x:v>1795</x:v>
      </x:c>
      <x:c r="C27" s="5" t="s">
        <x:v>1937</x:v>
      </x:c>
      <x:c r="D27" s="5" t="s">
        <x:v>94</x:v>
      </x:c>
      <x:c r="E27" s="5" t="s">
        <x:v>1938</x:v>
      </x:c>
      <x:c r="F27" s="5" t="s">
        <x:v>1939</x:v>
      </x:c>
      <x:c r="G27" s="5" t="s">
        <x:v>1940</x:v>
      </x:c>
      <x:c r="H27" s="303" t="str">
        <x:v>暂时测不了</x:v>
      </x:c>
      <x:c r="I27" s="303" t="str">
        <x:v>第十轮：缺符合本行全部边界条件的独立计划/天气/空间/多来源真值样本；现有无计划UAV与鸟类回放只覆盖部分，未伪造判定、边界或历史材料。 本项步骤：看类别、细分类、来源与算法版本说明。
留证：原始类别、算法结果、前台标签</x:v>
      </x:c>
      <x:c r="J27" s="303" t="str">
        <x:v>第十轮报告；本轮隔离回归日志（不等于整行联测通过）</x:v>
      </x:c>
      <x:c r="K27" s="303" t="str">
        <x:v>Codex</x:v>
      </x:c>
      <x:c r="L27" s="327" t="str">
        <x:v>2026-09-28</x:v>
      </x:c>
      <x:c r="M27" s="17" t="str">
        <x:f t="shared" si="0"/>
        <x:v>暂时测不了</x:v>
      </x:c>
    </x:row>
    <x:row r="28" ht="160" customHeight="1">
      <x:c r="A28" s="4" t="s">
        <x:v>1941</x:v>
      </x:c>
      <x:c r="B28" s="4" t="s">
        <x:v>1795</x:v>
      </x:c>
      <x:c r="C28" s="4" t="s">
        <x:v>1937</x:v>
      </x:c>
      <x:c r="D28" s="4" t="s">
        <x:v>88</x:v>
      </x:c>
      <x:c r="E28" s="4" t="s">
        <x:v>1942</x:v>
      </x:c>
      <x:c r="F28" s="4" t="s">
        <x:v>1943</x:v>
      </x:c>
      <x:c r="G28" s="4" t="s">
        <x:v>1944</x:v>
      </x:c>
      <x:c r="H28" s="303" t="str">
        <x:v>暂时测不了</x:v>
      </x:c>
      <x:c r="I28" s="303" t="str">
        <x:v>第十轮：缺符合本行全部边界条件的独立计划/天气/空间/多来源真值样本；现有无计划UAV与鸟类回放只覆盖部分，未伪造判定、边界或历史材料。 本项步骤：看融合感知、合法性、风险和自动动作。
留证：原始枚举、目标详情、自动记录</x:v>
      </x:c>
      <x:c r="J28" s="303" t="str">
        <x:v>第十轮报告；本轮隔离回归日志（不等于整行联测通过）</x:v>
      </x:c>
      <x:c r="K28" s="303" t="str">
        <x:v>Codex</x:v>
      </x:c>
      <x:c r="L28" s="327" t="str">
        <x:v>2026-09-28</x:v>
      </x:c>
      <x:c r="M28" s="17" t="str">
        <x:f t="shared" si="0"/>
        <x:v>暂时测不了</x:v>
      </x:c>
    </x:row>
    <x:row r="29" ht="160" customHeight="1">
      <x:c r="A29" s="5" t="s">
        <x:v>1945</x:v>
      </x:c>
      <x:c r="B29" s="5" t="s">
        <x:v>1795</x:v>
      </x:c>
      <x:c r="C29" s="5" t="s">
        <x:v>1946</x:v>
      </x:c>
      <x:c r="D29" s="5" t="s">
        <x:v>94</x:v>
      </x:c>
      <x:c r="E29" s="5" t="s">
        <x:v>1947</x:v>
      </x:c>
      <x:c r="F29" s="5" t="s">
        <x:v>1948</x:v>
      </x:c>
      <x:c r="G29" s="5" t="s">
        <x:v>1949</x:v>
      </x:c>
      <x:c r="H29" s="303" t="str">
        <x:v>暂时测不了</x:v>
      </x:c>
      <x:c r="I29" s="303" t="str">
        <x:v>第十轮：缺符合本行全部边界条件的独立计划/天气/空间/多来源真值样本；现有无计划UAV与鸟类回放只覆盖部分，未伪造判定、边界或历史材料。 本项步骤：核对两个对象身份、关联以及无人机统计。
留证：原始报文、关联、统计</x:v>
      </x:c>
      <x:c r="J29" s="303" t="str">
        <x:v>第十轮报告；本轮隔离回归日志（不等于整行联测通过）</x:v>
      </x:c>
      <x:c r="K29" s="303" t="str">
        <x:v>Codex</x:v>
      </x:c>
      <x:c r="L29" s="327" t="str">
        <x:v>2026-09-28</x:v>
      </x:c>
      <x:c r="M29" s="17" t="str">
        <x:f t="shared" si="0"/>
        <x:v>暂时测不了</x:v>
      </x:c>
    </x:row>
    <x:row r="30" ht="160" customHeight="1">
      <x:c r="A30" s="4" t="s">
        <x:v>1950</x:v>
      </x:c>
      <x:c r="B30" s="4" t="s">
        <x:v>1788</x:v>
      </x:c>
      <x:c r="C30" s="4" t="s">
        <x:v>1951</x:v>
      </x:c>
      <x:c r="D30" s="4" t="s">
        <x:v>88</x:v>
      </x:c>
      <x:c r="E30" s="4" t="s">
        <x:v>1952</x:v>
      </x:c>
      <x:c r="F30" s="4" t="s">
        <x:v>1953</x:v>
      </x:c>
      <x:c r="G30" s="4" t="s">
        <x:v>1954</x:v>
      </x:c>
      <x:c r="H30" s="303" t="str">
        <x:v>暂时测不了</x:v>
      </x:c>
      <x:c r="I30" s="303" t="str">
        <x:v>第十轮：缺符合本行全部边界条件的独立计划/天气/空间/多来源真值样本；现有无计划UAV与鸟类回放只覆盖部分，未伪造判定、边界或历史材料。 本项步骤：按F28核对原始来源及统一目标。
留证：三路输入、统一目标ID、轨迹ID</x:v>
      </x:c>
      <x:c r="J30" s="303" t="str">
        <x:v>第十轮报告；本轮隔离回归日志（不等于整行联测通过）</x:v>
      </x:c>
      <x:c r="K30" s="303" t="str">
        <x:v>Codex</x:v>
      </x:c>
      <x:c r="L30" s="327" t="str">
        <x:v>2026-09-28</x:v>
      </x:c>
      <x:c r="M30" s="17" t="str">
        <x:f t="shared" si="0"/>
        <x:v>暂时测不了</x:v>
      </x:c>
    </x:row>
    <x:row r="31" ht="160" customHeight="1">
      <x:c r="A31" s="5" t="s">
        <x:v>1955</x:v>
      </x:c>
      <x:c r="B31" s="5" t="s">
        <x:v>1788</x:v>
      </x:c>
      <x:c r="C31" s="5" t="s">
        <x:v>1951</x:v>
      </x:c>
      <x:c r="D31" s="5" t="s">
        <x:v>88</x:v>
      </x:c>
      <x:c r="E31" s="5" t="s">
        <x:v>1956</x:v>
      </x:c>
      <x:c r="F31" s="5" t="s">
        <x:v>1957</x:v>
      </x:c>
      <x:c r="G31" s="5" t="s">
        <x:v>1958</x:v>
      </x:c>
      <x:c r="H31" s="303" t="str">
        <x:v>暂时测不了</x:v>
      </x:c>
      <x:c r="I31" s="303" t="str">
        <x:v>第十轮：缺符合本行全部边界条件的独立计划/天气/空间/多来源真值样本；现有无计划UAV与鸟类回放只覆盖部分，未伪造判定、边界或历史材料。 本项步骤：回放相遇前、中、后，核对各目标来源与轨迹。
留证：样本真值、原始与融合ID序列</x:v>
      </x:c>
      <x:c r="J31" s="303" t="str">
        <x:v>第十轮报告；本轮隔离回归日志（不等于整行联测通过）</x:v>
      </x:c>
      <x:c r="K31" s="303" t="str">
        <x:v>Codex</x:v>
      </x:c>
      <x:c r="L31" s="327" t="str">
        <x:v>2026-09-28</x:v>
      </x:c>
      <x:c r="M31" s="17" t="str">
        <x:f t="shared" si="0"/>
        <x:v>暂时测不了</x:v>
      </x:c>
    </x:row>
    <x:row r="32" ht="160" customHeight="1">
      <x:c r="A32" s="4" t="s">
        <x:v>1959</x:v>
      </x:c>
      <x:c r="B32" s="4" t="s">
        <x:v>1788</x:v>
      </x:c>
      <x:c r="C32" s="4" t="s">
        <x:v>1951</x:v>
      </x:c>
      <x:c r="D32" s="4" t="s">
        <x:v>94</x:v>
      </x:c>
      <x:c r="E32" s="4" t="s">
        <x:v>1960</x:v>
      </x:c>
      <x:c r="F32" s="4" t="s">
        <x:v>1961</x:v>
      </x:c>
      <x:c r="G32" s="4" t="s">
        <x:v>1962</x:v>
      </x:c>
      <x:c r="H32" s="20" t="s">
        <x:v>11</x:v>
      </x:c>
      <x:c r="I32" s="20" t="s">
        <x:v>1963</x:v>
      </x:c>
      <x:c r="J32" s="20" t="s">
        <x:v>1964</x:v>
      </x:c>
      <x:c r="K32" s="20" t="s">
        <x:v>92</x:v>
      </x:c>
      <x:c r="L32" s="21">
        <x:v>46293</x:v>
      </x:c>
      <x:c r="M32" s="17" t="str">
        <x:f t="shared" si="0"/>
        <x:v>记录齐全</x:v>
      </x:c>
    </x:row>
    <x:row r="33" ht="160" customHeight="1">
      <x:c r="A33" s="5" t="s">
        <x:v>1965</x:v>
      </x:c>
      <x:c r="B33" s="5" t="s">
        <x:v>1788</x:v>
      </x:c>
      <x:c r="C33" s="5" t="s">
        <x:v>1951</x:v>
      </x:c>
      <x:c r="D33" s="5" t="s">
        <x:v>94</x:v>
      </x:c>
      <x:c r="E33" s="5" t="s">
        <x:v>1966</x:v>
      </x:c>
      <x:c r="F33" s="5" t="s">
        <x:v>1967</x:v>
      </x:c>
      <x:c r="G33" s="5" t="s">
        <x:v>1968</x:v>
      </x:c>
      <x:c r="H33" s="303" t="str">
        <x:v>暂时测不了</x:v>
      </x:c>
      <x:c r="I33" s="303" t="str">
        <x:v>第十轮：缺符合本行全部边界条件的独立计划/天气/空间/多来源真值样本；现有无计划UAV与鸟类回放只覆盖部分，未伪造判定、边界或历史材料。 本项步骤：检查来源健康、目标连续性、来源恢复过程。
留证：停发/恢复时间、目标ID序列</x:v>
      </x:c>
      <x:c r="J33" s="303" t="str">
        <x:v>第十轮报告；本轮隔离回归日志（不等于整行联测通过）</x:v>
      </x:c>
      <x:c r="K33" s="303" t="str">
        <x:v>Codex</x:v>
      </x:c>
      <x:c r="L33" s="327" t="str">
        <x:v>2026-09-28</x:v>
      </x:c>
      <x:c r="M33" s="17" t="str">
        <x:f t="shared" si="0"/>
        <x:v>暂时测不了</x:v>
      </x:c>
    </x:row>
    <x:row r="34" ht="160" customHeight="1">
      <x:c r="A34" s="4" t="s">
        <x:v>983</x:v>
      </x:c>
      <x:c r="B34" s="4" t="s">
        <x:v>1788</x:v>
      </x:c>
      <x:c r="C34" s="4" t="s">
        <x:v>1951</x:v>
      </x:c>
      <x:c r="D34" s="4" t="s">
        <x:v>94</x:v>
      </x:c>
      <x:c r="E34" s="4" t="s">
        <x:v>1969</x:v>
      </x:c>
      <x:c r="F34" s="4" t="s">
        <x:v>1970</x:v>
      </x:c>
      <x:c r="G34" s="4" t="s">
        <x:v>1971</x:v>
      </x:c>
      <x:c r="H34" s="303" t="str">
        <x:v>暂时测不了</x:v>
      </x:c>
      <x:c r="I34" s="303" t="str">
        <x:v>第十轮：未来时间污染已修复。融合管道及MQTT入口在更新心跳/水位前拒绝超过30秒未来观测；原诊断保留。H2与真实PostgreSQL MQTT回归通过；前轮已污染历史不改写，完整三路现场乱序组合未重跑。</x:v>
      </x:c>
      <x:c r="J34" s="303" t="str">
        <x:v>mqtt-workstate-postgres.log；final-fixes-targeted2.log；FusionFutureObservationTest；BUG-014已修复</x:v>
      </x:c>
      <x:c r="K34" s="303" t="str">
        <x:v>Codex</x:v>
      </x:c>
      <x:c r="L34" s="327" t="str">
        <x:v>2026-09-28</x:v>
      </x:c>
      <x:c r="M34" s="17" t="str">
        <x:f t="shared" si="0"/>
        <x:v>有问题</x:v>
      </x:c>
    </x:row>
    <x:row r="35" ht="160" customHeight="1">
      <x:c r="A35" s="5" t="s">
        <x:v>1972</x:v>
      </x:c>
      <x:c r="B35" s="5" t="s">
        <x:v>1788</x:v>
      </x:c>
      <x:c r="C35" s="5" t="s">
        <x:v>1951</x:v>
      </x:c>
      <x:c r="D35" s="5" t="s">
        <x:v>88</x:v>
      </x:c>
      <x:c r="E35" s="5" t="s">
        <x:v>1973</x:v>
      </x:c>
      <x:c r="F35" s="5" t="s">
        <x:v>1974</x:v>
      </x:c>
      <x:c r="G35" s="5" t="s">
        <x:v>1975</x:v>
      </x:c>
      <x:c r="H35" s="303" t="str">
        <x:v>暂时测不了</x:v>
      </x:c>
      <x:c r="I35" s="303" t="str">
        <x:v>第十轮：缺符合本行全部边界条件的独立计划/天气/空间/多来源真值样本；现有无计划UAV与鸟类回放只覆盖部分，未伪造判定、边界或历史材料。 本项步骤：回查历史、实时态势、告警和设备指令。
留证：补传标记、原始时间、实时动作查询</x:v>
      </x:c>
      <x:c r="J35" s="303" t="str">
        <x:v>第十轮报告；本轮隔离回归日志（不等于整行联测通过）</x:v>
      </x:c>
      <x:c r="K35" s="303" t="str">
        <x:v>Codex</x:v>
      </x:c>
      <x:c r="L35" s="327" t="str">
        <x:v>2026-09-28</x:v>
      </x:c>
      <x:c r="M35" s="17" t="str">
        <x:f t="shared" si="0"/>
        <x:v>暂时测不了</x:v>
      </x:c>
    </x:row>
    <x:row r="36" ht="160" customHeight="1">
      <x:c r="A36" s="4" t="s">
        <x:v>1976</x:v>
      </x:c>
      <x:c r="B36" s="4" t="s">
        <x:v>1795</x:v>
      </x:c>
      <x:c r="C36" s="4" t="s">
        <x:v>1977</x:v>
      </x:c>
      <x:c r="D36" s="4" t="s">
        <x:v>94</x:v>
      </x:c>
      <x:c r="E36" s="4" t="s">
        <x:v>1978</x:v>
      </x:c>
      <x:c r="F36" s="4" t="s">
        <x:v>1979</x:v>
      </x:c>
      <x:c r="G36" s="4" t="s">
        <x:v>1980</x:v>
      </x:c>
      <x:c r="H36" s="303" t="str">
        <x:v>暂时测不了</x:v>
      </x:c>
      <x:c r="I36" s="303" t="str">
        <x:v>第十轮：缺符合本行全部边界条件的独立计划/天气/空间/多来源真值样本；现有无计划UAV与鸟类回放只覆盖部分，未伪造判定、边界或历史材料。 本项步骤：核对来源选项、详情与模拟数据标签。
留证：协议清单、前台来源</x:v>
      </x:c>
      <x:c r="J36" s="303" t="str">
        <x:v>第十轮报告；本轮隔离回归日志（不等于整行联测通过）</x:v>
      </x:c>
      <x:c r="K36" s="303" t="str">
        <x:v>Codex</x:v>
      </x:c>
      <x:c r="L36" s="327" t="str">
        <x:v>2026-09-28</x:v>
      </x:c>
      <x:c r="M36" s="17" t="str">
        <x:f t="shared" si="0"/>
        <x:v>暂时测不了</x:v>
      </x:c>
    </x:row>
    <x:row r="37" ht="160" customHeight="1">
      <x:c r="A37" s="5" t="s">
        <x:v>1981</x:v>
      </x:c>
      <x:c r="B37" s="5" t="s">
        <x:v>1795</x:v>
      </x:c>
      <x:c r="C37" s="5" t="s">
        <x:v>1982</x:v>
      </x:c>
      <x:c r="D37" s="5" t="s">
        <x:v>88</x:v>
      </x:c>
      <x:c r="E37" s="5" t="s">
        <x:v>1983</x:v>
      </x:c>
      <x:c r="F37" s="5" t="s">
        <x:v>1984</x:v>
      </x:c>
      <x:c r="G37" s="5" t="s">
        <x:v>1985</x:v>
      </x:c>
      <x:c r="H37" s="303" t="str">
        <x:v>暂时测不了</x:v>
      </x:c>
      <x:c r="I37" s="303" t="str">
        <x:v>第十轮：缺符合本行全部边界条件的独立计划/天气/空间/多来源真值样本；现有无计划UAV与鸟类回放只覆盖部分，未伪造判定、边界或历史材料。 本项步骤：按F29下任务，核对目标、设备、回执、视频和证据。
留证：雷达轨迹、光电任务、画面关联</x:v>
      </x:c>
      <x:c r="J37" s="303" t="str">
        <x:v>第十轮报告；本轮隔离回归日志（不等于整行联测通过）</x:v>
      </x:c>
      <x:c r="K37" s="303" t="str">
        <x:v>Codex</x:v>
      </x:c>
      <x:c r="L37" s="327" t="str">
        <x:v>2026-09-28</x:v>
      </x:c>
      <x:c r="M37" s="17" t="str">
        <x:f t="shared" si="0"/>
        <x:v>暂时测不了</x:v>
      </x:c>
    </x:row>
    <x:row r="38" ht="160" customHeight="1">
      <x:c r="A38" s="4" t="s">
        <x:v>1986</x:v>
      </x:c>
      <x:c r="B38" s="4" t="s">
        <x:v>1795</x:v>
      </x:c>
      <x:c r="C38" s="4" t="s">
        <x:v>1977</x:v>
      </x:c>
      <x:c r="D38" s="4" t="s">
        <x:v>94</x:v>
      </x:c>
      <x:c r="E38" s="4" t="s">
        <x:v>1987</x:v>
      </x:c>
      <x:c r="F38" s="4" t="s">
        <x:v>1988</x:v>
      </x:c>
      <x:c r="G38" s="4" t="s">
        <x:v>1989</x:v>
      </x:c>
      <x:c r="H38" s="303" t="str">
        <x:v>暂时测不了</x:v>
      </x:c>
      <x:c r="I38" s="303" t="str">
        <x:v>第十轮：缺符合本行全部边界条件的独立计划/天气/空间/多来源真值样本；现有无计划UAV与鸟类回放只覆盖部分，未伪造判定、边界或历史材料。 本项步骤：查看业务跟踪和后台对应调测能力。
留证：协议版本、能力提示、任务结果</x:v>
      </x:c>
      <x:c r="J38" s="303" t="str">
        <x:v>第十轮报告；本轮隔离回归日志（不等于整行联测通过）</x:v>
      </x:c>
      <x:c r="K38" s="303" t="str">
        <x:v>Codex</x:v>
      </x:c>
      <x:c r="L38" s="327" t="str">
        <x:v>2026-09-28</x:v>
      </x:c>
      <x:c r="M38" s="17" t="str">
        <x:f t="shared" si="0"/>
        <x:v>暂时测不了</x:v>
      </x:c>
    </x:row>
    <x:row r="39" ht="160" customHeight="1">
      <x:c r="A39" s="5" t="s">
        <x:v>1990</x:v>
      </x:c>
      <x:c r="B39" s="5" t="s">
        <x:v>1802</x:v>
      </x:c>
      <x:c r="C39" s="5" t="s">
        <x:v>1991</x:v>
      </x:c>
      <x:c r="D39" s="5" t="s">
        <x:v>88</x:v>
      </x:c>
      <x:c r="E39" s="5" t="s">
        <x:v>1992</x:v>
      </x:c>
      <x:c r="F39" s="5" t="s">
        <x:v>1993</x:v>
      </x:c>
      <x:c r="G39" s="5" t="s">
        <x:v>1994</x:v>
      </x:c>
      <x:c r="H39" s="303" t="str">
        <x:v>暂时测不了</x:v>
      </x:c>
      <x:c r="I39" s="303" t="str">
        <x:v>第十轮：缺符合本行全部边界条件的独立计划/天气/空间/多来源真值样本；现有无计划UAV与鸟类回放只覆盖部分，未伪造判定、边界或历史材料。 本项步骤：分别进入两组空间并查看判定依据。
留证：目标双高度、空域基准、判定明细</x:v>
      </x:c>
      <x:c r="J39" s="303" t="str">
        <x:v>第十轮报告；本轮隔离回归日志（不等于整行联测通过）</x:v>
      </x:c>
      <x:c r="K39" s="303" t="str">
        <x:v>Codex</x:v>
      </x:c>
      <x:c r="L39" s="327" t="str">
        <x:v>2026-09-28</x:v>
      </x:c>
      <x:c r="M39" s="17" t="str">
        <x:f t="shared" si="0"/>
        <x:v>暂时测不了</x:v>
      </x:c>
    </x:row>
    <x:row r="40" ht="160" customHeight="1">
      <x:c r="A40" s="4" t="s">
        <x:v>1995</x:v>
      </x:c>
      <x:c r="B40" s="4" t="s">
        <x:v>1802</x:v>
      </x:c>
      <x:c r="C40" s="4" t="s">
        <x:v>1991</x:v>
      </x:c>
      <x:c r="D40" s="4" t="s">
        <x:v>88</x:v>
      </x:c>
      <x:c r="E40" s="4" t="s">
        <x:v>1996</x:v>
      </x:c>
      <x:c r="F40" s="4" t="s">
        <x:v>1997</x:v>
      </x:c>
      <x:c r="G40" s="4" t="s">
        <x:v>1998</x:v>
      </x:c>
      <x:c r="H40" s="303" t="str">
        <x:v>暂时测不了</x:v>
      </x:c>
      <x:c r="I40" s="303" t="str">
        <x:v>第十轮：缺符合本行全部边界条件的独立计划/天气/空间/多来源真值样本；现有无计划UAV与鸟类回放只覆盖部分，未伪造判定、边界或历史材料。 本项步骤：查看研判和后续自动动作。
留证：输入字段、研判缺口、动作查询</x:v>
      </x:c>
      <x:c r="J40" s="303" t="str">
        <x:v>第十轮报告；本轮隔离回归日志（不等于整行联测通过）</x:v>
      </x:c>
      <x:c r="K40" s="303" t="str">
        <x:v>Codex</x:v>
      </x:c>
      <x:c r="L40" s="327" t="str">
        <x:v>2026-09-28</x:v>
      </x:c>
      <x:c r="M40" s="17" t="str">
        <x:f t="shared" si="0"/>
        <x:v>暂时测不了</x:v>
      </x:c>
    </x:row>
    <x:row r="41" ht="160" customHeight="1">
      <x:c r="A41" s="5" t="s">
        <x:v>1999</x:v>
      </x:c>
      <x:c r="B41" s="5" t="s">
        <x:v>1802</x:v>
      </x:c>
      <x:c r="C41" s="5" t="s">
        <x:v>1991</x:v>
      </x:c>
      <x:c r="D41" s="5" t="s">
        <x:v>94</x:v>
      </x:c>
      <x:c r="E41" s="5" t="s">
        <x:v>2000</x:v>
      </x:c>
      <x:c r="F41" s="5" t="s">
        <x:v>2001</x:v>
      </x:c>
      <x:c r="G41" s="5" t="s">
        <x:v>2002</x:v>
      </x:c>
      <x:c r="H41" s="303" t="str">
        <x:v>暂时测不了</x:v>
      </x:c>
      <x:c r="I41" s="303" t="str">
        <x:v>第十轮：缺符合本行全部边界条件的独立计划/天气/空间/多来源真值样本；现有无计划UAV与鸟类回放只覆盖部分，未伪造判定、边界或历史材料。 本项步骤：通过授权入口输入并检查空间判定。
留证：WGS84坐标、边界规则、判定</x:v>
      </x:c>
      <x:c r="J41" s="303" t="str">
        <x:v>第十轮报告；本轮隔离回归日志（不等于整行联测通过）</x:v>
      </x:c>
      <x:c r="K41" s="303" t="str">
        <x:v>Codex</x:v>
      </x:c>
      <x:c r="L41" s="327" t="str">
        <x:v>2026-09-28</x:v>
      </x:c>
      <x:c r="M41" s="17" t="str">
        <x:f t="shared" si="0"/>
        <x:v>暂时测不了</x:v>
      </x:c>
    </x:row>
    <x:row r="42" ht="160" customHeight="1">
      <x:c r="A42" s="4" t="s">
        <x:v>2003</x:v>
      </x:c>
      <x:c r="B42" s="4" t="s">
        <x:v>1802</x:v>
      </x:c>
      <x:c r="C42" s="4" t="s">
        <x:v>1991</x:v>
      </x:c>
      <x:c r="D42" s="4" t="s">
        <x:v>94</x:v>
      </x:c>
      <x:c r="E42" s="4" t="s">
        <x:v>2004</x:v>
      </x:c>
      <x:c r="F42" s="4" t="s">
        <x:v>2005</x:v>
      </x:c>
      <x:c r="G42" s="4" t="s">
        <x:v>2006</x:v>
      </x:c>
      <x:c r="H42" s="303" t="str">
        <x:v>暂时测不了</x:v>
      </x:c>
      <x:c r="I42" s="303" t="str">
        <x:v>第十轮：缺符合本行全部边界条件的独立计划/天气/空间/多来源真值样本；现有无计划UAV与鸟类回放只覆盖部分，未伪造判定、边界或历史材料。 本项步骤：记录设备时间、服务时间与命中版本。
留证：区间、四个时间点、版本命中</x:v>
      </x:c>
      <x:c r="J42" s="303" t="str">
        <x:v>第十轮报告；本轮隔离回归日志（不等于整行联测通过）</x:v>
      </x:c>
      <x:c r="K42" s="303" t="str">
        <x:v>Codex</x:v>
      </x:c>
      <x:c r="L42" s="327" t="str">
        <x:v>2026-09-28</x:v>
      </x:c>
      <x:c r="M42" s="17" t="str">
        <x:f t="shared" si="0"/>
        <x:v>暂时测不了</x:v>
      </x:c>
    </x:row>
    <x:row r="43" ht="160" customHeight="1">
      <x:c r="A43" s="5" t="s">
        <x:v>2007</x:v>
      </x:c>
      <x:c r="B43" s="5" t="s">
        <x:v>1802</x:v>
      </x:c>
      <x:c r="C43" s="5" t="s">
        <x:v>1991</x:v>
      </x:c>
      <x:c r="D43" s="5" t="s">
        <x:v>88</x:v>
      </x:c>
      <x:c r="E43" s="5" t="s">
        <x:v>2008</x:v>
      </x:c>
      <x:c r="F43" s="5" t="s">
        <x:v>2009</x:v>
      </x:c>
      <x:c r="G43" s="5" t="s">
        <x:v>2010</x:v>
      </x:c>
      <x:c r="H43" s="303" t="str">
        <x:v>暂时测不了</x:v>
      </x:c>
      <x:c r="I43" s="303" t="str">
        <x:v>第十轮：缺符合本行全部边界条件的独立计划/天气/空间/多来源真值样本；现有无计划UAV与鸟类回放只覆盖部分，未伪造判定、边界或历史材料。 本项步骤：新数据重新判断，旧研判和交接材料回看。
留证：前后版本、两次判定、冻结材料</x:v>
      </x:c>
      <x:c r="J43" s="303" t="str">
        <x:v>第十轮报告；本轮隔离回归日志（不等于整行联测通过）</x:v>
      </x:c>
      <x:c r="K43" s="303" t="str">
        <x:v>Codex</x:v>
      </x:c>
      <x:c r="L43" s="327" t="str">
        <x:v>2026-09-28</x:v>
      </x:c>
      <x:c r="M43" s="17" t="str">
        <x:f t="shared" si="0"/>
        <x:v>暂时测不了</x:v>
      </x:c>
    </x:row>
    <x:row r="44" ht="160" customHeight="1">
      <x:c r="A44" s="4" t="s">
        <x:v>2011</x:v>
      </x:c>
      <x:c r="B44" s="4" t="s">
        <x:v>1802</x:v>
      </x:c>
      <x:c r="C44" s="4" t="s">
        <x:v>2012</x:v>
      </x:c>
      <x:c r="D44" s="4" t="s">
        <x:v>94</x:v>
      </x:c>
      <x:c r="E44" s="4" t="s">
        <x:v>2013</x:v>
      </x:c>
      <x:c r="F44" s="4" t="s">
        <x:v>2014</x:v>
      </x:c>
      <x:c r="G44" s="4" t="s">
        <x:v>2015</x:v>
      </x:c>
      <x:c r="H44" s="303" t="str">
        <x:v>暂时测不了</x:v>
      </x:c>
      <x:c r="I44" s="303" t="str">
        <x:v>第十轮：缺符合本行全部边界条件的独立计划/天气/空间/多来源真值样本；现有无计划UAV与鸟类回放只覆盖部分，未伪造判定、边界或历史材料。 本项步骤：同一WGS84数据在模拟器与前台对照；记录所用底图坐标系。
留证：坐标样本、底图声明、截图</x:v>
      </x:c>
      <x:c r="J44" s="303" t="str">
        <x:v>第十轮报告；本轮隔离回归日志（不等于整行联测通过）</x:v>
      </x:c>
      <x:c r="K44" s="303" t="str">
        <x:v>Codex</x:v>
      </x:c>
      <x:c r="L44" s="327" t="str">
        <x:v>2026-09-28</x:v>
      </x:c>
      <x:c r="M44" s="17" t="str">
        <x:f t="shared" si="0"/>
        <x:v>暂时测不了</x:v>
      </x:c>
    </x:row>
    <x:row r="45" ht="160" customHeight="1">
      <x:c r="A45" s="5" t="s">
        <x:v>2016</x:v>
      </x:c>
      <x:c r="B45" s="5" t="s">
        <x:v>1809</x:v>
      </x:c>
      <x:c r="C45" s="5" t="s">
        <x:v>2017</x:v>
      </x:c>
      <x:c r="D45" s="5" t="s">
        <x:v>88</x:v>
      </x:c>
      <x:c r="E45" s="5" t="s">
        <x:v>2018</x:v>
      </x:c>
      <x:c r="F45" s="5" t="s">
        <x:v>2019</x:v>
      </x:c>
      <x:c r="G45" s="5" t="s">
        <x:v>2020</x:v>
      </x:c>
      <x:c r="H45" s="20" t="s">
        <x:v>11</x:v>
      </x:c>
      <x:c r="I45" s="20" t="s">
        <x:v>2021</x:v>
      </x:c>
      <x:c r="J45" s="20" t="s">
        <x:v>2022</x:v>
      </x:c>
      <x:c r="K45" s="20" t="s">
        <x:v>92</x:v>
      </x:c>
      <x:c r="L45" s="21">
        <x:v>46293</x:v>
      </x:c>
      <x:c r="M45" s="17" t="str">
        <x:f t="shared" si="0"/>
        <x:v>记录齐全</x:v>
      </x:c>
    </x:row>
    <x:row r="46" ht="160" customHeight="1">
      <x:c r="A46" s="4" t="s">
        <x:v>2023</x:v>
      </x:c>
      <x:c r="B46" s="4" t="s">
        <x:v>1809</x:v>
      </x:c>
      <x:c r="C46" s="4" t="s">
        <x:v>2017</x:v>
      </x:c>
      <x:c r="D46" s="4" t="s">
        <x:v>88</x:v>
      </x:c>
      <x:c r="E46" s="4" t="s">
        <x:v>2024</x:v>
      </x:c>
      <x:c r="F46" s="4" t="s">
        <x:v>2025</x:v>
      </x:c>
      <x:c r="G46" s="4" t="s">
        <x:v>2026</x:v>
      </x:c>
      <x:c r="H46" s="303" t="str">
        <x:v>暂时测不了</x:v>
      </x:c>
      <x:c r="I46" s="303" t="str">
        <x:v>第十轮：缺本组合独立规则版本、已核验主体和可执行设备回执链；自动服务隔离测试已通过，但未将单个条件分支扩记为自动/手动整链通过。 本项步骤：单独批次跑F14并检查通知和状态。
留证：通道配置、阶段、未送达记录</x:v>
      </x:c>
      <x:c r="J46" s="303" t="str">
        <x:v>第十轮报告；本轮隔离回归日志（不等于整行联测通过）</x:v>
      </x:c>
      <x:c r="K46" s="303" t="str">
        <x:v>Codex</x:v>
      </x:c>
      <x:c r="L46" s="327" t="str">
        <x:v>2026-09-28</x:v>
      </x:c>
      <x:c r="M46" s="17" t="str">
        <x:f t="shared" si="0"/>
        <x:v>暂时测不了</x:v>
      </x:c>
    </x:row>
    <x:row r="47" ht="160" customHeight="1">
      <x:c r="A47" s="5" t="s">
        <x:v>2027</x:v>
      </x:c>
      <x:c r="B47" s="5" t="s">
        <x:v>1809</x:v>
      </x:c>
      <x:c r="C47" s="5" t="s">
        <x:v>2017</x:v>
      </x:c>
      <x:c r="D47" s="5" t="s">
        <x:v>88</x:v>
      </x:c>
      <x:c r="E47" s="5" t="s">
        <x:v>2028</x:v>
      </x:c>
      <x:c r="F47" s="5" t="s">
        <x:v>2029</x:v>
      </x:c>
      <x:c r="G47" s="5" t="s">
        <x:v>2030</x:v>
      </x:c>
      <x:c r="H47" s="303" t="str">
        <x:v>暂时测不了</x:v>
      </x:c>
      <x:c r="I47" s="303" t="str">
        <x:v>第十轮：缺本组合独立规则版本、已核验主体和可执行设备回执链；自动服务隔离测试已通过，但未将单个条件分支扩记为自动/手动整链通过。 本项步骤：单独批次跑F14，记录短信送达后的观察时间。
留证：短信送达、观察时间、阶段</x:v>
      </x:c>
      <x:c r="J47" s="303" t="str">
        <x:v>第十轮报告；本轮隔离回归日志（不等于整行联测通过）</x:v>
      </x:c>
      <x:c r="K47" s="303" t="str">
        <x:v>Codex</x:v>
      </x:c>
      <x:c r="L47" s="327" t="str">
        <x:v>2026-09-28</x:v>
      </x:c>
      <x:c r="M47" s="17" t="str">
        <x:f t="shared" si="0"/>
        <x:v>暂时测不了</x:v>
      </x:c>
    </x:row>
    <x:row r="48" ht="160" customHeight="1">
      <x:c r="A48" s="4" t="s">
        <x:v>2031</x:v>
      </x:c>
      <x:c r="B48" s="4" t="s">
        <x:v>1809</x:v>
      </x:c>
      <x:c r="C48" s="4" t="s">
        <x:v>2032</x:v>
      </x:c>
      <x:c r="D48" s="4" t="s">
        <x:v>88</x:v>
      </x:c>
      <x:c r="E48" s="4" t="s">
        <x:v>2033</x:v>
      </x:c>
      <x:c r="F48" s="4" t="s">
        <x:v>2034</x:v>
      </x:c>
      <x:c r="G48" s="4" t="s">
        <x:v>2035</x:v>
      </x:c>
      <x:c r="H48" s="303" t="str">
        <x:v>暂时测不了</x:v>
      </x:c>
      <x:c r="I48" s="303" t="str">
        <x:v>第十轮：缺本组合独立规则版本、已核验主体和可执行设备回执链；自动服务隔离测试已通过，但未将单个条件分支扩记为自动/手动整链通过。 本项步骤：关闭核实类启用规则并回读，输入新批次。
留证：配置版本、生效时刻、核实历史</x:v>
      </x:c>
      <x:c r="J48" s="303" t="str">
        <x:v>第十轮报告；本轮隔离回归日志（不等于整行联测通过）</x:v>
      </x:c>
      <x:c r="K48" s="303" t="str">
        <x:v>Codex</x:v>
      </x:c>
      <x:c r="L48" s="327" t="str">
        <x:v>2026-09-28</x:v>
      </x:c>
      <x:c r="M48" s="17" t="str">
        <x:f t="shared" si="0"/>
        <x:v>暂时测不了</x:v>
      </x:c>
    </x:row>
    <x:row r="49" ht="160" customHeight="1">
      <x:c r="A49" s="5" t="s">
        <x:v>2036</x:v>
      </x:c>
      <x:c r="B49" s="5" t="s">
        <x:v>1809</x:v>
      </x:c>
      <x:c r="C49" s="5" t="s">
        <x:v>2032</x:v>
      </x:c>
      <x:c r="D49" s="5" t="s">
        <x:v>88</x:v>
      </x:c>
      <x:c r="E49" s="5" t="s">
        <x:v>2037</x:v>
      </x:c>
      <x:c r="F49" s="5" t="s">
        <x:v>2038</x:v>
      </x:c>
      <x:c r="G49" s="5" t="s">
        <x:v>2039</x:v>
      </x:c>
      <x:c r="H49" s="303" t="str">
        <x:v>暂时测不了</x:v>
      </x:c>
      <x:c r="I49" s="303" t="str">
        <x:v>第十轮：缺本组合独立规则版本、已核验主体和可执行设备回执链；自动服务隔离测试已通过，但未将单个条件分支扩记为自动/手动整链通过。 本项步骤：关闭反制类规则，记录保存与实际下发时刻。
留证：配置、队列、下发、授权四个时间</x:v>
      </x:c>
      <x:c r="J49" s="303" t="str">
        <x:v>第十轮报告；本轮隔离回归日志（不等于整行联测通过）</x:v>
      </x:c>
      <x:c r="K49" s="303" t="str">
        <x:v>Codex</x:v>
      </x:c>
      <x:c r="L49" s="327" t="str">
        <x:v>2026-09-28</x:v>
      </x:c>
      <x:c r="M49" s="17" t="str">
        <x:f t="shared" si="0"/>
        <x:v>暂时测不了</x:v>
      </x:c>
    </x:row>
    <x:row r="50" ht="160" customHeight="1">
      <x:c r="A50" s="4" t="s">
        <x:v>2040</x:v>
      </x:c>
      <x:c r="B50" s="4" t="s">
        <x:v>1809</x:v>
      </x:c>
      <x:c r="C50" s="4" t="s">
        <x:v>2032</x:v>
      </x:c>
      <x:c r="D50" s="4" t="s">
        <x:v>88</x:v>
      </x:c>
      <x:c r="E50" s="4" t="s">
        <x:v>2041</x:v>
      </x:c>
      <x:c r="F50" s="4" t="s">
        <x:v>2042</x:v>
      </x:c>
      <x:c r="G50" s="4" t="s">
        <x:v>2043</x:v>
      </x:c>
      <x:c r="H50" s="303" t="str">
        <x:v>暂时测不了</x:v>
      </x:c>
      <x:c r="I50" s="303" t="str">
        <x:v>第十轮：缺本组合独立规则版本、已核验主体和可执行设备回执链；自动服务隔离测试已通过，但未将单个条件分支扩记为自动/手动整链通过。 本项步骤：停用通知处罚规则，回读后等待，再人工接手。
留证：配置版本、提交时间、投递次数</x:v>
      </x:c>
      <x:c r="J50" s="303" t="str">
        <x:v>第十轮报告；本轮隔离回归日志（不等于整行联测通过）</x:v>
      </x:c>
      <x:c r="K50" s="303" t="str">
        <x:v>Codex</x:v>
      </x:c>
      <x:c r="L50" s="327" t="str">
        <x:v>2026-09-28</x:v>
      </x:c>
      <x:c r="M50" s="17" t="str">
        <x:f t="shared" si="0"/>
        <x:v>暂时测不了</x:v>
      </x:c>
    </x:row>
    <x:row r="51" ht="160" customHeight="1">
      <x:c r="A51" s="5" t="s">
        <x:v>2044</x:v>
      </x:c>
      <x:c r="B51" s="5" t="s">
        <x:v>1816</x:v>
      </x:c>
      <x:c r="C51" s="5" t="s">
        <x:v>2045</x:v>
      </x:c>
      <x:c r="D51" s="5" t="s">
        <x:v>94</x:v>
      </x:c>
      <x:c r="E51" s="5" t="s">
        <x:v>2046</x:v>
      </x:c>
      <x:c r="F51" s="5" t="s">
        <x:v>2047</x:v>
      </x:c>
      <x:c r="G51" s="5" t="s">
        <x:v>2048</x:v>
      </x:c>
      <x:c r="H51" s="303" t="str">
        <x:v>暂时测不了</x:v>
      </x:c>
      <x:c r="I51" s="303" t="str">
        <x:v>第十轮：缺本组合独立规则版本、已核验主体和可执行设备回执链；自动服务隔离测试已通过，但未将单个条件分支扩记为自动/手动整链通过。 本项步骤：重复采集至少20次上报、接收、入库、告警、页面出现时刻。
留证：负载说明、时间样本、分段结果</x:v>
      </x:c>
      <x:c r="J51" s="303" t="str">
        <x:v>第十轮报告；本轮隔离回归日志（不等于整行联测通过）</x:v>
      </x:c>
      <x:c r="K51" s="303" t="str">
        <x:v>Codex</x:v>
      </x:c>
      <x:c r="L51" s="327" t="str">
        <x:v>2026-09-28</x:v>
      </x:c>
      <x:c r="M51" s="17" t="str">
        <x:f t="shared" si="0"/>
        <x:v>暂时测不了</x:v>
      </x:c>
    </x:row>
    <x:row r="52" ht="160" customHeight="1">
      <x:c r="A52" s="4" t="s">
        <x:v>2049</x:v>
      </x:c>
      <x:c r="B52" s="4" t="s">
        <x:v>1816</x:v>
      </x:c>
      <x:c r="C52" s="4" t="s">
        <x:v>2045</x:v>
      </x:c>
      <x:c r="D52" s="4" t="s">
        <x:v>94</x:v>
      </x:c>
      <x:c r="E52" s="4" t="s">
        <x:v>2050</x:v>
      </x:c>
      <x:c r="F52" s="4" t="s">
        <x:v>2051</x:v>
      </x:c>
      <x:c r="G52" s="4" t="s">
        <x:v>2052</x:v>
      </x:c>
      <x:c r="H52" s="303" t="str">
        <x:v>暂时测不了</x:v>
      </x:c>
      <x:c r="I52" s="303" t="str">
        <x:v>第十轮：缺本组合独立规则版本、已核验主体和可执行设备回执链；自动服务隔离测试已通过，但未将单个条件分支扩记为自动/手动整链通过。 本项步骤：阶梯增加负载，检查地图、列表、告警、回执通道与停止操作。
留证：负载、时延、错误、资源记录</x:v>
      </x:c>
      <x:c r="J52" s="303" t="str">
        <x:v>第十轮报告；本轮隔离回归日志（不等于整行联测通过）</x:v>
      </x:c>
      <x:c r="K52" s="303" t="str">
        <x:v>Codex</x:v>
      </x:c>
      <x:c r="L52" s="327" t="str">
        <x:v>2026-09-28</x:v>
      </x:c>
      <x:c r="M52" s="17" t="str">
        <x:f t="shared" si="0"/>
        <x:v>暂时测不了</x:v>
      </x:c>
    </x:row>
    <x:row r="53" ht="160" customHeight="1">
      <x:c r="A53" s="5" t="s">
        <x:v>2053</x:v>
      </x:c>
      <x:c r="B53" s="5" t="s">
        <x:v>1816</x:v>
      </x:c>
      <x:c r="C53" s="5" t="s">
        <x:v>2045</x:v>
      </x:c>
      <x:c r="D53" s="5" t="s">
        <x:v>94</x:v>
      </x:c>
      <x:c r="E53" s="5" t="s">
        <x:v>2054</x:v>
      </x:c>
      <x:c r="F53" s="5" t="s">
        <x:v>2055</x:v>
      </x:c>
      <x:c r="G53" s="5" t="s">
        <x:v>2056</x:v>
      </x:c>
      <x:c r="H53" s="303" t="str">
        <x:v>暂时测不了</x:v>
      </x:c>
      <x:c r="I53" s="303" t="str">
        <x:v>第十轮：缺本组合独立规则版本、已核验主体和可执行设备回执链；自动服务隔离测试已通过，但未将单个条件分支扩记为自动/手动整链通过。 本项步骤：测页面提交到受理、受理到执行结果、结果到页面更新。
留证：命令ID、三段时间、最终结果</x:v>
      </x:c>
      <x:c r="J53" s="303" t="str">
        <x:v>第十轮报告；本轮隔离回归日志（不等于整行联测通过）</x:v>
      </x:c>
      <x:c r="K53" s="303" t="str">
        <x:v>Codex</x:v>
      </x:c>
      <x:c r="L53" s="327" t="str">
        <x:v>2026-09-28</x:v>
      </x:c>
      <x:c r="M53" s="17" t="str">
        <x:f t="shared" si="0"/>
        <x:v>暂时测不了</x:v>
      </x:c>
    </x:row>
  </x:sheetData>
  <x:mergeCells>
    <x:mergeCell ref="A3:M3"/>
    <x:mergeCell ref="A4:M4"/>
  </x:mergeCells>
  <x:conditionalFormatting sqref="H6:H53">
    <x:cfRule type="cellIs" dxfId="3" priority="1" operator="equal">
      <x:formula>"通过"</x:formula>
    </x:cfRule>
    <x:cfRule type="cellIs" dxfId="0" priority="2" operator="equal">
      <x:formula>"有问题"</x:formula>
    </x:cfRule>
    <x:cfRule type="cellIs" dxfId="4" priority="3" operator="equal">
      <x:formula>"暂时测不了"</x:formula>
    </x:cfRule>
    <x:cfRule type="cellIs" dxfId="2" priority="4" operator="equal">
      <x:formula>"还没测"</x:formula>
    </x:cfRule>
    <x:cfRule type="cellIs" dxfId="4" priority="5" operator="equal">
      <x:formula>"待补证据"</x:formula>
    </x:cfRule>
    <x:cfRule type="cellIs" dxfId="7" priority="6" operator="equal">
      <x:formula>"进行中"</x:formula>
    </x:cfRule>
  </x:conditionalFormatting>
  <x:conditionalFormatting sqref="M6:M53">
    <x:cfRule type="cellIs" dxfId="3" priority="7" operator="equal">
      <x:formula>"通过"</x:formula>
    </x:cfRule>
    <x:cfRule type="cellIs" dxfId="0" priority="8" operator="equal">
      <x:formula>"有问题"</x:formula>
    </x:cfRule>
    <x:cfRule type="cellIs" dxfId="4" priority="9" operator="equal">
      <x:formula>"暂时测不了"</x:formula>
    </x:cfRule>
    <x:cfRule type="cellIs" dxfId="2" priority="10" operator="equal">
      <x:formula>"还没测"</x:formula>
    </x:cfRule>
    <x:cfRule type="cellIs" dxfId="4" priority="11" operator="equal">
      <x:formula>"待补证据"</x:formula>
    </x:cfRule>
    <x:cfRule type="cellIs" dxfId="7" priority="12" operator="equal">
      <x:formula>"进行中"</x:formula>
    </x:cfRule>
  </x:conditionalFormatting>
  <x:dataValidations count="1">
    <x:dataValidation type="list" sqref="H6:H53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4786432003483d"/>
  </x:tableParts>
</x:worksheet>
</file>

<file path=xl/worksheets/sheet10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1" width="12" customWidth="1"/>
    <x:col min="2" max="2" width="24" customWidth="1"/>
    <x:col min="3" max="3" width="17" customWidth="1"/>
    <x:col min="4" max="4" width="34" customWidth="1"/>
    <x:col min="5" max="5" width="62" customWidth="1"/>
    <x:col min="6" max="6" width="67" customWidth="1"/>
    <x:col min="7" max="7" width="45" customWidth="1"/>
    <x:col min="8" max="8" width="16" customWidth="1"/>
    <x:col min="9" max="10" width="40" customWidth="1"/>
    <x:col min="11" max="11" width="18" customWidth="1"/>
    <x:col min="12" max="12" width="16" customWidth="1"/>
    <x:col min="13" max="13" width="19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32" customHeight="1">
      <x:c r="A2" s="16" t="s">
        <x:v>2057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3" ht="38" customHeight="1">
      <x:c r="A3" s="17" t="s">
        <x:v>2058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</x:row>
    <x:row r="4" ht="38" customHeight="1">
      <x:c r="A4" s="17" t="s">
        <x:v>2059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 ht="34" customHeight="1">
      <x:c r="A5" s="18" t="s">
        <x:v>78</x:v>
      </x:c>
      <x:c r="B5" s="18" t="s">
        <x:v>9</x:v>
      </x:c>
      <x:c r="C5" s="18" t="s">
        <x:v>79</x:v>
      </x:c>
      <x:c r="D5" s="18" t="s">
        <x:v>2060</x:v>
      </x:c>
      <x:c r="E5" s="18" t="s">
        <x:v>2061</x:v>
      </x:c>
      <x:c r="F5" s="18" t="s">
        <x:v>81</x:v>
      </x:c>
      <x:c r="G5" s="18" t="s">
        <x:v>2062</x:v>
      </x:c>
      <x:c r="H5" s="18" t="s">
        <x:v>82</x:v>
      </x:c>
      <x:c r="I5" s="18" t="s">
        <x:v>2063</x:v>
      </x:c>
      <x:c r="J5" s="18" t="s">
        <x:v>2064</x:v>
      </x:c>
      <x:c r="K5" s="18" t="s">
        <x:v>84</x:v>
      </x:c>
      <x:c r="L5" s="18" t="s">
        <x:v>85</x:v>
      </x:c>
      <x:c r="M5" s="18" t="s">
        <x:v>1845</x:v>
      </x:c>
    </x:row>
    <x:row r="6" ht="160" customHeight="1">
      <x:c r="A6" s="19" t="s">
        <x:v>2065</x:v>
      </x:c>
      <x:c r="B6" s="19" t="s">
        <x:v>2066</x:v>
      </x:c>
      <x:c r="C6" s="19" t="s">
        <x:v>88</x:v>
      </x:c>
      <x:c r="D6" s="5" t="s">
        <x:v>2067</x:v>
      </x:c>
      <x:c r="E6" s="5" t="s">
        <x:v>2068</x:v>
      </x:c>
      <x:c r="F6" s="5" t="s">
        <x:v>2069</x:v>
      </x:c>
      <x:c r="G6" s="5" t="s">
        <x:v>2070</x:v>
      </x:c>
      <x:c r="H6" s="303" t="str">
        <x:v>暂时测不了</x:v>
      </x:c>
      <x:c r="I6" s="303" t="str">
        <x:v>第十轮：当前仅持有管理员既有会话；新管理端登录使用所提供口令被拒绝，其他角色/首次改密账号无可用登录。不能以管理员代替多角色、撤权或首次改密页面验收。 本项步骤：只进入获准页面；直接地址和接口也不能绕过。</x:v>
      </x:c>
      <x:c r="J6" s="303" t="str">
        <x:v>第十轮报告；本轮隔离回归日志（不等于整行联测通过）</x:v>
      </x:c>
      <x:c r="K6" s="303" t="str">
        <x:v>Codex</x:v>
      </x:c>
      <x:c r="L6" s="327" t="str">
        <x:v>2026-09-28</x:v>
      </x:c>
      <x:c r="M6" s="17" t="str">
        <x:f t="shared" ref="M6:M69" si="0">IF(H6="通过",IF(COUNTBLANK(I6:L6)=0,"记录齐全","待补证据"),H6)</x:f>
        <x:v>暂时测不了</x:v>
      </x:c>
    </x:row>
    <x:row r="7" ht="160" customHeight="1">
      <x:c r="A7" s="19" t="s">
        <x:v>2071</x:v>
      </x:c>
      <x:c r="B7" s="19" t="s">
        <x:v>2066</x:v>
      </x:c>
      <x:c r="C7" s="19" t="s">
        <x:v>88</x:v>
      </x:c>
      <x:c r="D7" s="5" t="s">
        <x:v>2072</x:v>
      </x:c>
      <x:c r="E7" s="5" t="s">
        <x:v>2073</x:v>
      </x:c>
      <x:c r="F7" s="5" t="s">
        <x:v>2074</x:v>
      </x:c>
      <x:c r="G7" s="5" t="s">
        <x:v>2075</x:v>
      </x:c>
      <x:c r="H7" s="303" t="str">
        <x:v>暂时测不了</x:v>
      </x:c>
      <x:c r="I7" s="303" t="str">
        <x:v>第十轮：当前仅持有管理员既有会话；新管理端登录使用所提供口令被拒绝，其他角色/首次改密账号无可用登录。不能以管理员代替多角色、撤权或首次改密页面验收。 本项步骤：可读资料但不能写入；不能只靠隐藏按钮保护。</x:v>
      </x:c>
      <x:c r="J7" s="303" t="str">
        <x:v>第十轮报告；本轮隔离回归日志（不等于整行联测通过）</x:v>
      </x:c>
      <x:c r="K7" s="303" t="str">
        <x:v>Codex</x:v>
      </x:c>
      <x:c r="L7" s="327" t="str">
        <x:v>2026-09-28</x:v>
      </x:c>
      <x:c r="M7" s="17" t="str">
        <x:f t="shared" si="0"/>
        <x:v>暂时测不了</x:v>
      </x:c>
    </x:row>
    <x:row r="8" ht="160" customHeight="1">
      <x:c r="A8" s="19" t="s">
        <x:v>2076</x:v>
      </x:c>
      <x:c r="B8" s="19" t="s">
        <x:v>2066</x:v>
      </x:c>
      <x:c r="C8" s="19" t="s">
        <x:v>88</x:v>
      </x:c>
      <x:c r="D8" s="5" t="s">
        <x:v>2077</x:v>
      </x:c>
      <x:c r="E8" s="5" t="s">
        <x:v>2078</x:v>
      </x:c>
      <x:c r="F8" s="5" t="s">
        <x:v>2079</x:v>
      </x:c>
      <x:c r="G8" s="5" t="s">
        <x:v>2080</x:v>
      </x:c>
      <x:c r="H8" s="303" t="str">
        <x:v>暂时测不了</x:v>
      </x:c>
      <x:c r="I8" s="303" t="str">
        <x:v>第十轮：当前仅持有管理员既有会话；新管理端登录使用所提供口令被拒绝，其他角色/首次改密账号无可用登录。不能以管理员代替多角色、撤权或首次改密页面验收。 本项步骤：设备操作不自动获得接入配置管理；能看连接不等于能修改。</x:v>
      </x:c>
      <x:c r="J8" s="303" t="str">
        <x:v>第十轮报告；本轮隔离回归日志（不等于整行联测通过）</x:v>
      </x:c>
      <x:c r="K8" s="303" t="str">
        <x:v>Codex</x:v>
      </x:c>
      <x:c r="L8" s="327" t="str">
        <x:v>2026-09-28</x:v>
      </x:c>
      <x:c r="M8" s="17" t="str">
        <x:f t="shared" si="0"/>
        <x:v>暂时测不了</x:v>
      </x:c>
    </x:row>
    <x:row r="9" ht="160" customHeight="1">
      <x:c r="A9" s="19" t="s">
        <x:v>2081</x:v>
      </x:c>
      <x:c r="B9" s="19" t="s">
        <x:v>2066</x:v>
      </x:c>
      <x:c r="C9" s="19" t="s">
        <x:v>88</x:v>
      </x:c>
      <x:c r="D9" s="5" t="s">
        <x:v>2082</x:v>
      </x:c>
      <x:c r="E9" s="5" t="s">
        <x:v>2083</x:v>
      </x:c>
      <x:c r="F9" s="5" t="s">
        <x:v>2084</x:v>
      </x:c>
      <x:c r="G9" s="5" t="s">
        <x:v>2085</x:v>
      </x:c>
      <x:c r="H9" s="303" t="str">
        <x:v>暂时测不了</x:v>
      </x:c>
      <x:c r="I9" s="303" t="str">
        <x:v>第十轮：当前仅持有管理员既有会话；新管理端登录使用所提供口令被拒绝，其他角色/首次改密账号无可用登录。不能以管理员代替多角色、撤权或首次改密页面验收。 本项步骤：列表、详情、操作和未读数均不泄露范围外资料。</x:v>
      </x:c>
      <x:c r="J9" s="303" t="str">
        <x:v>第十轮报告；本轮隔离回归日志（不等于整行联测通过）</x:v>
      </x:c>
      <x:c r="K9" s="303" t="str">
        <x:v>Codex</x:v>
      </x:c>
      <x:c r="L9" s="327" t="str">
        <x:v>2026-09-28</x:v>
      </x:c>
      <x:c r="M9" s="17" t="str">
        <x:f t="shared" si="0"/>
        <x:v>暂时测不了</x:v>
      </x:c>
    </x:row>
    <x:row r="10" ht="160" customHeight="1">
      <x:c r="A10" s="19" t="s">
        <x:v>2086</x:v>
      </x:c>
      <x:c r="B10" s="19" t="s">
        <x:v>2066</x:v>
      </x:c>
      <x:c r="C10" s="19" t="s">
        <x:v>88</x:v>
      </x:c>
      <x:c r="D10" s="5" t="s">
        <x:v>2087</x:v>
      </x:c>
      <x:c r="E10" s="5" t="s">
        <x:v>2088</x:v>
      </x:c>
      <x:c r="F10" s="5" t="s">
        <x:v>2089</x:v>
      </x:c>
      <x:c r="G10" s="5" t="s">
        <x:v>2090</x:v>
      </x:c>
      <x:c r="H10" s="303" t="str">
        <x:v>暂时测不了</x:v>
      </x:c>
      <x:c r="I10" s="303" t="str">
        <x:v>第十轮：当前仅持有管理员既有会话；新管理端登录使用所提供口令被拒绝，其他角色/首次改密账号无可用登录。不能以管理员代替多角色、撤权或首次改密页面验收。 本项步骤：重新检查当前权限，不靠旧页面继续操作；不清除已有历史。</x:v>
      </x:c>
      <x:c r="J10" s="303" t="str">
        <x:v>第十轮报告；本轮隔离回归日志（不等于整行联测通过）</x:v>
      </x:c>
      <x:c r="K10" s="303" t="str">
        <x:v>Codex</x:v>
      </x:c>
      <x:c r="L10" s="327" t="str">
        <x:v>2026-09-28</x:v>
      </x:c>
      <x:c r="M10" s="17" t="str">
        <x:f t="shared" si="0"/>
        <x:v>暂时测不了</x:v>
      </x:c>
    </x:row>
    <x:row r="11" ht="160" customHeight="1">
      <x:c r="A11" s="19" t="s">
        <x:v>2091</x:v>
      </x:c>
      <x:c r="B11" s="19" t="s">
        <x:v>2066</x:v>
      </x:c>
      <x:c r="C11" s="19" t="s">
        <x:v>94</x:v>
      </x:c>
      <x:c r="D11" s="5" t="s">
        <x:v>2092</x:v>
      </x:c>
      <x:c r="E11" s="5" t="s">
        <x:v>2093</x:v>
      </x:c>
      <x:c r="F11" s="5" t="s">
        <x:v>2094</x:v>
      </x:c>
      <x:c r="G11" s="5" t="s">
        <x:v>2095</x:v>
      </x:c>
      <x:c r="H11" s="303" t="str">
        <x:v>暂时测不了</x:v>
      </x:c>
      <x:c r="I11" s="303" t="str">
        <x:v>第十轮：当前仅持有管理员既有会话；新管理端登录使用所提供口令被拒绝，其他角色/首次改密账号无可用登录。不能以管理员代替多角色、撤权或首次改密页面验收。 本项步骤：无权者连接信息脱敏；错误日志和页面不显示密码或凭据值。</x:v>
      </x:c>
      <x:c r="J11" s="303" t="str">
        <x:v>第十轮报告；本轮隔离回归日志（不等于整行联测通过）</x:v>
      </x:c>
      <x:c r="K11" s="303" t="str">
        <x:v>Codex</x:v>
      </x:c>
      <x:c r="L11" s="327" t="str">
        <x:v>2026-09-28</x:v>
      </x:c>
      <x:c r="M11" s="17" t="str">
        <x:f t="shared" si="0"/>
        <x:v>暂时测不了</x:v>
      </x:c>
    </x:row>
    <x:row r="12" ht="130" customHeight="1">
      <x:c r="A12" s="22" t="s">
        <x:v>2096</x:v>
      </x:c>
      <x:c r="B12" s="22" t="s">
        <x:v>2097</x:v>
      </x:c>
      <x:c r="C12" s="22" t="s">
        <x:v>88</x:v>
      </x:c>
      <x:c r="D12" s="23" t="s">
        <x:v>2098</x:v>
      </x:c>
      <x:c r="E12" s="23" t="s">
        <x:v>2099</x:v>
      </x:c>
      <x:c r="F12" s="23" t="s">
        <x:v>2100</x:v>
      </x:c>
      <x:c r="G12" s="23" t="s">
        <x:v>2101</x:v>
      </x:c>
      <x:c r="H12" s="20" t="s">
        <x:v>11</x:v>
      </x:c>
      <x:c r="I12" s="20" t="s">
        <x:v>2102</x:v>
      </x:c>
      <x:c r="J12" s="20" t="s">
        <x:v>2103</x:v>
      </x:c>
      <x:c r="K12" s="20" t="s">
        <x:v>92</x:v>
      </x:c>
      <x:c r="L12" s="21">
        <x:v>46292</x:v>
      </x:c>
      <x:c r="M12" s="17" t="str">
        <x:f t="shared" si="0"/>
        <x:v>记录齐全</x:v>
      </x:c>
    </x:row>
    <x:row r="13" ht="130" customHeight="1">
      <x:c r="A13" s="22" t="s">
        <x:v>2104</x:v>
      </x:c>
      <x:c r="B13" s="22" t="s">
        <x:v>2097</x:v>
      </x:c>
      <x:c r="C13" s="22" t="s">
        <x:v>94</x:v>
      </x:c>
      <x:c r="D13" s="23" t="s">
        <x:v>2105</x:v>
      </x:c>
      <x:c r="E13" s="23" t="s">
        <x:v>2106</x:v>
      </x:c>
      <x:c r="F13" s="23" t="s">
        <x:v>2107</x:v>
      </x:c>
      <x:c r="G13" s="23" t="s">
        <x:v>2108</x:v>
      </x:c>
      <x:c r="H13" s="20" t="s">
        <x:v>11</x:v>
      </x:c>
      <x:c r="I13" s="20" t="s">
        <x:v>2109</x:v>
      </x:c>
      <x:c r="J13" s="20" t="s">
        <x:v>2110</x:v>
      </x:c>
      <x:c r="K13" s="20" t="s">
        <x:v>92</x:v>
      </x:c>
      <x:c r="L13" s="21">
        <x:v>46292</x:v>
      </x:c>
      <x:c r="M13" s="17" t="str">
        <x:f t="shared" si="0"/>
        <x:v>记录齐全</x:v>
      </x:c>
    </x:row>
    <x:row r="14" ht="130" customHeight="1">
      <x:c r="A14" s="22" t="s">
        <x:v>2111</x:v>
      </x:c>
      <x:c r="B14" s="22" t="s">
        <x:v>2097</x:v>
      </x:c>
      <x:c r="C14" s="22" t="s">
        <x:v>88</x:v>
      </x:c>
      <x:c r="D14" s="23" t="s">
        <x:v>2112</x:v>
      </x:c>
      <x:c r="E14" s="23" t="s">
        <x:v>2113</x:v>
      </x:c>
      <x:c r="F14" s="23" t="s">
        <x:v>2114</x:v>
      </x:c>
      <x:c r="G14" s="23" t="s">
        <x:v>2115</x:v>
      </x:c>
      <x:c r="H14" s="20" t="s">
        <x:v>11</x:v>
      </x:c>
      <x:c r="I14" s="20" t="s">
        <x:v>2116</x:v>
      </x:c>
      <x:c r="J14" s="20" t="s">
        <x:v>2117</x:v>
      </x:c>
      <x:c r="K14" s="20" t="s">
        <x:v>92</x:v>
      </x:c>
      <x:c r="L14" s="21">
        <x:v>46292</x:v>
      </x:c>
      <x:c r="M14" s="17" t="str">
        <x:f t="shared" si="0"/>
        <x:v>记录齐全</x:v>
      </x:c>
    </x:row>
    <x:row r="15" ht="130" customHeight="1">
      <x:c r="A15" s="22" t="s">
        <x:v>2118</x:v>
      </x:c>
      <x:c r="B15" s="22" t="s">
        <x:v>2097</x:v>
      </x:c>
      <x:c r="C15" s="22" t="s">
        <x:v>88</x:v>
      </x:c>
      <x:c r="D15" s="23" t="s">
        <x:v>2119</x:v>
      </x:c>
      <x:c r="E15" s="23" t="s">
        <x:v>2120</x:v>
      </x:c>
      <x:c r="F15" s="23" t="s">
        <x:v>2121</x:v>
      </x:c>
      <x:c r="G15" s="23" t="s">
        <x:v>2122</x:v>
      </x:c>
      <x:c r="H15" s="20" t="s">
        <x:v>11</x:v>
      </x:c>
      <x:c r="I15" s="20" t="s">
        <x:v>2123</x:v>
      </x:c>
      <x:c r="J15" s="20" t="s">
        <x:v>2124</x:v>
      </x:c>
      <x:c r="K15" s="20" t="s">
        <x:v>92</x:v>
      </x:c>
      <x:c r="L15" s="21">
        <x:v>46292</x:v>
      </x:c>
      <x:c r="M15" s="17" t="str">
        <x:f t="shared" si="0"/>
        <x:v>记录齐全</x:v>
      </x:c>
    </x:row>
    <x:row r="16" ht="160" customHeight="1">
      <x:c r="A16" s="22" t="s">
        <x:v>2125</x:v>
      </x:c>
      <x:c r="B16" s="22" t="s">
        <x:v>2097</x:v>
      </x:c>
      <x:c r="C16" s="22" t="s">
        <x:v>94</x:v>
      </x:c>
      <x:c r="D16" s="23" t="s">
        <x:v>2126</x:v>
      </x:c>
      <x:c r="E16" s="23" t="s">
        <x:v>2127</x:v>
      </x:c>
      <x:c r="F16" s="23" t="s">
        <x:v>2128</x:v>
      </x:c>
      <x:c r="G16" s="23" t="s">
        <x:v>2129</x:v>
      </x:c>
      <x:c r="H16" s="303" t="str">
        <x:v>暂时测不了</x:v>
      </x:c>
      <x:c r="I16" s="303" t="str">
        <x:v>第十轮：缺符合本行全部边界条件的独立计划/天气/空间/多来源真值样本；现有无计划UAV与鸟类回放只覆盖部分，未伪造判定、边界或历史材料。 本项步骤：自动带入匹配通道；不能带入其他范围或停用通道。</x:v>
      </x:c>
      <x:c r="J16" s="303" t="str">
        <x:v>第十轮报告；本轮隔离回归日志（不等于整行联测通过）</x:v>
      </x:c>
      <x:c r="K16" s="303" t="str">
        <x:v>Codex</x:v>
      </x:c>
      <x:c r="L16" s="327" t="str">
        <x:v>2026-09-28</x:v>
      </x:c>
      <x:c r="M16" s="17" t="str">
        <x:f t="shared" si="0"/>
        <x:v>暂时测不了</x:v>
      </x:c>
    </x:row>
    <x:row r="17" ht="160" customHeight="1">
      <x:c r="A17" s="22" t="s">
        <x:v>2130</x:v>
      </x:c>
      <x:c r="B17" s="22" t="s">
        <x:v>2097</x:v>
      </x:c>
      <x:c r="C17" s="22" t="s">
        <x:v>88</x:v>
      </x:c>
      <x:c r="D17" s="23" t="s">
        <x:v>2131</x:v>
      </x:c>
      <x:c r="E17" s="23" t="s">
        <x:v>2132</x:v>
      </x:c>
      <x:c r="F17" s="23" t="s">
        <x:v>2133</x:v>
      </x:c>
      <x:c r="G17" s="23" t="s">
        <x:v>2134</x:v>
      </x:c>
      <x:c r="H17" s="303" t="str">
        <x:v>暂时测不了</x:v>
      </x:c>
      <x:c r="I17" s="303" t="str">
        <x:v>第十轮：缺符合本行全部边界条件的独立计划/天气/空间/多来源真值样本；现有无计划UAV与鸟类回放只覆盖部分，未伪造判定、边界或历史材料。 本项步骤：多个要求选择；没有则提示并阻止提交；不偷偷选replay通道。</x:v>
      </x:c>
      <x:c r="J17" s="303" t="str">
        <x:v>第十轮报告；本轮隔离回归日志（不等于整行联测通过）</x:v>
      </x:c>
      <x:c r="K17" s="303" t="str">
        <x:v>Codex</x:v>
      </x:c>
      <x:c r="L17" s="327" t="str">
        <x:v>2026-09-28</x:v>
      </x:c>
      <x:c r="M17" s="17" t="str">
        <x:f t="shared" si="0"/>
        <x:v>暂时测不了</x:v>
      </x:c>
    </x:row>
    <x:row r="18" ht="160" customHeight="1">
      <x:c r="A18" s="22" t="s">
        <x:v>2135</x:v>
      </x:c>
      <x:c r="B18" s="22" t="s">
        <x:v>2097</x:v>
      </x:c>
      <x:c r="C18" s="22" t="s">
        <x:v>88</x:v>
      </x:c>
      <x:c r="D18" s="23" t="s">
        <x:v>2136</x:v>
      </x:c>
      <x:c r="E18" s="23" t="s">
        <x:v>2137</x:v>
      </x:c>
      <x:c r="F18" s="23" t="s">
        <x:v>2138</x:v>
      </x:c>
      <x:c r="G18" s="23" t="s">
        <x:v>2139</x:v>
      </x:c>
      <x:c r="H18" s="303" t="str">
        <x:v>暂时测不了</x:v>
      </x:c>
      <x:c r="I18" s="303" t="str">
        <x:v>第十轮：缺符合本行全部边界条件的独立计划/天气/空间/多来源真值样本；现有无计划UAV与鸟类回放只覆盖部分，未伪造判定、边界或历史材料。 本项步骤：旧通道不继续提交；按乙范围重新匹配。</x:v>
      </x:c>
      <x:c r="J18" s="303" t="str">
        <x:v>第十轮报告；本轮隔离回归日志（不等于整行联测通过）</x:v>
      </x:c>
      <x:c r="K18" s="303" t="str">
        <x:v>Codex</x:v>
      </x:c>
      <x:c r="L18" s="327" t="str">
        <x:v>2026-09-28</x:v>
      </x:c>
      <x:c r="M18" s="17" t="str">
        <x:f t="shared" si="0"/>
        <x:v>暂时测不了</x:v>
      </x:c>
    </x:row>
    <x:row r="19" ht="130" customHeight="1">
      <x:c r="A19" s="22" t="s">
        <x:v>830</x:v>
      </x:c>
      <x:c r="B19" s="22" t="s">
        <x:v>2097</x:v>
      </x:c>
      <x:c r="C19" s="22" t="s">
        <x:v>88</x:v>
      </x:c>
      <x:c r="D19" s="23" t="s">
        <x:v>2140</x:v>
      </x:c>
      <x:c r="E19" s="23" t="s">
        <x:v>2141</x:v>
      </x:c>
      <x:c r="F19" s="23" t="s">
        <x:v>2142</x:v>
      </x:c>
      <x:c r="G19" s="23" t="s">
        <x:v>2143</x:v>
      </x:c>
      <x:c r="H19" s="20" t="s">
        <x:v>11</x:v>
      </x:c>
      <x:c r="I19" s="20" t="s">
        <x:v>2144</x:v>
      </x:c>
      <x:c r="J19" s="20" t="s">
        <x:v>2145</x:v>
      </x:c>
      <x:c r="K19" s="20" t="s">
        <x:v>92</x:v>
      </x:c>
      <x:c r="L19" s="21">
        <x:v>46293</x:v>
      </x:c>
      <x:c r="M19" s="17" t="str">
        <x:f t="shared" si="0"/>
        <x:v>记录齐全</x:v>
      </x:c>
    </x:row>
    <x:row r="20" ht="130" customHeight="1">
      <x:c r="A20" s="22" t="s">
        <x:v>2146</x:v>
      </x:c>
      <x:c r="B20" s="22" t="s">
        <x:v>2097</x:v>
      </x:c>
      <x:c r="C20" s="22" t="s">
        <x:v>94</x:v>
      </x:c>
      <x:c r="D20" s="23" t="s">
        <x:v>2147</x:v>
      </x:c>
      <x:c r="E20" s="23" t="s">
        <x:v>2148</x:v>
      </x:c>
      <x:c r="F20" s="23" t="s">
        <x:v>2149</x:v>
      </x:c>
      <x:c r="G20" s="23" t="s">
        <x:v>2150</x:v>
      </x:c>
      <x:c r="H20" s="20" t="s">
        <x:v>11</x:v>
      </x:c>
      <x:c r="I20" s="20" t="s">
        <x:v>2151</x:v>
      </x:c>
      <x:c r="J20" s="20" t="s">
        <x:v>2152</x:v>
      </x:c>
      <x:c r="K20" s="20" t="s">
        <x:v>92</x:v>
      </x:c>
      <x:c r="L20" s="21">
        <x:v>46292</x:v>
      </x:c>
      <x:c r="M20" s="17" t="str">
        <x:f t="shared" si="0"/>
        <x:v>记录齐全</x:v>
      </x:c>
    </x:row>
    <x:row r="21" ht="160" customHeight="1">
      <x:c r="A21" s="22" t="s">
        <x:v>2153</x:v>
      </x:c>
      <x:c r="B21" s="22" t="s">
        <x:v>2097</x:v>
      </x:c>
      <x:c r="C21" s="22" t="s">
        <x:v>88</x:v>
      </x:c>
      <x:c r="D21" s="23" t="s">
        <x:v>2154</x:v>
      </x:c>
      <x:c r="E21" s="23" t="s">
        <x:v>2155</x:v>
      </x:c>
      <x:c r="F21" s="23" t="s">
        <x:v>2156</x:v>
      </x:c>
      <x:c r="G21" s="23" t="s">
        <x:v>2157</x:v>
      </x:c>
      <x:c r="H21" s="303" t="str">
        <x:v>暂时测不了</x:v>
      </x:c>
      <x:c r="I21" s="303" t="str">
        <x:v>第十轮：缺符合本行全部边界条件的独立计划/天气/空间/多来源真值样本；现有无计划UAV与鸟类回放只覆盖部分，未伪造判定、边界或历史材料。 本项步骤：启停结果回读；旧版本拒绝覆盖，提示刷新；停用影响订阅或操作按协议生效。</x:v>
      </x:c>
      <x:c r="J21" s="303" t="str">
        <x:v>第十轮报告；本轮隔离回归日志（不等于整行联测通过）</x:v>
      </x:c>
      <x:c r="K21" s="303" t="str">
        <x:v>Codex</x:v>
      </x:c>
      <x:c r="L21" s="327" t="str">
        <x:v>2026-09-28</x:v>
      </x:c>
      <x:c r="M21" s="17" t="str">
        <x:f t="shared" si="0"/>
        <x:v>暂时测不了</x:v>
      </x:c>
    </x:row>
    <x:row r="22" ht="160" customHeight="1">
      <x:c r="A22" s="22" t="s">
        <x:v>2158</x:v>
      </x:c>
      <x:c r="B22" s="22" t="s">
        <x:v>2097</x:v>
      </x:c>
      <x:c r="C22" s="22" t="s">
        <x:v>94</x:v>
      </x:c>
      <x:c r="D22" s="23" t="s">
        <x:v>2159</x:v>
      </x:c>
      <x:c r="E22" s="23" t="s">
        <x:v>2160</x:v>
      </x:c>
      <x:c r="F22" s="23" t="s">
        <x:v>2161</x:v>
      </x:c>
      <x:c r="G22" s="23" t="s">
        <x:v>2162</x:v>
      </x:c>
      <x:c r="H22" s="303" t="str">
        <x:v>暂时测不了</x:v>
      </x:c>
      <x:c r="I22" s="303" t="str">
        <x:v>第十轮：缺符合本行全部边界条件的独立计划/天气/空间/多来源真值样本；现有无计划UAV与鸟类回放只覆盖部分，未伪造判定、边界或历史材料。 本项步骤：厂家标称资料与实际状态分开；不近似误配，切换不残留上一台资料。</x:v>
      </x:c>
      <x:c r="J22" s="303" t="str">
        <x:v>第十轮报告；本轮隔离回归日志（不等于整行联测通过）</x:v>
      </x:c>
      <x:c r="K22" s="303" t="str">
        <x:v>Codex</x:v>
      </x:c>
      <x:c r="L22" s="327" t="str">
        <x:v>2026-09-28</x:v>
      </x:c>
      <x:c r="M22" s="17" t="str">
        <x:f t="shared" si="0"/>
        <x:v>暂时测不了</x:v>
      </x:c>
    </x:row>
    <x:row r="23" ht="160" customHeight="1">
      <x:c r="A23" s="22" t="s">
        <x:v>2163</x:v>
      </x:c>
      <x:c r="B23" s="22" t="s">
        <x:v>2097</x:v>
      </x:c>
      <x:c r="C23" s="22" t="s">
        <x:v>88</x:v>
      </x:c>
      <x:c r="D23" s="23" t="s">
        <x:v>2164</x:v>
      </x:c>
      <x:c r="E23" s="23" t="s">
        <x:v>2165</x:v>
      </x:c>
      <x:c r="F23" s="23" t="s">
        <x:v>2166</x:v>
      </x:c>
      <x:c r="G23" s="23" t="s">
        <x:v>2167</x:v>
      </x:c>
      <x:c r="H23" s="303" t="str">
        <x:v>暂时测不了</x:v>
      </x:c>
      <x:c r="I23" s="303" t="str">
        <x:v>第十轮：缺符合本行全部边界条件的独立计划/天气/空间/多来源真值样本；现有无计划UAV与鸟类回放只覆盖部分，未伪造判定、边界或历史材料。 本项步骤：均按具体条件拒绝删除；不能让正在执行的设备从台账消失。</x:v>
      </x:c>
      <x:c r="J23" s="303" t="str">
        <x:v>第十轮报告；本轮隔离回归日志（不等于整行联测通过）</x:v>
      </x:c>
      <x:c r="K23" s="303" t="str">
        <x:v>Codex</x:v>
      </x:c>
      <x:c r="L23" s="327" t="str">
        <x:v>2026-09-28</x:v>
      </x:c>
      <x:c r="M23" s="17" t="str">
        <x:f t="shared" si="0"/>
        <x:v>暂时测不了</x:v>
      </x:c>
    </x:row>
    <x:row r="24" ht="160" customHeight="1">
      <x:c r="A24" s="22" t="s">
        <x:v>2168</x:v>
      </x:c>
      <x:c r="B24" s="22" t="s">
        <x:v>2097</x:v>
      </x:c>
      <x:c r="C24" s="22" t="s">
        <x:v>88</x:v>
      </x:c>
      <x:c r="D24" s="23" t="s">
        <x:v>2169</x:v>
      </x:c>
      <x:c r="E24" s="23" t="s">
        <x:v>2170</x:v>
      </x:c>
      <x:c r="F24" s="23" t="s">
        <x:v>2171</x:v>
      </x:c>
      <x:c r="G24" s="23" t="s">
        <x:v>2172</x:v>
      </x:c>
      <x:c r="H24" s="303" t="str">
        <x:v>通过</x:v>
      </x:c>
      <x:c r="I24" s="303" t="str">
        <x:v>第十轮：已退役身份再次登记改为409 DEVICE_IDENTITY_CONFLICT，事务不遗留来源/设备；H2与PostgreSQL真实约束均通过，结合前轮删除及历史保留实测。</x:v>
      </x:c>
      <x:c r="J24" s="303" t="str">
        <x:v>MqttIngressTest；mqtt-workstate-postgres.log；BUG-013已修复</x:v>
      </x:c>
      <x:c r="K24" s="303" t="str">
        <x:v>Codex</x:v>
      </x:c>
      <x:c r="L24" s="327" t="str">
        <x:v>2026-09-28</x:v>
      </x:c>
      <x:c r="M24" s="17" t="str">
        <x:f t="shared" si="0"/>
        <x:v>有问题</x:v>
      </x:c>
    </x:row>
    <x:row r="25" ht="160" customHeight="1">
      <x:c r="A25" s="22" t="s">
        <x:v>2173</x:v>
      </x:c>
      <x:c r="B25" s="22" t="s">
        <x:v>2097</x:v>
      </x:c>
      <x:c r="C25" s="22" t="s">
        <x:v>94</x:v>
      </x:c>
      <x:c r="D25" s="23" t="s">
        <x:v>2174</x:v>
      </x:c>
      <x:c r="E25" s="23" t="s">
        <x:v>2175</x:v>
      </x:c>
      <x:c r="F25" s="23" t="s">
        <x:v>2176</x:v>
      </x:c>
      <x:c r="G25" s="23" t="s">
        <x:v>2177</x:v>
      </x:c>
      <x:c r="H25" s="303" t="str">
        <x:v>暂时测不了</x:v>
      </x:c>
      <x:c r="I25" s="303" t="str">
        <x:v>第十轮：缺符合本行全部边界条件的独立计划/天气/空间/多来源真值样本；现有无计划UAV与鸟类回放只覆盖部分，未伪造判定、边界或历史材料。 本项步骤：总数与筛选一致，退回有效页，选中详情清理；错误不冒充空列表。</x:v>
      </x:c>
      <x:c r="J25" s="303" t="str">
        <x:v>第十轮报告；本轮隔离回归日志（不等于整行联测通过）</x:v>
      </x:c>
      <x:c r="K25" s="303" t="str">
        <x:v>Codex</x:v>
      </x:c>
      <x:c r="L25" s="327" t="str">
        <x:v>2026-09-28</x:v>
      </x:c>
      <x:c r="M25" s="17" t="str">
        <x:f t="shared" si="0"/>
        <x:v>暂时测不了</x:v>
      </x:c>
    </x:row>
    <x:row r="26" ht="160" customHeight="1">
      <x:c r="A26" s="24" t="s">
        <x:v>2178</x:v>
      </x:c>
      <x:c r="B26" s="24" t="s">
        <x:v>2179</x:v>
      </x:c>
      <x:c r="C26" s="24" t="s">
        <x:v>88</x:v>
      </x:c>
      <x:c r="D26" s="25" t="s">
        <x:v>2180</x:v>
      </x:c>
      <x:c r="E26" s="25" t="s">
        <x:v>2181</x:v>
      </x:c>
      <x:c r="F26" s="25" t="s">
        <x:v>2182</x:v>
      </x:c>
      <x:c r="G26" s="25" t="s">
        <x:v>2183</x:v>
      </x:c>
      <x:c r="H26" s="303" t="str">
        <x:v>暂时测不了</x:v>
      </x:c>
      <x:c r="I26" s="303" t="str">
        <x:v>第十轮：缺符合本行全部边界条件的独立计划/天气/空间/多来源真值样本；现有无计划UAV与鸟类回放只覆盖部分，未伪造判定、边界或历史材料。 本项步骤：状态、总数同源；有心跳不等于GOOD，无数据不等于健康。</x:v>
      </x:c>
      <x:c r="J26" s="303" t="str">
        <x:v>第十轮报告；本轮隔离回归日志（不等于整行联测通过）</x:v>
      </x:c>
      <x:c r="K26" s="303" t="str">
        <x:v>Codex</x:v>
      </x:c>
      <x:c r="L26" s="327" t="str">
        <x:v>2026-09-28</x:v>
      </x:c>
      <x:c r="M26" s="17" t="str">
        <x:f t="shared" si="0"/>
        <x:v>暂时测不了</x:v>
      </x:c>
    </x:row>
    <x:row r="27" ht="130" customHeight="1">
      <x:c r="A27" s="24" t="s">
        <x:v>2184</x:v>
      </x:c>
      <x:c r="B27" s="24" t="s">
        <x:v>2179</x:v>
      </x:c>
      <x:c r="C27" s="24" t="s">
        <x:v>94</x:v>
      </x:c>
      <x:c r="D27" s="25" t="s">
        <x:v>2185</x:v>
      </x:c>
      <x:c r="E27" s="25" t="s">
        <x:v>2186</x:v>
      </x:c>
      <x:c r="F27" s="25" t="s">
        <x:v>2187</x:v>
      </x:c>
      <x:c r="G27" s="25" t="s">
        <x:v>2188</x:v>
      </x:c>
      <x:c r="H27" s="20" t="s">
        <x:v>11</x:v>
      </x:c>
      <x:c r="I27" s="20" t="s">
        <x:v>2189</x:v>
      </x:c>
      <x:c r="J27" s="20" t="s">
        <x:v>2190</x:v>
      </x:c>
      <x:c r="K27" s="20" t="s">
        <x:v>92</x:v>
      </x:c>
      <x:c r="L27" s="21">
        <x:v>46292</x:v>
      </x:c>
      <x:c r="M27" s="17" t="str">
        <x:f t="shared" si="0"/>
        <x:v>记录齐全</x:v>
      </x:c>
    </x:row>
    <x:row r="28" ht="130" customHeight="1">
      <x:c r="A28" s="24" t="s">
        <x:v>2191</x:v>
      </x:c>
      <x:c r="B28" s="24" t="s">
        <x:v>2179</x:v>
      </x:c>
      <x:c r="C28" s="24" t="s">
        <x:v>88</x:v>
      </x:c>
      <x:c r="D28" s="25" t="s">
        <x:v>2192</x:v>
      </x:c>
      <x:c r="E28" s="25" t="s">
        <x:v>2193</x:v>
      </x:c>
      <x:c r="F28" s="25" t="s">
        <x:v>2194</x:v>
      </x:c>
      <x:c r="G28" s="25" t="s">
        <x:v>2195</x:v>
      </x:c>
      <x:c r="H28" s="20" t="s">
        <x:v>11</x:v>
      </x:c>
      <x:c r="I28" s="20" t="s">
        <x:v>2196</x:v>
      </x:c>
      <x:c r="J28" s="20" t="s">
        <x:v>2197</x:v>
      </x:c>
      <x:c r="K28" s="20" t="s">
        <x:v>92</x:v>
      </x:c>
      <x:c r="L28" s="21">
        <x:v>46292</x:v>
      </x:c>
      <x:c r="M28" s="17" t="str">
        <x:f t="shared" si="0"/>
        <x:v>记录齐全</x:v>
      </x:c>
    </x:row>
    <x:row r="29" ht="130" customHeight="1">
      <x:c r="A29" s="24" t="s">
        <x:v>2198</x:v>
      </x:c>
      <x:c r="B29" s="24" t="s">
        <x:v>2179</x:v>
      </x:c>
      <x:c r="C29" s="24" t="s">
        <x:v>94</x:v>
      </x:c>
      <x:c r="D29" s="25" t="s">
        <x:v>2199</x:v>
      </x:c>
      <x:c r="E29" s="25" t="s">
        <x:v>2200</x:v>
      </x:c>
      <x:c r="F29" s="25" t="s">
        <x:v>2201</x:v>
      </x:c>
      <x:c r="G29" s="25" t="s">
        <x:v>2202</x:v>
      </x:c>
      <x:c r="H29" s="20" t="s">
        <x:v>11</x:v>
      </x:c>
      <x:c r="I29" s="20" t="s">
        <x:v>2203</x:v>
      </x:c>
      <x:c r="J29" s="20" t="s">
        <x:v>2204</x:v>
      </x:c>
      <x:c r="K29" s="20" t="s">
        <x:v>92</x:v>
      </x:c>
      <x:c r="L29" s="21">
        <x:v>46292</x:v>
      </x:c>
      <x:c r="M29" s="17" t="str">
        <x:f t="shared" si="0"/>
        <x:v>记录齐全</x:v>
      </x:c>
    </x:row>
    <x:row r="30" ht="130" customHeight="1">
      <x:c r="A30" s="24" t="s">
        <x:v>2205</x:v>
      </x:c>
      <x:c r="B30" s="24" t="s">
        <x:v>2179</x:v>
      </x:c>
      <x:c r="C30" s="24" t="s">
        <x:v>88</x:v>
      </x:c>
      <x:c r="D30" s="25" t="s">
        <x:v>2206</x:v>
      </x:c>
      <x:c r="E30" s="25" t="s">
        <x:v>2207</x:v>
      </x:c>
      <x:c r="F30" s="25" t="s">
        <x:v>2208</x:v>
      </x:c>
      <x:c r="G30" s="25" t="s">
        <x:v>2209</x:v>
      </x:c>
      <x:c r="H30" s="20" t="s">
        <x:v>11</x:v>
      </x:c>
      <x:c r="I30" s="20" t="s">
        <x:v>2210</x:v>
      </x:c>
      <x:c r="J30" s="20" t="s">
        <x:v>2211</x:v>
      </x:c>
      <x:c r="K30" s="20" t="s">
        <x:v>92</x:v>
      </x:c>
      <x:c r="L30" s="21">
        <x:v>46292</x:v>
      </x:c>
      <x:c r="M30" s="17" t="str">
        <x:f t="shared" si="0"/>
        <x:v>记录齐全</x:v>
      </x:c>
    </x:row>
    <x:row r="31" ht="160" customHeight="1">
      <x:c r="A31" s="24" t="s">
        <x:v>2212</x:v>
      </x:c>
      <x:c r="B31" s="24" t="s">
        <x:v>2179</x:v>
      </x:c>
      <x:c r="C31" s="24" t="s">
        <x:v>88</x:v>
      </x:c>
      <x:c r="D31" s="25" t="s">
        <x:v>2213</x:v>
      </x:c>
      <x:c r="E31" s="25" t="s">
        <x:v>2214</x:v>
      </x:c>
      <x:c r="F31" s="25" t="s">
        <x:v>2215</x:v>
      </x:c>
      <x:c r="G31" s="25" t="s">
        <x:v>2216</x:v>
      </x:c>
      <x:c r="H31" s="303" t="str">
        <x:v>暂时测不了</x:v>
      </x:c>
      <x:c r="I31" s="303" t="str">
        <x:v>第十轮：缺符合本行全部边界条件的独立计划/天气/空间/多来源真值样本；现有无计划UAV与鸟类回放只覆盖部分，未伪造判定、边界或历史材料。 本项步骤：同类未恢复异常不重复创建；不同异常不可误合并。</x:v>
      </x:c>
      <x:c r="J31" s="303" t="str">
        <x:v>第十轮报告；本轮隔离回归日志（不等于整行联测通过）</x:v>
      </x:c>
      <x:c r="K31" s="303" t="str">
        <x:v>Codex</x:v>
      </x:c>
      <x:c r="L31" s="327" t="str">
        <x:v>2026-09-28</x:v>
      </x:c>
      <x:c r="M31" s="17" t="str">
        <x:f t="shared" si="0"/>
        <x:v>暂时测不了</x:v>
      </x:c>
    </x:row>
    <x:row r="32" ht="160" customHeight="1">
      <x:c r="A32" s="24" t="s">
        <x:v>2217</x:v>
      </x:c>
      <x:c r="B32" s="24" t="s">
        <x:v>2179</x:v>
      </x:c>
      <x:c r="C32" s="24" t="s">
        <x:v>88</x:v>
      </x:c>
      <x:c r="D32" s="25" t="s">
        <x:v>2218</x:v>
      </x:c>
      <x:c r="E32" s="25" t="s">
        <x:v>2219</x:v>
      </x:c>
      <x:c r="F32" s="25" t="s">
        <x:v>2220</x:v>
      </x:c>
      <x:c r="G32" s="25" t="s">
        <x:v>2221</x:v>
      </x:c>
      <x:c r="H32" s="303" t="str">
        <x:v>暂时测不了</x:v>
      </x:c>
      <x:c r="I32" s="303" t="str">
        <x:v>第十轮：缺符合本行全部边界条件的独立计划/天气/空间/多来源真值样本；现有无计划UAV与鸟类回放只覆盖部分，未伪造判定、边界或历史材料。 本项步骤：连接事件按条件可核验恢复；设备整体运维完成仍不能仅靠心跳通过。</x:v>
      </x:c>
      <x:c r="J32" s="303" t="str">
        <x:v>第十轮报告；本轮隔离回归日志（不等于整行联测通过）</x:v>
      </x:c>
      <x:c r="K32" s="303" t="str">
        <x:v>Codex</x:v>
      </x:c>
      <x:c r="L32" s="327" t="str">
        <x:v>2026-09-28</x:v>
      </x:c>
      <x:c r="M32" s="17" t="str">
        <x:f t="shared" si="0"/>
        <x:v>暂时测不了</x:v>
      </x:c>
    </x:row>
    <x:row r="33" ht="160" customHeight="1">
      <x:c r="A33" s="24" t="s">
        <x:v>2222</x:v>
      </x:c>
      <x:c r="B33" s="24" t="s">
        <x:v>2179</x:v>
      </x:c>
      <x:c r="C33" s="24" t="s">
        <x:v>94</x:v>
      </x:c>
      <x:c r="D33" s="25" t="s">
        <x:v>2223</x:v>
      </x:c>
      <x:c r="E33" s="25" t="s">
        <x:v>2224</x:v>
      </x:c>
      <x:c r="F33" s="25" t="s">
        <x:v>2225</x:v>
      </x:c>
      <x:c r="G33" s="25" t="s">
        <x:v>2226</x:v>
      </x:c>
      <x:c r="H33" s="303" t="str">
        <x:v>暂时测不了</x:v>
      </x:c>
      <x:c r="I33" s="303" t="str">
        <x:v>第十轮：缺符合本行全部边界条件的独立计划/天气/空间/多来源真值样本；现有无计划UAV与鸟类回放只覆盖部分，未伪造判定、边界或历史材料。 本项步骤：目标显示最后观测/过期事实；不能把心跳当成目标仍实时上报。</x:v>
      </x:c>
      <x:c r="J33" s="303" t="str">
        <x:v>第十轮报告；本轮隔离回归日志（不等于整行联测通过）</x:v>
      </x:c>
      <x:c r="K33" s="303" t="str">
        <x:v>Codex</x:v>
      </x:c>
      <x:c r="L33" s="327" t="str">
        <x:v>2026-09-28</x:v>
      </x:c>
      <x:c r="M33" s="17" t="str">
        <x:f t="shared" si="0"/>
        <x:v>暂时测不了</x:v>
      </x:c>
    </x:row>
    <x:row r="34" ht="160" customHeight="1">
      <x:c r="A34" s="24" t="s">
        <x:v>2227</x:v>
      </x:c>
      <x:c r="B34" s="24" t="s">
        <x:v>2179</x:v>
      </x:c>
      <x:c r="C34" s="24" t="s">
        <x:v>94</x:v>
      </x:c>
      <x:c r="D34" s="25" t="s">
        <x:v>2228</x:v>
      </x:c>
      <x:c r="E34" s="25" t="s">
        <x:v>2229</x:v>
      </x:c>
      <x:c r="F34" s="25" t="s">
        <x:v>2230</x:v>
      </x:c>
      <x:c r="G34" s="25" t="s">
        <x:v>2231</x:v>
      </x:c>
      <x:c r="H34" s="303" t="str">
        <x:v>暂时测不了</x:v>
      </x:c>
      <x:c r="I34" s="303" t="str">
        <x:v>第十轮：缺符合本行全部边界条件的独立计划/天气/空间/多来源真值样本；现有无计划UAV与鸟类回放只覆盖部分，未伪造判定、边界或历史材料。 本项步骤：总数和当前显示范围明确；最近20条不冒充全部，定位设备正确。</x:v>
      </x:c>
      <x:c r="J34" s="303" t="str">
        <x:v>第十轮报告；本轮隔离回归日志（不等于整行联测通过）</x:v>
      </x:c>
      <x:c r="K34" s="303" t="str">
        <x:v>Codex</x:v>
      </x:c>
      <x:c r="L34" s="327" t="str">
        <x:v>2026-09-28</x:v>
      </x:c>
      <x:c r="M34" s="17" t="str">
        <x:f t="shared" si="0"/>
        <x:v>暂时测不了</x:v>
      </x:c>
    </x:row>
    <x:row r="35" ht="160" customHeight="1">
      <x:c r="A35" s="24" t="s">
        <x:v>2232</x:v>
      </x:c>
      <x:c r="B35" s="24" t="s">
        <x:v>2179</x:v>
      </x:c>
      <x:c r="C35" s="24" t="s">
        <x:v>88</x:v>
      </x:c>
      <x:c r="D35" s="25" t="s">
        <x:v>2233</x:v>
      </x:c>
      <x:c r="E35" s="25" t="s">
        <x:v>2234</x:v>
      </x:c>
      <x:c r="F35" s="25" t="s">
        <x:v>2235</x:v>
      </x:c>
      <x:c r="G35" s="25" t="s">
        <x:v>2236</x:v>
      </x:c>
      <x:c r="H35" s="303" t="str">
        <x:v>暂时测不了</x:v>
      </x:c>
      <x:c r="I35" s="303" t="str">
        <x:v>第十轮：缺与本事件对应的可控反制/干扰/光电测试设备及可信最终回执；MQTT工参只证明连接和工作状态，健康UNKNOWN不能当GOOD，不能伪造实机收令或停机核查。 本项步骤：不可用原因清楚；不伪造重启或急停成功。四通道全关与射频停机核查分开。</x:v>
      </x:c>
      <x:c r="J35" s="303" t="str">
        <x:v>第十轮报告；本轮隔离回归日志（不等于整行联测通过）</x:v>
      </x:c>
      <x:c r="K35" s="303" t="str">
        <x:v>Codex</x:v>
      </x:c>
      <x:c r="L35" s="327" t="str">
        <x:v>2026-09-28</x:v>
      </x:c>
      <x:c r="M35" s="17" t="str">
        <x:f t="shared" si="0"/>
        <x:v>暂时测不了</x:v>
      </x:c>
    </x:row>
    <x:row r="36" ht="160" customHeight="1">
      <x:c r="A36" s="26" t="s">
        <x:v>2237</x:v>
      </x:c>
      <x:c r="B36" s="26" t="s">
        <x:v>2238</x:v>
      </x:c>
      <x:c r="C36" s="26" t="s">
        <x:v>88</x:v>
      </x:c>
      <x:c r="D36" s="27" t="s">
        <x:v>2239</x:v>
      </x:c>
      <x:c r="E36" s="27" t="s">
        <x:v>2240</x:v>
      </x:c>
      <x:c r="F36" s="27" t="s">
        <x:v>2241</x:v>
      </x:c>
      <x:c r="G36" s="27" t="s">
        <x:v>2242</x:v>
      </x:c>
      <x:c r="H36" s="303" t="str">
        <x:v>暂时测不了</x:v>
      </x:c>
      <x:c r="I36" s="303" t="str">
        <x:v>第十轮：缺与本事件对应的可控反制/干扰/光电测试设备及可信最终回执；MQTT工参只证明连接和工作状态，健康UNKNOWN不能当GOOD，不能伪造实机收令或停机核查。 本项步骤：按状态逐步推进，202只表示受理；结果由协议检测产生。</x:v>
      </x:c>
      <x:c r="J36" s="303" t="str">
        <x:v>第十轮报告；本轮隔离回归日志（不等于整行联测通过）</x:v>
      </x:c>
      <x:c r="K36" s="303" t="str">
        <x:v>Codex</x:v>
      </x:c>
      <x:c r="L36" s="327" t="str">
        <x:v>2026-09-28</x:v>
      </x:c>
      <x:c r="M36" s="17" t="str">
        <x:f t="shared" si="0"/>
        <x:v>暂时测不了</x:v>
      </x:c>
    </x:row>
    <x:row r="37" ht="130" customHeight="1">
      <x:c r="A37" s="26" t="s">
        <x:v>2243</x:v>
      </x:c>
      <x:c r="B37" s="26" t="s">
        <x:v>2238</x:v>
      </x:c>
      <x:c r="C37" s="26" t="s">
        <x:v>88</x:v>
      </x:c>
      <x:c r="D37" s="27" t="s">
        <x:v>2244</x:v>
      </x:c>
      <x:c r="E37" s="27" t="s">
        <x:v>2245</x:v>
      </x:c>
      <x:c r="F37" s="27" t="s">
        <x:v>2246</x:v>
      </x:c>
      <x:c r="G37" s="27" t="s">
        <x:v>2247</x:v>
      </x:c>
      <x:c r="H37" s="20" t="s">
        <x:v>11</x:v>
      </x:c>
      <x:c r="I37" s="20" t="s">
        <x:v>2248</x:v>
      </x:c>
      <x:c r="J37" s="20" t="s">
        <x:v>2249</x:v>
      </x:c>
      <x:c r="K37" s="20" t="s">
        <x:v>92</x:v>
      </x:c>
      <x:c r="L37" s="21">
        <x:v>46292</x:v>
      </x:c>
      <x:c r="M37" s="17" t="str">
        <x:f t="shared" si="0"/>
        <x:v>记录齐全</x:v>
      </x:c>
    </x:row>
    <x:row r="38" ht="160" customHeight="1">
      <x:c r="A38" s="26" t="s">
        <x:v>2250</x:v>
      </x:c>
      <x:c r="B38" s="26" t="s">
        <x:v>2238</x:v>
      </x:c>
      <x:c r="C38" s="26" t="s">
        <x:v>88</x:v>
      </x:c>
      <x:c r="D38" s="27" t="s">
        <x:v>2251</x:v>
      </x:c>
      <x:c r="E38" s="27" t="s">
        <x:v>2252</x:v>
      </x:c>
      <x:c r="F38" s="27" t="s">
        <x:v>2253</x:v>
      </x:c>
      <x:c r="G38" s="27" t="s">
        <x:v>2254</x:v>
      </x:c>
      <x:c r="H38" s="303" t="str">
        <x:v>暂时测不了</x:v>
      </x:c>
      <x:c r="I38" s="303" t="str">
        <x:v>第十轮：缺与本事件对应的可控反制/干扰/光电测试设备及可信最终回执；MQTT工参只证明连接和工作状态，健康UNKNOWN不能当GOOD，不能伪造实机收令或停机核查。 本项步骤：服务端拒绝非法跳步，状态不变。</x:v>
      </x:c>
      <x:c r="J38" s="303" t="str">
        <x:v>第十轮报告；本轮隔离回归日志（不等于整行联测通过）</x:v>
      </x:c>
      <x:c r="K38" s="303" t="str">
        <x:v>Codex</x:v>
      </x:c>
      <x:c r="L38" s="327" t="str">
        <x:v>2026-09-28</x:v>
      </x:c>
      <x:c r="M38" s="17" t="str">
        <x:f t="shared" si="0"/>
        <x:v>暂时测不了</x:v>
      </x:c>
    </x:row>
    <x:row r="39" ht="160" customHeight="1">
      <x:c r="A39" s="26" t="s">
        <x:v>2255</x:v>
      </x:c>
      <x:c r="B39" s="26" t="s">
        <x:v>2238</x:v>
      </x:c>
      <x:c r="C39" s="26" t="s">
        <x:v>88</x:v>
      </x:c>
      <x:c r="D39" s="27" t="s">
        <x:v>2256</x:v>
      </x:c>
      <x:c r="E39" s="27" t="s">
        <x:v>2257</x:v>
      </x:c>
      <x:c r="F39" s="27" t="s">
        <x:v>2258</x:v>
      </x:c>
      <x:c r="G39" s="27" t="s">
        <x:v>2259</x:v>
      </x:c>
      <x:c r="H39" s="303" t="str">
        <x:v>暂时测不了</x:v>
      </x:c>
      <x:c r="I39" s="303" t="str">
        <x:v>第十轮：缺与本事件对应的可控反制/干扰/光电测试设备及可信最终回执；MQTT工参只证明连接和工作状态，健康UNKNOWN不能当GOOD，不能伪造实机收令或停机核查。 本项步骤：取消按当前契约生效，迟到结果不将已取消任务改成成功。</x:v>
      </x:c>
      <x:c r="J39" s="303" t="str">
        <x:v>第十轮报告；本轮隔离回归日志（不等于整行联测通过）</x:v>
      </x:c>
      <x:c r="K39" s="303" t="str">
        <x:v>Codex</x:v>
      </x:c>
      <x:c r="L39" s="327" t="str">
        <x:v>2026-09-28</x:v>
      </x:c>
      <x:c r="M39" s="17" t="str">
        <x:f t="shared" si="0"/>
        <x:v>暂时测不了</x:v>
      </x:c>
    </x:row>
    <x:row r="40" ht="160" customHeight="1">
      <x:c r="A40" s="26" t="s">
        <x:v>2260</x:v>
      </x:c>
      <x:c r="B40" s="26" t="s">
        <x:v>2238</x:v>
      </x:c>
      <x:c r="C40" s="26" t="s">
        <x:v>94</x:v>
      </x:c>
      <x:c r="D40" s="27" t="s">
        <x:v>2261</x:v>
      </x:c>
      <x:c r="E40" s="27" t="s">
        <x:v>2262</x:v>
      </x:c>
      <x:c r="F40" s="27" t="s">
        <x:v>2263</x:v>
      </x:c>
      <x:c r="G40" s="27" t="s">
        <x:v>2264</x:v>
      </x:c>
      <x:c r="H40" s="303" t="str">
        <x:v>暂时测不了</x:v>
      </x:c>
      <x:c r="I40" s="303" t="str">
        <x:v>第十轮：缺与本事件对应的可控反制/干扰/光电测试设备及可信最终回执；MQTT工参只证明连接和工作状态，健康UNKNOWN不能当GOOD，不能伪造实机收令或停机核查。 本项步骤：同设备历史链保留，跨设备前次任务拒绝；旧报告不覆盖。</x:v>
      </x:c>
      <x:c r="J40" s="303" t="str">
        <x:v>第十轮报告；本轮隔离回归日志（不等于整行联测通过）</x:v>
      </x:c>
      <x:c r="K40" s="303" t="str">
        <x:v>Codex</x:v>
      </x:c>
      <x:c r="L40" s="327" t="str">
        <x:v>2026-09-28</x:v>
      </x:c>
      <x:c r="M40" s="17" t="str">
        <x:f t="shared" si="0"/>
        <x:v>暂时测不了</x:v>
      </x:c>
    </x:row>
    <x:row r="41" ht="160" customHeight="1">
      <x:c r="A41" s="26" t="s">
        <x:v>2265</x:v>
      </x:c>
      <x:c r="B41" s="26" t="s">
        <x:v>2238</x:v>
      </x:c>
      <x:c r="C41" s="26" t="s">
        <x:v>88</x:v>
      </x:c>
      <x:c r="D41" s="27" t="s">
        <x:v>2266</x:v>
      </x:c>
      <x:c r="E41" s="27" t="s">
        <x:v>2267</x:v>
      </x:c>
      <x:c r="F41" s="27" t="s">
        <x:v>2268</x:v>
      </x:c>
      <x:c r="G41" s="27" t="s">
        <x:v>2269</x:v>
      </x:c>
      <x:c r="H41" s="303" t="str">
        <x:v>暂时测不了</x:v>
      </x:c>
      <x:c r="I41" s="303" t="str">
        <x:v>第十轮：缺与本事件对应的可控反制/干扰/光电测试设备及可信最终回执；MQTT工参只证明连接和工作状态，健康UNKNOWN不能当GOOD，不能伪造实机收令或停机核查。 本项步骤：旧任务的来源、协议、参数和安全范围仍是当时快照。</x:v>
      </x:c>
      <x:c r="J41" s="303" t="str">
        <x:v>第十轮报告；本轮隔离回归日志（不等于整行联测通过）</x:v>
      </x:c>
      <x:c r="K41" s="303" t="str">
        <x:v>Codex</x:v>
      </x:c>
      <x:c r="L41" s="327" t="str">
        <x:v>2026-09-28</x:v>
      </x:c>
      <x:c r="M41" s="17" t="str">
        <x:f t="shared" si="0"/>
        <x:v>暂时测不了</x:v>
      </x:c>
    </x:row>
    <x:row r="42" ht="130" customHeight="1">
      <x:c r="A42" s="26" t="s">
        <x:v>2270</x:v>
      </x:c>
      <x:c r="B42" s="26" t="s">
        <x:v>2238</x:v>
      </x:c>
      <x:c r="C42" s="26" t="s">
        <x:v>88</x:v>
      </x:c>
      <x:c r="D42" s="27" t="s">
        <x:v>2271</x:v>
      </x:c>
      <x:c r="E42" s="27" t="s">
        <x:v>2272</x:v>
      </x:c>
      <x:c r="F42" s="27" t="s">
        <x:v>2273</x:v>
      </x:c>
      <x:c r="G42" s="27" t="s">
        <x:v>2274</x:v>
      </x:c>
      <x:c r="H42" s="20" t="s">
        <x:v>11</x:v>
      </x:c>
      <x:c r="I42" s="20" t="s">
        <x:v>2275</x:v>
      </x:c>
      <x:c r="J42" s="20" t="s">
        <x:v>2276</x:v>
      </x:c>
      <x:c r="K42" s="20" t="s">
        <x:v>92</x:v>
      </x:c>
      <x:c r="L42" s="21">
        <x:v>46292</x:v>
      </x:c>
      <x:c r="M42" s="17" t="str">
        <x:f t="shared" si="0"/>
        <x:v>记录齐全</x:v>
      </x:c>
    </x:row>
    <x:row r="43" ht="160" customHeight="1">
      <x:c r="A43" s="26" t="s">
        <x:v>2277</x:v>
      </x:c>
      <x:c r="B43" s="26" t="s">
        <x:v>2238</x:v>
      </x:c>
      <x:c r="C43" s="26" t="s">
        <x:v>94</x:v>
      </x:c>
      <x:c r="D43" s="27" t="s">
        <x:v>2278</x:v>
      </x:c>
      <x:c r="E43" s="27" t="s">
        <x:v>2279</x:v>
      </x:c>
      <x:c r="F43" s="27" t="s">
        <x:v>2280</x:v>
      </x:c>
      <x:c r="G43" s="27" t="s">
        <x:v>2281</x:v>
      </x:c>
      <x:c r="H43" s="303" t="str">
        <x:v>暂时测不了</x:v>
      </x:c>
      <x:c r="I43" s="303" t="str">
        <x:v>第十轮：缺与本事件对应的可控反制/干扰/光电测试设备及可信最终回执；MQTT工参只证明连接和工作状态，健康UNKNOWN不能当GOOD，不能伪造实机收令或停机核查。 本项步骤：区分连接通过与业务数据不可判定；不将没有业务帧当完整通过。</x:v>
      </x:c>
      <x:c r="J43" s="303" t="str">
        <x:v>第十轮报告；本轮隔离回归日志（不等于整行联测通过）</x:v>
      </x:c>
      <x:c r="K43" s="303" t="str">
        <x:v>Codex</x:v>
      </x:c>
      <x:c r="L43" s="327" t="str">
        <x:v>2026-09-28</x:v>
      </x:c>
      <x:c r="M43" s="17" t="str">
        <x:f t="shared" si="0"/>
        <x:v>暂时测不了</x:v>
      </x:c>
    </x:row>
    <x:row r="44" ht="160" customHeight="1">
      <x:c r="A44" s="26" t="s">
        <x:v>2282</x:v>
      </x:c>
      <x:c r="B44" s="26" t="s">
        <x:v>2238</x:v>
      </x:c>
      <x:c r="C44" s="26" t="s">
        <x:v>88</x:v>
      </x:c>
      <x:c r="D44" s="27" t="s">
        <x:v>2283</x:v>
      </x:c>
      <x:c r="E44" s="27" t="s">
        <x:v>2284</x:v>
      </x:c>
      <x:c r="F44" s="27" t="s">
        <x:v>2285</x:v>
      </x:c>
      <x:c r="G44" s="27" t="s">
        <x:v>2286</x:v>
      </x:c>
      <x:c r="H44" s="303" t="str">
        <x:v>暂时测不了</x:v>
      </x:c>
      <x:c r="I44" s="303" t="str">
        <x:v>第十轮：缺与本事件对应的可控反制/干扰/光电测试设备及可信最终回执；MQTT工参只证明连接和工作状态，健康UNKNOWN不能当GOOD，不能伪造实机收令或停机核查。 本项步骤：调测只查询状态，不因检查自动开启通道；报告通过不代表射频已验证。</x:v>
      </x:c>
      <x:c r="J44" s="303" t="str">
        <x:v>第十轮报告；本轮隔离回归日志（不等于整行联测通过）</x:v>
      </x:c>
      <x:c r="K44" s="303" t="str">
        <x:v>Codex</x:v>
      </x:c>
      <x:c r="L44" s="327" t="str">
        <x:v>2026-09-28</x:v>
      </x:c>
      <x:c r="M44" s="17" t="str">
        <x:f t="shared" si="0"/>
        <x:v>暂时测不了</x:v>
      </x:c>
    </x:row>
    <x:row r="45" ht="160" customHeight="1">
      <x:c r="A45" s="26" t="s">
        <x:v>2287</x:v>
      </x:c>
      <x:c r="B45" s="26" t="s">
        <x:v>2238</x:v>
      </x:c>
      <x:c r="C45" s="26" t="s">
        <x:v>94</x:v>
      </x:c>
      <x:c r="D45" s="27" t="s">
        <x:v>2288</x:v>
      </x:c>
      <x:c r="E45" s="27" t="s">
        <x:v>2289</x:v>
      </x:c>
      <x:c r="F45" s="27" t="s">
        <x:v>2290</x:v>
      </x:c>
      <x:c r="G45" s="27" t="s">
        <x:v>2291</x:v>
      </x:c>
      <x:c r="H45" s="303" t="str">
        <x:v>暂时测不了</x:v>
      </x:c>
      <x:c r="I45" s="303" t="str">
        <x:v>第十轮：缺与本事件对应的可控反制/干扰/光电测试设备及可信最终回执；MQTT工参只证明连接和工作状态，健康UNKNOWN不能当GOOD，不能伪造实机收令或停机核查。 本项步骤：按当前规则阻止切换；报告、日志和设备ID始终对应，长日志能查看。</x:v>
      </x:c>
      <x:c r="J45" s="303" t="str">
        <x:v>第十轮报告；本轮隔离回归日志（不等于整行联测通过）</x:v>
      </x:c>
      <x:c r="K45" s="303" t="str">
        <x:v>Codex</x:v>
      </x:c>
      <x:c r="L45" s="327" t="str">
        <x:v>2026-09-28</x:v>
      </x:c>
      <x:c r="M45" s="17" t="str">
        <x:f t="shared" si="0"/>
        <x:v>暂时测不了</x:v>
      </x:c>
    </x:row>
    <x:row r="46" ht="160" customHeight="1">
      <x:c r="A46" s="28" t="s">
        <x:v>2292</x:v>
      </x:c>
      <x:c r="B46" s="28" t="s">
        <x:v>2293</x:v>
      </x:c>
      <x:c r="C46" s="28" t="s">
        <x:v>88</x:v>
      </x:c>
      <x:c r="D46" s="29" t="s">
        <x:v>2294</x:v>
      </x:c>
      <x:c r="E46" s="29" t="s">
        <x:v>2295</x:v>
      </x:c>
      <x:c r="F46" s="29" t="s">
        <x:v>2296</x:v>
      </x:c>
      <x:c r="G46" s="29" t="s">
        <x:v>2297</x:v>
      </x:c>
      <x:c r="H46" s="303" t="str">
        <x:v>暂时测不了</x:v>
      </x:c>
      <x:c r="I46" s="303" t="str">
        <x:v>第十轮：缺与本事件对应的可控反制/干扰/光电测试设备及可信最终回执；MQTT工参只证明连接和工作状态，健康UNKNOWN不能当GOOD，不能伪造实机收令或停机核查。 本项步骤：后台关联同设备和原事项；防重，不因报修直接改设备正常。</x:v>
      </x:c>
      <x:c r="J46" s="303" t="str">
        <x:v>第十轮报告；本轮隔离回归日志（不等于整行联测通过）</x:v>
      </x:c>
      <x:c r="K46" s="303" t="str">
        <x:v>Codex</x:v>
      </x:c>
      <x:c r="L46" s="327" t="str">
        <x:v>2026-09-28</x:v>
      </x:c>
      <x:c r="M46" s="17" t="str">
        <x:f t="shared" si="0"/>
        <x:v>暂时测不了</x:v>
      </x:c>
    </x:row>
    <x:row r="47" ht="160" customHeight="1">
      <x:c r="A47" s="28" t="s">
        <x:v>2298</x:v>
      </x:c>
      <x:c r="B47" s="28" t="s">
        <x:v>2293</x:v>
      </x:c>
      <x:c r="C47" s="28" t="s">
        <x:v>88</x:v>
      </x:c>
      <x:c r="D47" s="29" t="s">
        <x:v>2299</x:v>
      </x:c>
      <x:c r="E47" s="29" t="s">
        <x:v>2300</x:v>
      </x:c>
      <x:c r="F47" s="29" t="s">
        <x:v>2301</x:v>
      </x:c>
      <x:c r="G47" s="29" t="s">
        <x:v>2302</x:v>
      </x:c>
      <x:c r="H47" s="20" t="s">
        <x:v>11</x:v>
      </x:c>
      <x:c r="I47" s="20" t="s">
        <x:v>2303</x:v>
      </x:c>
      <x:c r="J47" s="20" t="s">
        <x:v>2304</x:v>
      </x:c>
      <x:c r="K47" s="20" t="s">
        <x:v>92</x:v>
      </x:c>
      <x:c r="L47" s="21">
        <x:v>46293</x:v>
      </x:c>
      <x:c r="M47" s="17" t="str">
        <x:f t="shared" si="0"/>
        <x:v>记录齐全</x:v>
      </x:c>
    </x:row>
    <x:row r="48" ht="130" customHeight="1">
      <x:c r="A48" s="28" t="s">
        <x:v>2305</x:v>
      </x:c>
      <x:c r="B48" s="28" t="s">
        <x:v>2293</x:v>
      </x:c>
      <x:c r="C48" s="28" t="s">
        <x:v>94</x:v>
      </x:c>
      <x:c r="D48" s="29" t="s">
        <x:v>2306</x:v>
      </x:c>
      <x:c r="E48" s="29" t="s">
        <x:v>2307</x:v>
      </x:c>
      <x:c r="F48" s="29" t="s">
        <x:v>2308</x:v>
      </x:c>
      <x:c r="G48" s="29" t="s">
        <x:v>2309</x:v>
      </x:c>
      <x:c r="H48" s="20" t="s">
        <x:v>11</x:v>
      </x:c>
      <x:c r="I48" s="20" t="s">
        <x:v>2310</x:v>
      </x:c>
      <x:c r="J48" s="20" t="s">
        <x:v>2311</x:v>
      </x:c>
      <x:c r="K48" s="20" t="s">
        <x:v>92</x:v>
      </x:c>
      <x:c r="L48" s="21">
        <x:v>46292</x:v>
      </x:c>
      <x:c r="M48" s="17" t="str">
        <x:f t="shared" si="0"/>
        <x:v>记录齐全</x:v>
      </x:c>
    </x:row>
    <x:row r="49" ht="160" customHeight="1">
      <x:c r="A49" s="28" t="s">
        <x:v>2312</x:v>
      </x:c>
      <x:c r="B49" s="28" t="s">
        <x:v>2293</x:v>
      </x:c>
      <x:c r="C49" s="28" t="s">
        <x:v>88</x:v>
      </x:c>
      <x:c r="D49" s="29" t="s">
        <x:v>2313</x:v>
      </x:c>
      <x:c r="E49" s="29" t="s">
        <x:v>2314</x:v>
      </x:c>
      <x:c r="F49" s="29" t="s">
        <x:v>2315</x:v>
      </x:c>
      <x:c r="G49" s="29" t="s">
        <x:v>2316</x:v>
      </x:c>
      <x:c r="H49" s="303" t="str">
        <x:v>暂时测不了</x:v>
      </x:c>
      <x:c r="I49" s="303" t="str">
        <x:v>第十轮：缺与本事件对应的可控反制/干扰/光电测试设备及可信最终回执；MQTT工参只证明连接和工作状态，健康UNKNOWN不能当GOOD，不能伪造实机收令或停机核查。 本项步骤：合法关联只建立关系；错误关联或缺权拒绝，不启动新调测。</x:v>
      </x:c>
      <x:c r="J49" s="303" t="str">
        <x:v>第十轮报告；本轮隔离回归日志（不等于整行联测通过）</x:v>
      </x:c>
      <x:c r="K49" s="303" t="str">
        <x:v>Codex</x:v>
      </x:c>
      <x:c r="L49" s="327" t="str">
        <x:v>2026-09-28</x:v>
      </x:c>
      <x:c r="M49" s="17" t="str">
        <x:f t="shared" si="0"/>
        <x:v>暂时测不了</x:v>
      </x:c>
    </x:row>
    <x:row r="50" ht="160" customHeight="1">
      <x:c r="A50" s="28" t="s">
        <x:v>2317</x:v>
      </x:c>
      <x:c r="B50" s="28" t="s">
        <x:v>2293</x:v>
      </x:c>
      <x:c r="C50" s="28" t="s">
        <x:v>88</x:v>
      </x:c>
      <x:c r="D50" s="29" t="s">
        <x:v>2318</x:v>
      </x:c>
      <x:c r="E50" s="29" t="s">
        <x:v>2319</x:v>
      </x:c>
      <x:c r="F50" s="29" t="s">
        <x:v>2320</x:v>
      </x:c>
      <x:c r="G50" s="29" t="s">
        <x:v>2321</x:v>
      </x:c>
      <x:c r="H50" s="303" t="str">
        <x:v>暂时测不了</x:v>
      </x:c>
      <x:c r="I50" s="303" t="str">
        <x:v>第十轮：缺与本事件对应的可控反制/干扰/光电测试设备及可信最终回执；MQTT工参只证明连接和工作状态，健康UNKNOWN不能当GOOD，不能伪造实机收令或停机核查。 本项步骤：指出未结束工作并阻止提交；不替用户自动结束任务。</x:v>
      </x:c>
      <x:c r="J50" s="303" t="str">
        <x:v>第十轮报告；本轮隔离回归日志（不等于整行联测通过）</x:v>
      </x:c>
      <x:c r="K50" s="303" t="str">
        <x:v>Codex</x:v>
      </x:c>
      <x:c r="L50" s="327" t="str">
        <x:v>2026-09-28</x:v>
      </x:c>
      <x:c r="M50" s="17" t="str">
        <x:f t="shared" si="0"/>
        <x:v>暂时测不了</x:v>
      </x:c>
    </x:row>
    <x:row r="51" ht="160" customHeight="1">
      <x:c r="A51" s="28" t="s">
        <x:v>2322</x:v>
      </x:c>
      <x:c r="B51" s="28" t="s">
        <x:v>2293</x:v>
      </x:c>
      <x:c r="C51" s="28" t="s">
        <x:v>88</x:v>
      </x:c>
      <x:c r="D51" s="29" t="s">
        <x:v>2323</x:v>
      </x:c>
      <x:c r="E51" s="29" t="s">
        <x:v>2324</x:v>
      </x:c>
      <x:c r="F51" s="29" t="s">
        <x:v>2325</x:v>
      </x:c>
      <x:c r="G51" s="29" t="s">
        <x:v>2326</x:v>
      </x:c>
      <x:c r="H51" s="303" t="str">
        <x:v>暂时测不了</x:v>
      </x:c>
      <x:c r="I51" s="303" t="str">
        <x:v>第十轮：缺与本事件对应的可控反制/干扰/光电测试设备及可信最终回执；MQTT工参只证明连接和工作状态，健康UNKNOWN不能当GOOD，不能伪造实机收令或停机核查。 本项步骤：须先完成设备异常核验；维护流程不能替代关闭异常。</x:v>
      </x:c>
      <x:c r="J51" s="303" t="str">
        <x:v>第十轮报告；本轮隔离回归日志（不等于整行联测通过）</x:v>
      </x:c>
      <x:c r="K51" s="303" t="str">
        <x:v>Codex</x:v>
      </x:c>
      <x:c r="L51" s="327" t="str">
        <x:v>2026-09-28</x:v>
      </x:c>
      <x:c r="M51" s="17" t="str">
        <x:f t="shared" si="0"/>
        <x:v>暂时测不了</x:v>
      </x:c>
    </x:row>
    <x:row r="52" ht="160" customHeight="1">
      <x:c r="A52" s="28" t="s">
        <x:v>2327</x:v>
      </x:c>
      <x:c r="B52" s="28" t="s">
        <x:v>2293</x:v>
      </x:c>
      <x:c r="C52" s="28" t="s">
        <x:v>88</x:v>
      </x:c>
      <x:c r="D52" s="29" t="s">
        <x:v>2328</x:v>
      </x:c>
      <x:c r="E52" s="29" t="s">
        <x:v>2329</x:v>
      </x:c>
      <x:c r="F52" s="29" t="s">
        <x:v>2330</x:v>
      </x:c>
      <x:c r="G52" s="29" t="s">
        <x:v>2331</x:v>
      </x:c>
      <x:c r="H52" s="303" t="str">
        <x:v>暂时测不了</x:v>
      </x:c>
      <x:c r="I52" s="303" t="str">
        <x:v>第十轮：缺与本事件对应的可控反制/干扰/光电测试设备及可信最终回执；MQTT工参只证明连接和工作状态，健康UNKNOWN不能当GOOD，不能伪造实机收令或停机核查。 本项步骤：缺报修后新鲜可信依据，结果UNKNOWN；不允许完成。</x:v>
      </x:c>
      <x:c r="J52" s="303" t="str">
        <x:v>第十轮报告；本轮隔离回归日志（不等于整行联测通过）</x:v>
      </x:c>
      <x:c r="K52" s="303" t="str">
        <x:v>Codex</x:v>
      </x:c>
      <x:c r="L52" s="327" t="str">
        <x:v>2026-09-28</x:v>
      </x:c>
      <x:c r="M52" s="17" t="str">
        <x:f t="shared" si="0"/>
        <x:v>暂时测不了</x:v>
      </x:c>
    </x:row>
    <x:row r="53" ht="94" customHeight="1">
      <x:c r="A53" s="28" t="s">
        <x:v>2332</x:v>
      </x:c>
      <x:c r="B53" s="28" t="s">
        <x:v>2293</x:v>
      </x:c>
      <x:c r="C53" s="28" t="s">
        <x:v>88</x:v>
      </x:c>
      <x:c r="D53" s="29" t="s">
        <x:v>2333</x:v>
      </x:c>
      <x:c r="E53" s="29" t="s">
        <x:v>2334</x:v>
      </x:c>
      <x:c r="F53" s="29" t="s">
        <x:v>2335</x:v>
      </x:c>
      <x:c r="G53" s="29" t="s">
        <x:v>2336</x:v>
      </x:c>
      <x:c r="H53" s="20" t="s">
        <x:v>11</x:v>
      </x:c>
      <x:c r="I53" s="20" t="s">
        <x:v>2337</x:v>
      </x:c>
      <x:c r="J53" s="20" t="s">
        <x:v>2338</x:v>
      </x:c>
      <x:c r="K53" s="20" t="s">
        <x:v>1566</x:v>
      </x:c>
      <x:c r="L53" s="21" t="s">
        <x:v>1567</x:v>
      </x:c>
      <x:c r="M53" s="17" t="str">
        <x:f t="shared" si="0"/>
        <x:v>记录齐全</x:v>
      </x:c>
    </x:row>
    <x:row r="54" ht="160" customHeight="1">
      <x:c r="A54" s="28" t="s">
        <x:v>2339</x:v>
      </x:c>
      <x:c r="B54" s="28" t="s">
        <x:v>2293</x:v>
      </x:c>
      <x:c r="C54" s="28" t="s">
        <x:v>88</x:v>
      </x:c>
      <x:c r="D54" s="29" t="s">
        <x:v>2340</x:v>
      </x:c>
      <x:c r="E54" s="29" t="s">
        <x:v>2341</x:v>
      </x:c>
      <x:c r="F54" s="29" t="s">
        <x:v>2342</x:v>
      </x:c>
      <x:c r="G54" s="29" t="s">
        <x:v>2343</x:v>
      </x:c>
      <x:c r="H54" s="303" t="str">
        <x:v>暂时测不了</x:v>
      </x:c>
      <x:c r="I54" s="303" t="str">
        <x:v>第十轮：缺与本事件对应的可控反制/干扰/光电测试设备及可信最终回执；MQTT工参只证明连接和工作状态，健康UNKNOWN不能当GOOD，不能伪造实机收令或停机核查。 本项步骤：相应核验失败并解释；不改成已完成。</x:v>
      </x:c>
      <x:c r="J54" s="303" t="str">
        <x:v>第十轮报告；本轮隔离回归日志（不等于整行联测通过）</x:v>
      </x:c>
      <x:c r="K54" s="303" t="str">
        <x:v>Codex</x:v>
      </x:c>
      <x:c r="L54" s="327" t="str">
        <x:v>2026-09-28</x:v>
      </x:c>
      <x:c r="M54" s="17" t="str">
        <x:f t="shared" si="0"/>
        <x:v>暂时测不了</x:v>
      </x:c>
    </x:row>
    <x:row r="55" ht="160" customHeight="1">
      <x:c r="A55" s="28" t="s">
        <x:v>2344</x:v>
      </x:c>
      <x:c r="B55" s="28" t="s">
        <x:v>2293</x:v>
      </x:c>
      <x:c r="C55" s="28" t="s">
        <x:v>88</x:v>
      </x:c>
      <x:c r="D55" s="29" t="s">
        <x:v>2345</x:v>
      </x:c>
      <x:c r="E55" s="29" t="s">
        <x:v>2346</x:v>
      </x:c>
      <x:c r="F55" s="29" t="s">
        <x:v>2347</x:v>
      </x:c>
      <x:c r="G55" s="29" t="s">
        <x:v>2348</x:v>
      </x:c>
      <x:c r="H55" s="303" t="str">
        <x:v>暂时测不了</x:v>
      </x:c>
      <x:c r="I55" s="303" t="str">
        <x:v>第十轮：缺与本事件对应的可控反制/干扰/光电测试设备及可信最终回执；MQTT工参只证明连接和工作状态，健康UNKNOWN不能当GOOD，不能伪造实机收令或停机核查。 本项步骤：核验UNKNOWN，来源不一致不能用模拟结果证明真设备修好。</x:v>
      </x:c>
      <x:c r="J55" s="303" t="str">
        <x:v>第十轮报告；本轮隔离回归日志（不等于整行联测通过）</x:v>
      </x:c>
      <x:c r="K55" s="303" t="str">
        <x:v>Codex</x:v>
      </x:c>
      <x:c r="L55" s="327" t="str">
        <x:v>2026-09-28</x:v>
      </x:c>
      <x:c r="M55" s="17" t="str">
        <x:f t="shared" si="0"/>
        <x:v>暂时测不了</x:v>
      </x:c>
    </x:row>
    <x:row r="56" ht="160" customHeight="1">
      <x:c r="A56" s="28" t="s">
        <x:v>2349</x:v>
      </x:c>
      <x:c r="B56" s="28" t="s">
        <x:v>2293</x:v>
      </x:c>
      <x:c r="C56" s="28" t="s">
        <x:v>88</x:v>
      </x:c>
      <x:c r="D56" s="29" t="s">
        <x:v>2350</x:v>
      </x:c>
      <x:c r="E56" s="29" t="s">
        <x:v>2351</x:v>
      </x:c>
      <x:c r="F56" s="29" t="s">
        <x:v>2352</x:v>
      </x:c>
      <x:c r="G56" s="29" t="s">
        <x:v>2353</x:v>
      </x:c>
      <x:c r="H56" s="303" t="str">
        <x:v>暂时测不了</x:v>
      </x:c>
      <x:c r="I56" s="303" t="str">
        <x:v>第十轮：缺与本事件对应的可控反制/干扰/光电测试设备及可信最终回执；MQTT工参只证明连接和工作状态，健康UNKNOWN不能当GOOD，不能伪造实机收令或停机核查。 本项步骤：PASS后仍待恢复核验；填写完成说明、再次检查通过才完成。</x:v>
      </x:c>
      <x:c r="J56" s="303" t="str">
        <x:v>第十轮报告；本轮隔离回归日志（不等于整行联测通过）</x:v>
      </x:c>
      <x:c r="K56" s="303" t="str">
        <x:v>Codex</x:v>
      </x:c>
      <x:c r="L56" s="327" t="str">
        <x:v>2026-09-28</x:v>
      </x:c>
      <x:c r="M56" s="17" t="str">
        <x:f t="shared" si="0"/>
        <x:v>暂时测不了</x:v>
      </x:c>
    </x:row>
    <x:row r="57" ht="160" customHeight="1">
      <x:c r="A57" s="28" t="s">
        <x:v>2354</x:v>
      </x:c>
      <x:c r="B57" s="28" t="s">
        <x:v>2293</x:v>
      </x:c>
      <x:c r="C57" s="28" t="s">
        <x:v>88</x:v>
      </x:c>
      <x:c r="D57" s="29" t="s">
        <x:v>2355</x:v>
      </x:c>
      <x:c r="E57" s="29" t="s">
        <x:v>2356</x:v>
      </x:c>
      <x:c r="F57" s="29" t="s">
        <x:v>2357</x:v>
      </x:c>
      <x:c r="G57" s="29" t="s">
        <x:v>2358</x:v>
      </x:c>
      <x:c r="H57" s="303" t="str">
        <x:v>暂时测不了</x:v>
      </x:c>
      <x:c r="I57" s="303" t="str">
        <x:v>第十轮：缺与本事件对应的可控反制/干扰/光电测试设备及可信最终回执；MQTT工参只证明连接和工作状态，健康UNKNOWN不能当GOOD，不能伪造实机收令或停机核查。 本项步骤：原PASS失效，要求重新核验；不能只看设备在线自动办结。</x:v>
      </x:c>
      <x:c r="J57" s="303" t="str">
        <x:v>第十轮报告；本轮隔离回归日志（不等于整行联测通过）</x:v>
      </x:c>
      <x:c r="K57" s="303" t="str">
        <x:v>Codex</x:v>
      </x:c>
      <x:c r="L57" s="327" t="str">
        <x:v>2026-09-28</x:v>
      </x:c>
      <x:c r="M57" s="17" t="str">
        <x:f t="shared" si="0"/>
        <x:v>暂时测不了</x:v>
      </x:c>
    </x:row>
    <x:row r="58" ht="160" customHeight="1">
      <x:c r="A58" s="28" t="s">
        <x:v>2359</x:v>
      </x:c>
      <x:c r="B58" s="28" t="s">
        <x:v>2293</x:v>
      </x:c>
      <x:c r="C58" s="28" t="s">
        <x:v>88</x:v>
      </x:c>
      <x:c r="D58" s="29" t="s">
        <x:v>2360</x:v>
      </x:c>
      <x:c r="E58" s="29" t="s">
        <x:v>2361</x:v>
      </x:c>
      <x:c r="F58" s="29" t="s">
        <x:v>2362</x:v>
      </x:c>
      <x:c r="G58" s="29" t="s">
        <x:v>2363</x:v>
      </x:c>
      <x:c r="H58" s="303" t="str">
        <x:v>暂时测不了</x:v>
      </x:c>
      <x:c r="I58" s="303" t="str">
        <x:v>第十轮：缺与本事件对应的可控反制/干扰/光电测试设备及可信最终回执；MQTT工参只证明连接和工作状态，健康UNKNOWN不能当GOOD，不能伪造实机收令或停机核查。 本项步骤：完成时重新检查并拒绝；旧PASS不能盖住当前问题。</x:v>
      </x:c>
      <x:c r="J58" s="303" t="str">
        <x:v>第十轮报告；本轮隔离回归日志（不等于整行联测通过）</x:v>
      </x:c>
      <x:c r="K58" s="303" t="str">
        <x:v>Codex</x:v>
      </x:c>
      <x:c r="L58" s="327" t="str">
        <x:v>2026-09-28</x:v>
      </x:c>
      <x:c r="M58" s="17" t="str">
        <x:f t="shared" si="0"/>
        <x:v>暂时测不了</x:v>
      </x:c>
    </x:row>
    <x:row r="59" ht="130" customHeight="1">
      <x:c r="A59" s="28" t="s">
        <x:v>2364</x:v>
      </x:c>
      <x:c r="B59" s="28" t="s">
        <x:v>2293</x:v>
      </x:c>
      <x:c r="C59" s="28" t="s">
        <x:v>88</x:v>
      </x:c>
      <x:c r="D59" s="29" t="s">
        <x:v>2365</x:v>
      </x:c>
      <x:c r="E59" s="29" t="s">
        <x:v>2366</x:v>
      </x:c>
      <x:c r="F59" s="29" t="s">
        <x:v>2367</x:v>
      </x:c>
      <x:c r="G59" s="29" t="s">
        <x:v>2368</x:v>
      </x:c>
      <x:c r="H59" s="20" t="s">
        <x:v>11</x:v>
      </x:c>
      <x:c r="I59" s="20" t="s">
        <x:v>2369</x:v>
      </x:c>
      <x:c r="J59" s="20" t="s">
        <x:v>2370</x:v>
      </x:c>
      <x:c r="K59" s="20" t="s">
        <x:v>92</x:v>
      </x:c>
      <x:c r="L59" s="21">
        <x:v>46292</x:v>
      </x:c>
      <x:c r="M59" s="17" t="str">
        <x:f t="shared" si="0"/>
        <x:v>记录齐全</x:v>
      </x:c>
    </x:row>
    <x:row r="60" ht="94" customHeight="1">
      <x:c r="A60" s="28" t="s">
        <x:v>2371</x:v>
      </x:c>
      <x:c r="B60" s="28" t="s">
        <x:v>2293</x:v>
      </x:c>
      <x:c r="C60" s="28" t="s">
        <x:v>88</x:v>
      </x:c>
      <x:c r="D60" s="29" t="s">
        <x:v>2372</x:v>
      </x:c>
      <x:c r="E60" s="29" t="s">
        <x:v>2373</x:v>
      </x:c>
      <x:c r="F60" s="29" t="s">
        <x:v>2374</x:v>
      </x:c>
      <x:c r="G60" s="29" t="s">
        <x:v>2375</x:v>
      </x:c>
      <x:c r="H60" s="20" t="s">
        <x:v>11</x:v>
      </x:c>
      <x:c r="I60" s="20" t="s">
        <x:v>2376</x:v>
      </x:c>
      <x:c r="J60" s="20" t="s">
        <x:v>2377</x:v>
      </x:c>
      <x:c r="K60" s="20" t="s">
        <x:v>1566</x:v>
      </x:c>
      <x:c r="L60" s="21" t="s">
        <x:v>1567</x:v>
      </x:c>
      <x:c r="M60" s="17" t="str">
        <x:f t="shared" si="0"/>
        <x:v>记录齐全</x:v>
      </x:c>
    </x:row>
    <x:row r="61" ht="160" customHeight="1">
      <x:c r="A61" s="28" t="s">
        <x:v>2378</x:v>
      </x:c>
      <x:c r="B61" s="28" t="s">
        <x:v>2293</x:v>
      </x:c>
      <x:c r="C61" s="28" t="s">
        <x:v>94</x:v>
      </x:c>
      <x:c r="D61" s="29" t="s">
        <x:v>2379</x:v>
      </x:c>
      <x:c r="E61" s="29" t="s">
        <x:v>2380</x:v>
      </x:c>
      <x:c r="F61" s="29" t="s">
        <x:v>2381</x:v>
      </x:c>
      <x:c r="G61" s="29" t="s">
        <x:v>2382</x:v>
      </x:c>
      <x:c r="H61" s="303" t="str">
        <x:v>暂时测不了</x:v>
      </x:c>
      <x:c r="I61" s="303" t="str">
        <x:v>第十轮：缺与本事件对应的可控反制/干扰/光电测试设备及可信最终回执；MQTT工参只证明连接和工作状态，健康UNKNOWN不能当GOOD，不能伪造实机收令或停机核查。 本项步骤：历史已反馈不补造恢复PASS；完成及历史只读；未完成覆盖处理中/待核验且总数一致。</x:v>
      </x:c>
      <x:c r="J61" s="303" t="str">
        <x:v>第十轮报告；本轮隔离回归日志（不等于整行联测通过）</x:v>
      </x:c>
      <x:c r="K61" s="303" t="str">
        <x:v>Codex</x:v>
      </x:c>
      <x:c r="L61" s="327" t="str">
        <x:v>2026-09-28</x:v>
      </x:c>
      <x:c r="M61" s="17" t="str">
        <x:f t="shared" si="0"/>
        <x:v>暂时测不了</x:v>
      </x:c>
    </x:row>
    <x:row r="62" ht="160" customHeight="1">
      <x:c r="A62" s="30" t="s">
        <x:v>2383</x:v>
      </x:c>
      <x:c r="B62" s="30" t="s">
        <x:v>2384</x:v>
      </x:c>
      <x:c r="C62" s="30" t="s">
        <x:v>88</x:v>
      </x:c>
      <x:c r="D62" s="31" t="s">
        <x:v>2385</x:v>
      </x:c>
      <x:c r="E62" s="31" t="s">
        <x:v>2386</x:v>
      </x:c>
      <x:c r="F62" s="31" t="s">
        <x:v>2387</x:v>
      </x:c>
      <x:c r="G62" s="31" t="s">
        <x:v>2388</x:v>
      </x:c>
      <x:c r="H62" s="20" t="s">
        <x:v>11</x:v>
      </x:c>
      <x:c r="I62" s="20" t="s">
        <x:v>2389</x:v>
      </x:c>
      <x:c r="J62" s="20" t="s">
        <x:v>2390</x:v>
      </x:c>
      <x:c r="K62" s="20" t="s">
        <x:v>92</x:v>
      </x:c>
      <x:c r="L62" s="21">
        <x:v>46293</x:v>
      </x:c>
      <x:c r="M62" s="17" t="str">
        <x:f t="shared" si="0"/>
        <x:v>记录齐全</x:v>
      </x:c>
    </x:row>
    <x:row r="63" ht="160" customHeight="1">
      <x:c r="A63" s="30" t="s">
        <x:v>2391</x:v>
      </x:c>
      <x:c r="B63" s="30" t="s">
        <x:v>2384</x:v>
      </x:c>
      <x:c r="C63" s="30" t="s">
        <x:v>88</x:v>
      </x:c>
      <x:c r="D63" s="31" t="s">
        <x:v>2392</x:v>
      </x:c>
      <x:c r="E63" s="31" t="s">
        <x:v>2393</x:v>
      </x:c>
      <x:c r="F63" s="31" t="s">
        <x:v>2394</x:v>
      </x:c>
      <x:c r="G63" s="31" t="s">
        <x:v>2395</x:v>
      </x:c>
      <x:c r="H63" s="20" t="s">
        <x:v>11</x:v>
      </x:c>
      <x:c r="I63" s="20" t="s">
        <x:v>2389</x:v>
      </x:c>
      <x:c r="J63" s="20" t="s">
        <x:v>2390</x:v>
      </x:c>
      <x:c r="K63" s="20" t="s">
        <x:v>92</x:v>
      </x:c>
      <x:c r="L63" s="21">
        <x:v>46293</x:v>
      </x:c>
      <x:c r="M63" s="17" t="str">
        <x:f t="shared" si="0"/>
        <x:v>记录齐全</x:v>
      </x:c>
    </x:row>
    <x:row r="64" ht="160" customHeight="1">
      <x:c r="A64" s="30" t="s">
        <x:v>2396</x:v>
      </x:c>
      <x:c r="B64" s="30" t="s">
        <x:v>2384</x:v>
      </x:c>
      <x:c r="C64" s="30" t="s">
        <x:v>94</x:v>
      </x:c>
      <x:c r="D64" s="31" t="s">
        <x:v>2397</x:v>
      </x:c>
      <x:c r="E64" s="31" t="s">
        <x:v>2398</x:v>
      </x:c>
      <x:c r="F64" s="31" t="s">
        <x:v>2399</x:v>
      </x:c>
      <x:c r="G64" s="31" t="s">
        <x:v>2400</x:v>
      </x:c>
      <x:c r="H64" s="303" t="str">
        <x:v>暂时测不了</x:v>
      </x:c>
      <x:c r="I64" s="303" t="str">
        <x:v>第十轮：缺与本事件对应的可控反制/干扰/光电测试设备及可信最终回执；MQTT工参只证明连接和工作状态，健康UNKNOWN不能当GOOD，不能伪造实机收令或停机核查。 本项步骤：定位同任务同设备；设备已删或权限改变时说明原因，不换成别的设备。</x:v>
      </x:c>
      <x:c r="J64" s="303" t="str">
        <x:v>第十轮报告；本轮隔离回归日志（不等于整行联测通过）</x:v>
      </x:c>
      <x:c r="K64" s="303" t="str">
        <x:v>Codex</x:v>
      </x:c>
      <x:c r="L64" s="327" t="str">
        <x:v>2026-09-28</x:v>
      </x:c>
      <x:c r="M64" s="17" t="str">
        <x:f t="shared" si="0"/>
        <x:v>暂时测不了</x:v>
      </x:c>
    </x:row>
    <x:row r="65" ht="160" customHeight="1">
      <x:c r="A65" s="30" t="s">
        <x:v>2401</x:v>
      </x:c>
      <x:c r="B65" s="30" t="s">
        <x:v>2384</x:v>
      </x:c>
      <x:c r="C65" s="30" t="s">
        <x:v>88</x:v>
      </x:c>
      <x:c r="D65" s="31" t="s">
        <x:v>2402</x:v>
      </x:c>
      <x:c r="E65" s="31" t="s">
        <x:v>2403</x:v>
      </x:c>
      <x:c r="F65" s="31" t="s">
        <x:v>2404</x:v>
      </x:c>
      <x:c r="G65" s="31" t="s">
        <x:v>2405</x:v>
      </x:c>
      <x:c r="H65" s="303" t="str">
        <x:v>暂时测不了</x:v>
      </x:c>
      <x:c r="I65" s="303" t="str">
        <x:v>第十轮：缺与本事件对应的可控反制/干扰/光电测试设备及可信最终回执；MQTT工参只证明连接和工作状态，健康UNKNOWN不能当GOOD，不能伪造实机收令或停机核查。 本项步骤：状态分别显示；后一次失败不抹掉先前送达，模拟不冒充真实送达。</x:v>
      </x:c>
      <x:c r="J65" s="303" t="str">
        <x:v>第十轮报告；本轮隔离回归日志（不等于整行联测通过）</x:v>
      </x:c>
      <x:c r="K65" s="303" t="str">
        <x:v>Codex</x:v>
      </x:c>
      <x:c r="L65" s="327" t="str">
        <x:v>2026-09-28</x:v>
      </x:c>
      <x:c r="M65" s="17" t="str">
        <x:f t="shared" si="0"/>
        <x:v>暂时测不了</x:v>
      </x:c>
    </x:row>
    <x:row r="66" ht="160" customHeight="1">
      <x:c r="A66" s="32" t="s">
        <x:v>2406</x:v>
      </x:c>
      <x:c r="B66" s="32" t="s">
        <x:v>2407</x:v>
      </x:c>
      <x:c r="C66" s="32" t="s">
        <x:v>88</x:v>
      </x:c>
      <x:c r="D66" s="33" t="s">
        <x:v>2408</x:v>
      </x:c>
      <x:c r="E66" s="33" t="s">
        <x:v>2409</x:v>
      </x:c>
      <x:c r="F66" s="33" t="s">
        <x:v>2410</x:v>
      </x:c>
      <x:c r="G66" s="33" t="s">
        <x:v>2411</x:v>
      </x:c>
      <x:c r="H66" s="303" t="str">
        <x:v>暂时测不了</x:v>
      </x:c>
      <x:c r="I66" s="303" t="str">
        <x:v>第十轮：缺与本事件对应的可控反制/干扰/光电测试设备及可信最终回执；MQTT工参只证明连接和工作状态，健康UNKNOWN不能当GOOD，不能伪造实机收令或停机核查。 本项步骤：按同设备当前事实更新；历史报修和通知保留，修好不等于无人机已经起飞。</x:v>
      </x:c>
      <x:c r="J66" s="303" t="str">
        <x:v>第十轮报告；本轮隔离回归日志（不等于整行联测通过）</x:v>
      </x:c>
      <x:c r="K66" s="303" t="str">
        <x:v>Codex</x:v>
      </x:c>
      <x:c r="L66" s="327" t="str">
        <x:v>2026-09-28</x:v>
      </x:c>
      <x:c r="M66" s="17" t="str">
        <x:f t="shared" si="0"/>
        <x:v>暂时测不了</x:v>
      </x:c>
    </x:row>
    <x:row r="67" ht="160" customHeight="1">
      <x:c r="A67" s="32" t="s">
        <x:v>2412</x:v>
      </x:c>
      <x:c r="B67" s="32" t="s">
        <x:v>2407</x:v>
      </x:c>
      <x:c r="C67" s="32" t="s">
        <x:v>88</x:v>
      </x:c>
      <x:c r="D67" s="33" t="s">
        <x:v>2413</x:v>
      </x:c>
      <x:c r="E67" s="33" t="s">
        <x:v>2414</x:v>
      </x:c>
      <x:c r="F67" s="33" t="s">
        <x:v>2415</x:v>
      </x:c>
      <x:c r="G67" s="33" t="s">
        <x:v>2416</x:v>
      </x:c>
      <x:c r="H67" s="303" t="str">
        <x:v>暂时测不了</x:v>
      </x:c>
      <x:c r="I67" s="303" t="str">
        <x:v>第十轮：缺与本事件对应的可控反制/干扰/光电测试设备及可信最终回执；MQTT工参只证明连接和工作状态，健康UNKNOWN不能当GOOD，不能伪造实机收令或停机核查。 本项步骤：先回查原请求和当前版本，不重复推进或凭页面超时当失败。</x:v>
      </x:c>
      <x:c r="J67" s="303" t="str">
        <x:v>第十轮报告；本轮隔离回归日志（不等于整行联测通过）</x:v>
      </x:c>
      <x:c r="K67" s="303" t="str">
        <x:v>Codex</x:v>
      </x:c>
      <x:c r="L67" s="327" t="str">
        <x:v>2026-09-28</x:v>
      </x:c>
      <x:c r="M67" s="17" t="str">
        <x:f t="shared" si="0"/>
        <x:v>暂时测不了</x:v>
      </x:c>
    </x:row>
    <x:row r="68" ht="160" customHeight="1">
      <x:c r="A68" s="32" t="s">
        <x:v>2417</x:v>
      </x:c>
      <x:c r="B68" s="32" t="s">
        <x:v>2407</x:v>
      </x:c>
      <x:c r="C68" s="32" t="s">
        <x:v>94</x:v>
      </x:c>
      <x:c r="D68" s="33" t="s">
        <x:v>2418</x:v>
      </x:c>
      <x:c r="E68" s="33" t="s">
        <x:v>2419</x:v>
      </x:c>
      <x:c r="F68" s="33" t="s">
        <x:v>2420</x:v>
      </x:c>
      <x:c r="G68" s="33" t="s">
        <x:v>2421</x:v>
      </x:c>
      <x:c r="H68" s="303" t="str">
        <x:v>暂时测不了</x:v>
      </x:c>
      <x:c r="I68" s="303" t="str">
        <x:v>第十轮：缺与本事件对应的可控反制/干扰/光电测试设备及可信最终回执；MQTT工参只证明连接和工作状态，健康UNKNOWN不能当GOOD，不能伪造实机收令或停机核查。 本项步骤：查询持久状态和原任务，不重复创建；未取得设备结果仍显示未知/处理中。</x:v>
      </x:c>
      <x:c r="J68" s="303" t="str">
        <x:v>第十轮报告；本轮隔离回归日志（不等于整行联测通过）</x:v>
      </x:c>
      <x:c r="K68" s="303" t="str">
        <x:v>Codex</x:v>
      </x:c>
      <x:c r="L68" s="327" t="str">
        <x:v>2026-09-28</x:v>
      </x:c>
      <x:c r="M68" s="17" t="str">
        <x:f t="shared" si="0"/>
        <x:v>暂时测不了</x:v>
      </x:c>
    </x:row>
    <x:row r="69" ht="130" customHeight="1">
      <x:c r="A69" s="32" t="s">
        <x:v>852</x:v>
      </x:c>
      <x:c r="B69" s="32" t="s">
        <x:v>2407</x:v>
      </x:c>
      <x:c r="C69" s="32" t="s">
        <x:v>88</x:v>
      </x:c>
      <x:c r="D69" s="33" t="s">
        <x:v>2422</x:v>
      </x:c>
      <x:c r="E69" s="33" t="s">
        <x:v>2423</x:v>
      </x:c>
      <x:c r="F69" s="33" t="s">
        <x:v>2424</x:v>
      </x:c>
      <x:c r="G69" s="33" t="s">
        <x:v>2425</x:v>
      </x:c>
      <x:c r="H69" s="303" t="str">
        <x:v>暂时测不了</x:v>
      </x:c>
      <x:c r="I69" s="303" t="str">
        <x:v>第十轮：API已返回中文运维动作、object_type/object_id，真实维护审计对象可追溯；前端详情与动作筛选代码、129测试和构建通过。新管理端登录被拒绝，页面最终闭环未验，不能以API替代整项。</x:v>
      </x:c>
      <x:c r="J69" s="303" t="str">
        <x:v>audit-maintenance-final.json；admin-test.log；audit-final-package.log；BUG-007修复后待页面验收</x:v>
      </x:c>
      <x:c r="K69" s="303" t="str">
        <x:v>Codex</x:v>
      </x:c>
      <x:c r="L69" s="327" t="str">
        <x:v>2026-09-28</x:v>
      </x:c>
      <x:c r="M69" s="17" t="str">
        <x:f t="shared" si="0"/>
        <x:v>有问题</x:v>
      </x:c>
    </x:row>
  </x:sheetData>
  <x:mergeCells>
    <x:mergeCell ref="A3:M3"/>
    <x:mergeCell ref="A4:M4"/>
  </x:mergeCells>
  <x:conditionalFormatting sqref="H6:H69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3" priority="3" operator="equal">
      <x:formula>"记录齐全"</x:formula>
    </x:cfRule>
    <x:cfRule type="cellIs" dxfId="0" priority="4" operator="equal">
      <x:formula>"有问题"</x:formula>
    </x:cfRule>
    <x:cfRule type="cellIs" dxfId="4" priority="5" operator="equal">
      <x:formula>"暂时测不了"</x:formula>
    </x:cfRule>
    <x:cfRule type="cellIs" dxfId="4" priority="6" operator="equal">
      <x:formula>"待补证据"</x:formula>
    </x:cfRule>
    <x:cfRule type="cellIs" dxfId="7" priority="7" operator="equal">
      <x:formula>"进行中"</x:formula>
    </x:cfRule>
  </x:conditionalFormatting>
  <x:conditionalFormatting sqref="M6:M69">
    <x:cfRule type="cellIs" dxfId="2" priority="8" operator="equal">
      <x:formula>"还没测"</x:formula>
    </x:cfRule>
    <x:cfRule type="cellIs" dxfId="3" priority="9" operator="equal">
      <x:formula>"通过"</x:formula>
    </x:cfRule>
    <x:cfRule type="cellIs" dxfId="3" priority="10" operator="equal">
      <x:formula>"记录齐全"</x:formula>
    </x:cfRule>
    <x:cfRule type="cellIs" dxfId="0" priority="11" operator="equal">
      <x:formula>"有问题"</x:formula>
    </x:cfRule>
    <x:cfRule type="cellIs" dxfId="4" priority="12" operator="equal">
      <x:formula>"暂时测不了"</x:formula>
    </x:cfRule>
    <x:cfRule type="cellIs" dxfId="4" priority="13" operator="equal">
      <x:formula>"待补证据"</x:formula>
    </x:cfRule>
    <x:cfRule type="cellIs" dxfId="7" priority="14" operator="equal">
      <x:formula>"进行中"</x:formula>
    </x:cfRule>
  </x:conditionalFormatting>
  <x:dataValidations count="1">
    <x:dataValidation type="list" sqref="H6:H69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53cc7ca3904d5f"/>
  </x:tableParts>
</x:worksheet>
</file>

<file path=xl/worksheets/sheet1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ColWidth="9" defaultRowHeight="14"/>
  <x:cols>
    <x:col min="1" max="1" width="14" customWidth="1"/>
    <x:col min="2" max="2" width="23" customWidth="1"/>
    <x:col min="3" max="3" width="47" customWidth="1"/>
    <x:col min="4" max="4" width="62" customWidth="1"/>
    <x:col min="5" max="5" width="18" customWidth="1"/>
    <x:col min="6" max="6" width="48" customWidth="1"/>
    <x:col min="7" max="7" width="58" customWidth="1"/>
  </x:cols>
  <x:sheetData>
    <x:row r="1" ht="38" customHeight="1">
      <x:c r="A1" s="1" t="s">
        <x:v>2426</x:v>
      </x:c>
      <x:c r="B1" s="1"/>
      <x:c r="C1" s="1"/>
      <x:c r="D1" s="1"/>
      <x:c r="E1" s="1"/>
      <x:c r="F1" s="1"/>
      <x:c r="G1" s="1"/>
    </x:row>
    <x:row r="2" ht="42" customHeight="1">
      <x:c r="A2" s="2" t="s">
        <x:v>2427</x:v>
      </x:c>
      <x:c r="B2" s="2"/>
      <x:c r="C2" s="2"/>
      <x:c r="D2" s="2"/>
      <x:c r="E2" s="2"/>
      <x:c r="F2" s="2"/>
      <x:c r="G2" s="2"/>
    </x:row>
    <x:row r="4" ht="32" customHeight="1">
      <x:c r="A4" s="3" t="s">
        <x:v>2428</x:v>
      </x:c>
      <x:c r="B4" s="3" t="s">
        <x:v>2429</x:v>
      </x:c>
      <x:c r="C4" s="3" t="s">
        <x:v>2430</x:v>
      </x:c>
      <x:c r="D4" s="3" t="s">
        <x:v>2431</x:v>
      </x:c>
      <x:c r="E4" s="3" t="s">
        <x:v>2432</x:v>
      </x:c>
      <x:c r="F4" s="3" t="s">
        <x:v>2433</x:v>
      </x:c>
      <x:c r="G4" s="3" t="s">
        <x:v>2434</x:v>
      </x:c>
    </x:row>
    <x:row r="5" ht="94" customHeight="1">
      <x:c r="A5" s="4" t="s">
        <x:v>2435</x:v>
      </x:c>
      <x:c r="B5" s="4" t="s">
        <x:v>2436</x:v>
      </x:c>
      <x:c r="C5" s="4" t="s">
        <x:v>2437</x:v>
      </x:c>
      <x:c r="D5" s="4" t="s">
        <x:v>2438</x:v>
      </x:c>
      <x:c r="E5" s="4" t="s">
        <x:v>11</x:v>
      </x:c>
      <x:c r="F5" s="4" t="s">
        <x:v>2439</x:v>
      </x:c>
      <x:c r="G5" s="4" t="s">
        <x:v>2440</x:v>
      </x:c>
    </x:row>
    <x:row r="6" ht="94" customHeight="1">
      <x:c r="A6" s="5" t="s">
        <x:v>2441</x:v>
      </x:c>
      <x:c r="B6" s="5" t="s">
        <x:v>2442</x:v>
      </x:c>
      <x:c r="C6" s="5" t="s">
        <x:v>2443</x:v>
      </x:c>
      <x:c r="D6" s="5" t="s">
        <x:v>2444</x:v>
      </x:c>
      <x:c r="E6" s="5" t="s">
        <x:v>11</x:v>
      </x:c>
      <x:c r="F6" s="5" t="s">
        <x:v>2445</x:v>
      </x:c>
      <x:c r="G6" s="5" t="s">
        <x:v>2446</x:v>
      </x:c>
    </x:row>
    <x:row r="7" ht="94" customHeight="1">
      <x:c r="A7" s="4" t="s">
        <x:v>2447</x:v>
      </x:c>
      <x:c r="B7" s="4" t="s">
        <x:v>2448</x:v>
      </x:c>
      <x:c r="C7" s="4" t="s">
        <x:v>2449</x:v>
      </x:c>
      <x:c r="D7" s="4" t="s">
        <x:v>2450</x:v>
      </x:c>
      <x:c r="E7" s="4" t="s">
        <x:v>11</x:v>
      </x:c>
      <x:c r="F7" s="4" t="s">
        <x:v>2451</x:v>
      </x:c>
      <x:c r="G7" s="4" t="s">
        <x:v>2452</x:v>
      </x:c>
    </x:row>
    <x:row r="8" ht="94" customHeight="1">
      <x:c r="A8" s="5" t="s">
        <x:v>2453</x:v>
      </x:c>
      <x:c r="B8" s="5" t="s">
        <x:v>2454</x:v>
      </x:c>
      <x:c r="C8" s="5" t="s">
        <x:v>2455</x:v>
      </x:c>
      <x:c r="D8" s="5" t="s">
        <x:v>2456</x:v>
      </x:c>
      <x:c r="E8" s="5" t="s">
        <x:v>11</x:v>
      </x:c>
      <x:c r="F8" s="5" t="s">
        <x:v>2457</x:v>
      </x:c>
      <x:c r="G8" s="5" t="s">
        <x:v>2458</x:v>
      </x:c>
    </x:row>
    <x:row r="9" ht="94" customHeight="1">
      <x:c r="A9" s="4" t="s">
        <x:v>2459</x:v>
      </x:c>
      <x:c r="B9" s="4" t="s">
        <x:v>2460</x:v>
      </x:c>
      <x:c r="C9" s="4" t="s">
        <x:v>2461</x:v>
      </x:c>
      <x:c r="D9" s="4" t="s">
        <x:v>2462</x:v>
      </x:c>
      <x:c r="E9" s="4" t="s">
        <x:v>11</x:v>
      </x:c>
      <x:c r="F9" s="4" t="s">
        <x:v>2463</x:v>
      </x:c>
      <x:c r="G9" s="4" t="s">
        <x:v>2464</x:v>
      </x:c>
    </x:row>
    <x:row r="10" ht="94" customHeight="1">
      <x:c r="A10" s="5" t="s">
        <x:v>2465</x:v>
      </x:c>
      <x:c r="B10" s="5" t="s">
        <x:v>2466</x:v>
      </x:c>
      <x:c r="C10" s="5" t="s">
        <x:v>2467</x:v>
      </x:c>
      <x:c r="D10" s="5" t="s">
        <x:v>2468</x:v>
      </x:c>
      <x:c r="E10" s="5" t="s">
        <x:v>11</x:v>
      </x:c>
      <x:c r="F10" s="5" t="s">
        <x:v>2469</x:v>
      </x:c>
      <x:c r="G10" s="5" t="s">
        <x:v>2470</x:v>
      </x:c>
    </x:row>
    <x:row r="11" ht="94" customHeight="1">
      <x:c r="A11" s="4" t="s">
        <x:v>2471</x:v>
      </x:c>
      <x:c r="B11" s="4" t="s">
        <x:v>2472</x:v>
      </x:c>
      <x:c r="C11" s="4" t="s">
        <x:v>2473</x:v>
      </x:c>
      <x:c r="D11" s="4" t="s">
        <x:v>2474</x:v>
      </x:c>
      <x:c r="E11" s="4" t="s">
        <x:v>11</x:v>
      </x:c>
      <x:c r="F11" s="4" t="s">
        <x:v>2475</x:v>
      </x:c>
      <x:c r="G11" s="4" t="s">
        <x:v>2476</x:v>
      </x:c>
    </x:row>
    <x:row r="12" ht="94" customHeight="1">
      <x:c r="A12" s="5" t="s">
        <x:v>2477</x:v>
      </x:c>
      <x:c r="B12" s="5" t="s">
        <x:v>2478</x:v>
      </x:c>
      <x:c r="C12" s="5" t="s">
        <x:v>2479</x:v>
      </x:c>
      <x:c r="D12" s="5" t="s">
        <x:v>2480</x:v>
      </x:c>
      <x:c r="E12" s="5" t="s">
        <x:v>11</x:v>
      </x:c>
      <x:c r="F12" s="5" t="s">
        <x:v>2481</x:v>
      </x:c>
      <x:c r="G12" s="5" t="s">
        <x:v>2482</x:v>
      </x:c>
    </x:row>
    <x:row r="13" ht="94" customHeight="1">
      <x:c r="A13" s="4" t="s">
        <x:v>2483</x:v>
      </x:c>
      <x:c r="B13" s="4" t="s">
        <x:v>2484</x:v>
      </x:c>
      <x:c r="C13" s="4" t="s">
        <x:v>2485</x:v>
      </x:c>
      <x:c r="D13" s="4" t="s">
        <x:v>2486</x:v>
      </x:c>
      <x:c r="E13" s="4" t="s">
        <x:v>2</x:v>
      </x:c>
      <x:c r="F13" s="4" t="s">
        <x:v>2487</x:v>
      </x:c>
      <x:c r="G13" s="4" t="s">
        <x:v>2488</x:v>
      </x:c>
    </x:row>
    <x:row r="14" ht="94" customHeight="1">
      <x:c r="A14" s="5" t="s">
        <x:v>2489</x:v>
      </x:c>
      <x:c r="B14" s="5" t="s">
        <x:v>757</x:v>
      </x:c>
      <x:c r="C14" s="5" t="s">
        <x:v>2490</x:v>
      </x:c>
      <x:c r="D14" s="5" t="s">
        <x:v>2491</x:v>
      </x:c>
      <x:c r="E14" s="5" t="s">
        <x:v>2492</x:v>
      </x:c>
      <x:c r="F14" s="5" t="s">
        <x:v>2493</x:v>
      </x:c>
      <x:c r="G14" s="5" t="s">
        <x:v>2494</x:v>
      </x:c>
    </x:row>
    <x:row r="15" ht="94" customHeight="1">
      <x:c r="A15" s="4" t="s">
        <x:v>2495</x:v>
      </x:c>
      <x:c r="B15" s="4" t="s">
        <x:v>2496</x:v>
      </x:c>
      <x:c r="C15" s="4" t="s">
        <x:v>2497</x:v>
      </x:c>
      <x:c r="D15" s="4" t="s">
        <x:v>2498</x:v>
      </x:c>
      <x:c r="E15" s="4" t="s">
        <x:v>11</x:v>
      </x:c>
      <x:c r="F15" s="4" t="s">
        <x:v>2499</x:v>
      </x:c>
      <x:c r="G15" s="4" t="s">
        <x:v>2500</x:v>
      </x:c>
    </x:row>
    <x:row r="16" ht="94" customHeight="1">
      <x:c r="A16" s="5" t="s">
        <x:v>2501</x:v>
      </x:c>
      <x:c r="B16" s="5" t="s">
        <x:v>2502</x:v>
      </x:c>
      <x:c r="C16" s="5" t="s">
        <x:v>2503</x:v>
      </x:c>
      <x:c r="D16" s="5" t="s">
        <x:v>2504</x:v>
      </x:c>
      <x:c r="E16" s="5" t="s">
        <x:v>11</x:v>
      </x:c>
      <x:c r="F16" s="5" t="s">
        <x:v>2505</x:v>
      </x:c>
      <x:c r="G16" s="5" t="s">
        <x:v>2506</x:v>
      </x:c>
    </x:row>
    <x:row r="18" ht="44" customHeight="1">
      <x:c r="A18" s="6" t="s">
        <x:v>2507</x:v>
      </x:c>
      <x:c r="B18" s="6"/>
      <x:c r="C18" s="6"/>
      <x:c r="D18" s="6"/>
      <x:c r="E18" s="6"/>
      <x:c r="F18" s="6"/>
      <x:c r="G18" s="6"/>
    </x:row>
    <x:row r="19" ht="44" customHeight="1">
      <x:c r="A19" s="7" t="s">
        <x:v>2508</x:v>
      </x:c>
      <x:c r="B19" s="7"/>
      <x:c r="C19" s="7"/>
      <x:c r="D19" s="7"/>
      <x:c r="E19" s="7"/>
      <x:c r="F19" s="7"/>
      <x:c r="G19" s="7"/>
    </x:row>
    <x:row r="21" ht="34" customHeight="1">
      <x:c r="A21" s="8" t="s">
        <x:v>2509</x:v>
      </x:c>
      <x:c r="B21" s="8"/>
      <x:c r="C21" s="8"/>
      <x:c r="D21" s="8"/>
      <x:c r="E21" s="8"/>
      <x:c r="F21" s="8"/>
      <x:c r="G21" s="8"/>
    </x:row>
    <x:row r="23" ht="32" customHeight="1">
      <x:c r="A23" s="9" t="s">
        <x:v>2428</x:v>
      </x:c>
      <x:c r="B23" s="9" t="s">
        <x:v>2429</x:v>
      </x:c>
      <x:c r="C23" s="9" t="s">
        <x:v>2430</x:v>
      </x:c>
      <x:c r="D23" s="9" t="s">
        <x:v>2431</x:v>
      </x:c>
      <x:c r="E23" s="9" t="s">
        <x:v>2432</x:v>
      </x:c>
      <x:c r="F23" s="9" t="s">
        <x:v>2433</x:v>
      </x:c>
      <x:c r="G23" s="9" t="s">
        <x:v>2434</x:v>
      </x:c>
    </x:row>
    <x:row r="24" ht="112" customHeight="1">
      <x:c r="A24" s="4" t="s">
        <x:v>2510</x:v>
      </x:c>
      <x:c r="B24" s="4" t="s">
        <x:v>2511</x:v>
      </x:c>
      <x:c r="C24" s="4" t="s">
        <x:v>2512</x:v>
      </x:c>
      <x:c r="D24" s="4" t="s">
        <x:v>2513</x:v>
      </x:c>
      <x:c r="E24" s="10" t="s">
        <x:v>11</x:v>
      </x:c>
      <x:c r="F24" s="4" t="s">
        <x:v>2514</x:v>
      </x:c>
      <x:c r="G24" s="4" t="s">
        <x:v>2515</x:v>
      </x:c>
    </x:row>
    <x:row r="25" ht="112" customHeight="1">
      <x:c r="A25" s="5" t="s">
        <x:v>2516</x:v>
      </x:c>
      <x:c r="B25" s="5" t="s">
        <x:v>2517</x:v>
      </x:c>
      <x:c r="C25" s="5" t="s">
        <x:v>2518</x:v>
      </x:c>
      <x:c r="D25" s="5" t="s">
        <x:v>2519</x:v>
      </x:c>
      <x:c r="E25" s="10" t="s">
        <x:v>11</x:v>
      </x:c>
      <x:c r="F25" s="5" t="s">
        <x:v>2520</x:v>
      </x:c>
      <x:c r="G25" s="5" t="s">
        <x:v>2521</x:v>
      </x:c>
    </x:row>
    <x:row r="26" ht="112" customHeight="1">
      <x:c r="A26" s="4" t="s">
        <x:v>2522</x:v>
      </x:c>
      <x:c r="B26" s="4" t="s">
        <x:v>2523</x:v>
      </x:c>
      <x:c r="C26" s="4" t="s">
        <x:v>2524</x:v>
      </x:c>
      <x:c r="D26" s="4" t="s">
        <x:v>2525</x:v>
      </x:c>
      <x:c r="E26" s="10" t="s">
        <x:v>11</x:v>
      </x:c>
      <x:c r="F26" s="4" t="s">
        <x:v>2514</x:v>
      </x:c>
      <x:c r="G26" s="4" t="s">
        <x:v>2526</x:v>
      </x:c>
    </x:row>
    <x:row r="27" ht="112" customHeight="1">
      <x:c r="A27" s="5" t="s">
        <x:v>2527</x:v>
      </x:c>
      <x:c r="B27" s="5" t="s">
        <x:v>2528</x:v>
      </x:c>
      <x:c r="C27" s="5" t="s">
        <x:v>2529</x:v>
      </x:c>
      <x:c r="D27" s="5" t="s">
        <x:v>2530</x:v>
      </x:c>
      <x:c r="E27" s="10" t="s">
        <x:v>11</x:v>
      </x:c>
      <x:c r="F27" s="5" t="s">
        <x:v>2531</x:v>
      </x:c>
      <x:c r="G27" s="5" t="s">
        <x:v>2532</x:v>
      </x:c>
    </x:row>
    <x:row r="28" ht="112" customHeight="1">
      <x:c r="A28" s="4" t="s">
        <x:v>2533</x:v>
      </x:c>
      <x:c r="B28" s="4" t="s">
        <x:v>2534</x:v>
      </x:c>
      <x:c r="C28" s="4" t="s">
        <x:v>2535</x:v>
      </x:c>
      <x:c r="D28" s="4" t="s">
        <x:v>2536</x:v>
      </x:c>
      <x:c r="E28" s="11" t="s">
        <x:v>3</x:v>
      </x:c>
      <x:c r="F28" s="4" t="s">
        <x:v>2537</x:v>
      </x:c>
      <x:c r="G28" s="4" t="s">
        <x:v>2538</x:v>
      </x:c>
    </x:row>
    <x:row r="30" ht="44" customHeight="1">
      <x:c r="A30" s="6" t="s">
        <x:v>2539</x:v>
      </x:c>
      <x:c r="B30" s="6"/>
      <x:c r="C30" s="6"/>
      <x:c r="D30" s="6"/>
      <x:c r="E30" s="6"/>
      <x:c r="F30" s="6"/>
      <x:c r="G30" s="6"/>
    </x:row>
    <x:row r="32" ht="34" customHeight="1">
      <x:c r="A32" s="8" t="s">
        <x:v>2540</x:v>
      </x:c>
      <x:c r="B32" s="8"/>
      <x:c r="C32" s="8"/>
      <x:c r="D32" s="8"/>
      <x:c r="E32" s="8"/>
      <x:c r="F32" s="8"/>
      <x:c r="G32" s="8"/>
    </x:row>
    <x:row r="34" ht="32" customHeight="1">
      <x:c r="A34" s="9" t="s">
        <x:v>2428</x:v>
      </x:c>
      <x:c r="B34" s="9" t="s">
        <x:v>2429</x:v>
      </x:c>
      <x:c r="C34" s="9" t="s">
        <x:v>2430</x:v>
      </x:c>
      <x:c r="D34" s="9" t="s">
        <x:v>2431</x:v>
      </x:c>
      <x:c r="E34" s="9" t="s">
        <x:v>2432</x:v>
      </x:c>
      <x:c r="F34" s="9" t="s">
        <x:v>2541</x:v>
      </x:c>
      <x:c r="G34" s="9" t="s">
        <x:v>2434</x:v>
      </x:c>
    </x:row>
    <x:row r="35" ht="116" customHeight="1">
      <x:c r="A35" s="4" t="s">
        <x:v>2542</x:v>
      </x:c>
      <x:c r="B35" s="4" t="s">
        <x:v>731</x:v>
      </x:c>
      <x:c r="C35" s="4" t="s">
        <x:v>2543</x:v>
      </x:c>
      <x:c r="D35" s="4" t="s">
        <x:v>2544</x:v>
      </x:c>
      <x:c r="E35" s="4" t="s">
        <x:v>11</x:v>
      </x:c>
      <x:c r="F35" s="4" t="s">
        <x:v>2545</x:v>
      </x:c>
      <x:c r="G35" s="4" t="s">
        <x:v>2546</x:v>
      </x:c>
    </x:row>
    <x:row r="36" ht="116" customHeight="1">
      <x:c r="A36" s="5" t="s">
        <x:v>2547</x:v>
      </x:c>
      <x:c r="B36" s="5" t="s">
        <x:v>705</x:v>
      </x:c>
      <x:c r="C36" s="5" t="s">
        <x:v>2548</x:v>
      </x:c>
      <x:c r="D36" s="5" t="s">
        <x:v>2549</x:v>
      </x:c>
      <x:c r="E36" s="5" t="s">
        <x:v>2550</x:v>
      </x:c>
      <x:c r="F36" s="5" t="s">
        <x:v>2551</x:v>
      </x:c>
      <x:c r="G36" s="5" t="s">
        <x:v>2552</x:v>
      </x:c>
    </x:row>
    <x:row r="37" ht="116" customHeight="1">
      <x:c r="A37" s="4" t="s">
        <x:v>2553</x:v>
      </x:c>
      <x:c r="B37" s="4" t="s">
        <x:v>739</x:v>
      </x:c>
      <x:c r="C37" s="4" t="s">
        <x:v>2554</x:v>
      </x:c>
      <x:c r="D37" s="4" t="s">
        <x:v>2555</x:v>
      </x:c>
      <x:c r="E37" s="4" t="s">
        <x:v>3</x:v>
      </x:c>
      <x:c r="F37" s="4" t="s">
        <x:v>2556</x:v>
      </x:c>
      <x:c r="G37" s="4" t="s">
        <x:v>2557</x:v>
      </x:c>
    </x:row>
    <x:row r="38" ht="116" customHeight="1">
      <x:c r="A38" s="5" t="s">
        <x:v>2558</x:v>
      </x:c>
      <x:c r="B38" s="5" t="s">
        <x:v>2559</x:v>
      </x:c>
      <x:c r="C38" s="5" t="s">
        <x:v>2560</x:v>
      </x:c>
      <x:c r="D38" s="5" t="s">
        <x:v>2561</x:v>
      </x:c>
      <x:c r="E38" s="5" t="s">
        <x:v>2562</x:v>
      </x:c>
      <x:c r="F38" s="5" t="s">
        <x:v>2563</x:v>
      </x:c>
      <x:c r="G38" s="5" t="s">
        <x:v>2564</x:v>
      </x:c>
    </x:row>
    <x:row r="39" ht="116" customHeight="1">
      <x:c r="A39" s="4" t="s">
        <x:v>2565</x:v>
      </x:c>
      <x:c r="B39" s="4" t="s">
        <x:v>2566</x:v>
      </x:c>
      <x:c r="C39" s="4" t="s">
        <x:v>2567</x:v>
      </x:c>
      <x:c r="D39" s="4" t="s">
        <x:v>2568</x:v>
      </x:c>
      <x:c r="E39" s="4" t="s">
        <x:v>11</x:v>
      </x:c>
      <x:c r="F39" s="4" t="s">
        <x:v>2569</x:v>
      </x:c>
      <x:c r="G39" s="4" t="s">
        <x:v>2570</x:v>
      </x:c>
    </x:row>
    <x:row r="40" ht="116" customHeight="1">
      <x:c r="A40" s="5" t="s">
        <x:v>2571</x:v>
      </x:c>
      <x:c r="B40" s="5" t="s">
        <x:v>2572</x:v>
      </x:c>
      <x:c r="C40" s="5" t="s">
        <x:v>2573</x:v>
      </x:c>
      <x:c r="D40" s="5" t="s">
        <x:v>2574</x:v>
      </x:c>
      <x:c r="E40" s="5" t="s">
        <x:v>11</x:v>
      </x:c>
      <x:c r="F40" s="5" t="s">
        <x:v>2569</x:v>
      </x:c>
      <x:c r="G40" s="5" t="s">
        <x:v>2575</x:v>
      </x:c>
    </x:row>
    <x:row r="41" ht="116" customHeight="1">
      <x:c r="A41" s="4" t="s">
        <x:v>2576</x:v>
      </x:c>
      <x:c r="B41" s="4" t="s">
        <x:v>2577</x:v>
      </x:c>
      <x:c r="C41" s="4" t="s">
        <x:v>2578</x:v>
      </x:c>
      <x:c r="D41" s="4" t="s">
        <x:v>2579</x:v>
      </x:c>
      <x:c r="E41" s="4" t="s">
        <x:v>11</x:v>
      </x:c>
      <x:c r="F41" s="4" t="s">
        <x:v>2580</x:v>
      </x:c>
      <x:c r="G41" s="4" t="s">
        <x:v>2581</x:v>
      </x:c>
    </x:row>
    <x:row r="42" ht="116" customHeight="1">
      <x:c r="A42" s="5" t="s">
        <x:v>2582</x:v>
      </x:c>
      <x:c r="B42" s="5" t="s">
        <x:v>2583</x:v>
      </x:c>
      <x:c r="C42" s="5" t="s">
        <x:v>2584</x:v>
      </x:c>
      <x:c r="D42" s="5" t="s">
        <x:v>2585</x:v>
      </x:c>
      <x:c r="E42" s="5" t="s">
        <x:v>11</x:v>
      </x:c>
      <x:c r="F42" s="5" t="s">
        <x:v>2586</x:v>
      </x:c>
      <x:c r="G42" s="5" t="s">
        <x:v>2587</x:v>
      </x:c>
    </x:row>
    <x:row r="43" ht="116" customHeight="1">
      <x:c r="A43" s="4" t="s">
        <x:v>2588</x:v>
      </x:c>
      <x:c r="B43" s="4" t="s">
        <x:v>2589</x:v>
      </x:c>
      <x:c r="C43" s="4" t="s">
        <x:v>2590</x:v>
      </x:c>
      <x:c r="D43" s="4" t="s">
        <x:v>2591</x:v>
      </x:c>
      <x:c r="E43" s="4" t="s">
        <x:v>2592</x:v>
      </x:c>
      <x:c r="F43" s="4" t="s">
        <x:v>2593</x:v>
      </x:c>
      <x:c r="G43" s="4" t="s">
        <x:v>2594</x:v>
      </x:c>
    </x:row>
    <x:row r="44" ht="116" customHeight="1">
      <x:c r="A44" s="5" t="s">
        <x:v>2595</x:v>
      </x:c>
      <x:c r="B44" s="5" t="s">
        <x:v>2596</x:v>
      </x:c>
      <x:c r="C44" s="5" t="s">
        <x:v>2597</x:v>
      </x:c>
      <x:c r="D44" s="5" t="s">
        <x:v>2598</x:v>
      </x:c>
      <x:c r="E44" s="5" t="s">
        <x:v>2599</x:v>
      </x:c>
      <x:c r="F44" s="5" t="s">
        <x:v>2600</x:v>
      </x:c>
      <x:c r="G44" s="5" t="s">
        <x:v>2601</x:v>
      </x:c>
    </x:row>
    <x:row r="46" ht="44" customHeight="1">
      <x:c r="A46" s="6" t="s">
        <x:v>2602</x:v>
      </x:c>
      <x:c r="B46" s="6"/>
      <x:c r="C46" s="6"/>
      <x:c r="D46" s="6"/>
      <x:c r="E46" s="6"/>
      <x:c r="F46" s="6"/>
      <x:c r="G46" s="6"/>
    </x:row>
    <x:row r="48" ht="34" customHeight="1">
      <x:c r="A48" s="8" t="s">
        <x:v>2603</x:v>
      </x:c>
      <x:c r="B48" s="8"/>
      <x:c r="C48" s="8"/>
      <x:c r="D48" s="8"/>
      <x:c r="E48" s="8"/>
      <x:c r="F48" s="8"/>
      <x:c r="G48" s="8"/>
    </x:row>
    <x:row r="50" ht="32" customHeight="1">
      <x:c r="A50" s="9" t="s">
        <x:v>2428</x:v>
      </x:c>
      <x:c r="B50" s="9" t="s">
        <x:v>2429</x:v>
      </x:c>
      <x:c r="C50" s="9" t="s">
        <x:v>2430</x:v>
      </x:c>
      <x:c r="D50" s="9" t="s">
        <x:v>2431</x:v>
      </x:c>
      <x:c r="E50" s="9" t="s">
        <x:v>2432</x:v>
      </x:c>
      <x:c r="F50" s="9" t="s">
        <x:v>2604</x:v>
      </x:c>
      <x:c r="G50" s="9" t="s">
        <x:v>2434</x:v>
      </x:c>
    </x:row>
    <x:row r="51" ht="110" customHeight="1">
      <x:c r="A51" s="4" t="s">
        <x:v>2605</x:v>
      </x:c>
      <x:c r="B51" s="4" t="s">
        <x:v>2243</x:v>
      </x:c>
      <x:c r="C51" s="4" t="s">
        <x:v>2606</x:v>
      </x:c>
      <x:c r="D51" s="4" t="s">
        <x:v>2607</x:v>
      </x:c>
      <x:c r="E51" s="4" t="s">
        <x:v>11</x:v>
      </x:c>
      <x:c r="F51" s="4" t="s">
        <x:v>2608</x:v>
      </x:c>
      <x:c r="G51" s="4" t="s">
        <x:v>2609</x:v>
      </x:c>
    </x:row>
    <x:row r="52" ht="110" customHeight="1">
      <x:c r="A52" s="5" t="s">
        <x:v>2610</x:v>
      </x:c>
      <x:c r="B52" s="5" t="s">
        <x:v>2118</x:v>
      </x:c>
      <x:c r="C52" s="5" t="s">
        <x:v>2611</x:v>
      </x:c>
      <x:c r="D52" s="5" t="s">
        <x:v>2612</x:v>
      </x:c>
      <x:c r="E52" s="5" t="s">
        <x:v>11</x:v>
      </x:c>
      <x:c r="F52" s="5" t="s">
        <x:v>2608</x:v>
      </x:c>
      <x:c r="G52" s="5" t="s">
        <x:v>2613</x:v>
      </x:c>
    </x:row>
    <x:row r="53" ht="110" customHeight="1">
      <x:c r="A53" s="4" t="s">
        <x:v>2614</x:v>
      </x:c>
      <x:c r="B53" s="4" t="s">
        <x:v>2153</x:v>
      </x:c>
      <x:c r="C53" s="4" t="s">
        <x:v>2615</x:v>
      </x:c>
      <x:c r="D53" s="4" t="s">
        <x:v>2616</x:v>
      </x:c>
      <x:c r="E53" s="4" t="s">
        <x:v>11</x:v>
      </x:c>
      <x:c r="F53" s="4" t="s">
        <x:v>2608</x:v>
      </x:c>
      <x:c r="G53" s="4" t="s">
        <x:v>2617</x:v>
      </x:c>
    </x:row>
    <x:row r="54" ht="110" customHeight="1">
      <x:c r="A54" s="5" t="s">
        <x:v>2618</x:v>
      </x:c>
      <x:c r="B54" s="5" t="s">
        <x:v>2619</x:v>
      </x:c>
      <x:c r="C54" s="5" t="s">
        <x:v>2620</x:v>
      </x:c>
      <x:c r="D54" s="5" t="s">
        <x:v>2621</x:v>
      </x:c>
      <x:c r="E54" s="5" t="s">
        <x:v>2592</x:v>
      </x:c>
      <x:c r="F54" s="5" t="s">
        <x:v>2622</x:v>
      </x:c>
      <x:c r="G54" s="5" t="s">
        <x:v>2623</x:v>
      </x:c>
    </x:row>
    <x:row r="55" ht="110" customHeight="1">
      <x:c r="A55" s="4" t="s">
        <x:v>2624</x:v>
      </x:c>
      <x:c r="B55" s="4" t="s">
        <x:v>2625</x:v>
      </x:c>
      <x:c r="C55" s="4" t="s">
        <x:v>2626</x:v>
      </x:c>
      <x:c r="D55" s="4" t="s">
        <x:v>2627</x:v>
      </x:c>
      <x:c r="E55" s="4" t="s">
        <x:v>11</x:v>
      </x:c>
      <x:c r="F55" s="4" t="s">
        <x:v>2628</x:v>
      </x:c>
      <x:c r="G55" s="4" t="s">
        <x:v>2629</x:v>
      </x:c>
    </x:row>
    <x:row r="56" ht="110" customHeight="1">
      <x:c r="A56" s="5" t="s">
        <x:v>2630</x:v>
      </x:c>
      <x:c r="B56" s="5" t="s">
        <x:v>2305</x:v>
      </x:c>
      <x:c r="C56" s="5" t="s">
        <x:v>2631</x:v>
      </x:c>
      <x:c r="D56" s="5" t="s">
        <x:v>2632</x:v>
      </x:c>
      <x:c r="E56" s="5" t="s">
        <x:v>11</x:v>
      </x:c>
      <x:c r="F56" s="5" t="s">
        <x:v>2633</x:v>
      </x:c>
      <x:c r="G56" s="5" t="s">
        <x:v>2634</x:v>
      </x:c>
    </x:row>
    <x:row r="57" ht="110" customHeight="1">
      <x:c r="A57" s="4" t="s">
        <x:v>2635</x:v>
      </x:c>
      <x:c r="B57" s="4" t="s">
        <x:v>2371</x:v>
      </x:c>
      <x:c r="C57" s="4" t="s">
        <x:v>2636</x:v>
      </x:c>
      <x:c r="D57" s="4" t="s">
        <x:v>2637</x:v>
      </x:c>
      <x:c r="E57" s="4" t="s">
        <x:v>11</x:v>
      </x:c>
      <x:c r="F57" s="4" t="s">
        <x:v>2608</x:v>
      </x:c>
      <x:c r="G57" s="4" t="s">
        <x:v>2638</x:v>
      </x:c>
    </x:row>
    <x:row r="58" ht="110" customHeight="1">
      <x:c r="A58" s="5" t="s">
        <x:v>2639</x:v>
      </x:c>
      <x:c r="B58" s="5" t="s">
        <x:v>2640</x:v>
      </x:c>
      <x:c r="C58" s="5" t="s">
        <x:v>2641</x:v>
      </x:c>
      <x:c r="D58" s="5" t="s">
        <x:v>2642</x:v>
      </x:c>
      <x:c r="E58" s="5" t="s">
        <x:v>11</x:v>
      </x:c>
      <x:c r="F58" s="5" t="s">
        <x:v>2643</x:v>
      </x:c>
      <x:c r="G58" s="5" t="s">
        <x:v>2644</x:v>
      </x:c>
    </x:row>
    <x:row r="59" ht="110" customHeight="1">
      <x:c r="A59" s="4" t="s">
        <x:v>2645</x:v>
      </x:c>
      <x:c r="B59" s="4" t="s">
        <x:v>2646</x:v>
      </x:c>
      <x:c r="C59" s="4" t="s">
        <x:v>2647</x:v>
      </x:c>
      <x:c r="D59" s="4" t="s">
        <x:v>2648</x:v>
      </x:c>
      <x:c r="E59" s="4" t="s">
        <x:v>2592</x:v>
      </x:c>
      <x:c r="F59" s="4" t="s">
        <x:v>2608</x:v>
      </x:c>
      <x:c r="G59" s="4" t="s">
        <x:v>2649</x:v>
      </x:c>
    </x:row>
    <x:row r="60" ht="110" customHeight="1">
      <x:c r="A60" s="5" t="s">
        <x:v>2650</x:v>
      </x:c>
      <x:c r="B60" s="5" t="s">
        <x:v>2651</x:v>
      </x:c>
      <x:c r="C60" s="5" t="s">
        <x:v>2652</x:v>
      </x:c>
      <x:c r="D60" s="5" t="s">
        <x:v>2653</x:v>
      </x:c>
      <x:c r="E60" s="5" t="s">
        <x:v>11</x:v>
      </x:c>
      <x:c r="F60" s="5" t="s">
        <x:v>2654</x:v>
      </x:c>
      <x:c r="G60" s="5" t="s">
        <x:v>2655</x:v>
      </x:c>
    </x:row>
    <x:row r="61" ht="110" customHeight="1">
      <x:c r="A61" s="4" t="s">
        <x:v>2656</x:v>
      </x:c>
      <x:c r="B61" s="4" t="s">
        <x:v>2332</x:v>
      </x:c>
      <x:c r="C61" s="4" t="s">
        <x:v>2657</x:v>
      </x:c>
      <x:c r="D61" s="4" t="s">
        <x:v>2658</x:v>
      </x:c>
      <x:c r="E61" s="4" t="s">
        <x:v>11</x:v>
      </x:c>
      <x:c r="F61" s="4" t="s">
        <x:v>2659</x:v>
      </x:c>
      <x:c r="G61" s="4" t="s">
        <x:v>2660</x:v>
      </x:c>
    </x:row>
    <x:row r="62" ht="44" customHeight="1">
      <x:c r="A62" s="6" t="s">
        <x:v>2661</x:v>
      </x:c>
      <x:c r="B62" s="6"/>
      <x:c r="C62" s="6"/>
      <x:c r="D62" s="6"/>
      <x:c r="E62" s="6"/>
      <x:c r="F62" s="6"/>
      <x:c r="G62" s="6"/>
    </x:row>
    <x:row r="64" ht="32" customHeight="1">
      <x:c r="A64" t="s">
        <x:v>2662</x:v>
      </x:c>
    </x:row>
    <x:row r="65" ht="100" customHeight="1">
      <x:c r="A65" s="12" t="s">
        <x:v>2663</x:v>
      </x:c>
      <x:c r="B65" s="12" t="s">
        <x:v>2664</x:v>
      </x:c>
      <x:c r="C65" s="12" t="s">
        <x:v>2665</x:v>
      </x:c>
      <x:c r="D65" s="12" t="s">
        <x:v>2666</x:v>
      </x:c>
      <x:c r="E65" s="12" t="s">
        <x:v>11</x:v>
      </x:c>
      <x:c r="F65" s="12" t="s">
        <x:v>2667</x:v>
      </x:c>
      <x:c r="G65" s="12" t="s">
        <x:v>2668</x:v>
      </x:c>
    </x:row>
    <x:row r="66" ht="100" customHeight="1">
      <x:c r="A66" s="12" t="s">
        <x:v>2669</x:v>
      </x:c>
      <x:c r="B66" s="12" t="s">
        <x:v>2670</x:v>
      </x:c>
      <x:c r="C66" s="12" t="s">
        <x:v>2671</x:v>
      </x:c>
      <x:c r="D66" s="12" t="s">
        <x:v>2672</x:v>
      </x:c>
      <x:c r="E66" s="12" t="s">
        <x:v>11</x:v>
      </x:c>
      <x:c r="F66" s="12" t="s">
        <x:v>2673</x:v>
      </x:c>
      <x:c r="G66" s="12" t="s">
        <x:v>2674</x:v>
      </x:c>
    </x:row>
    <x:row r="67" ht="100" customHeight="1">
      <x:c r="A67" s="12" t="s">
        <x:v>2675</x:v>
      </x:c>
      <x:c r="B67" s="12" t="s">
        <x:v>2676</x:v>
      </x:c>
      <x:c r="C67" s="12" t="s">
        <x:v>2677</x:v>
      </x:c>
      <x:c r="D67" s="12" t="s">
        <x:v>2678</x:v>
      </x:c>
      <x:c r="E67" s="12" t="s">
        <x:v>11</x:v>
      </x:c>
      <x:c r="F67" s="12" t="s">
        <x:v>2679</x:v>
      </x:c>
      <x:c r="G67" s="12" t="s">
        <x:v>2680</x:v>
      </x:c>
    </x:row>
    <x:row r="68" ht="100" customHeight="1">
      <x:c r="A68" s="12" t="s">
        <x:v>2681</x:v>
      </x:c>
      <x:c r="B68" s="12" t="s">
        <x:v>2682</x:v>
      </x:c>
      <x:c r="C68" s="12" t="s">
        <x:v>2683</x:v>
      </x:c>
      <x:c r="D68" s="12" t="s">
        <x:v>2684</x:v>
      </x:c>
      <x:c r="E68" s="12" t="s">
        <x:v>11</x:v>
      </x:c>
      <x:c r="F68" s="12" t="s">
        <x:v>2685</x:v>
      </x:c>
      <x:c r="G68" s="12" t="s">
        <x:v>2686</x:v>
      </x:c>
    </x:row>
    <x:row r="69" ht="100" customHeight="1">
      <x:c r="A69" s="12" t="s">
        <x:v>2687</x:v>
      </x:c>
      <x:c r="B69" s="12" t="s">
        <x:v>2688</x:v>
      </x:c>
      <x:c r="C69" s="12" t="s">
        <x:v>2689</x:v>
      </x:c>
      <x:c r="D69" s="12" t="s">
        <x:v>2690</x:v>
      </x:c>
      <x:c r="E69" s="12" t="s">
        <x:v>11</x:v>
      </x:c>
      <x:c r="F69" s="12" t="s">
        <x:v>2691</x:v>
      </x:c>
      <x:c r="G69" s="12" t="s">
        <x:v>2692</x:v>
      </x:c>
    </x:row>
    <x:row r="70" ht="100" customHeight="1">
      <x:c r="A70" s="12" t="s">
        <x:v>2693</x:v>
      </x:c>
      <x:c r="B70" s="12" t="s">
        <x:v>2694</x:v>
      </x:c>
      <x:c r="C70" s="12" t="s">
        <x:v>2695</x:v>
      </x:c>
      <x:c r="D70" s="12" t="s">
        <x:v>2696</x:v>
      </x:c>
      <x:c r="E70" s="12" t="s">
        <x:v>11</x:v>
      </x:c>
      <x:c r="F70" s="12" t="s">
        <x:v>2697</x:v>
      </x:c>
      <x:c r="G70" s="12" t="s">
        <x:v>2698</x:v>
      </x:c>
    </x:row>
    <x:row r="71" ht="100" customHeight="1">
      <x:c r="A71" s="12" t="s">
        <x:v>2699</x:v>
      </x:c>
      <x:c r="B71" s="12" t="s">
        <x:v>2700</x:v>
      </x:c>
      <x:c r="C71" s="12" t="s">
        <x:v>2701</x:v>
      </x:c>
      <x:c r="D71" s="12" t="s">
        <x:v>2702</x:v>
      </x:c>
      <x:c r="E71" s="12" t="s">
        <x:v>11</x:v>
      </x:c>
      <x:c r="F71" s="12" t="s">
        <x:v>2703</x:v>
      </x:c>
      <x:c r="G71" s="12" t="s">
        <x:v>2704</x:v>
      </x:c>
    </x:row>
    <x:row r="72" ht="100" customHeight="1">
      <x:c r="A72" s="12" t="s">
        <x:v>2705</x:v>
      </x:c>
      <x:c r="B72" s="12" t="s">
        <x:v>2706</x:v>
      </x:c>
      <x:c r="C72" s="12" t="s">
        <x:v>2707</x:v>
      </x:c>
      <x:c r="D72" s="12" t="s">
        <x:v>2708</x:v>
      </x:c>
      <x:c r="E72" s="12" t="s">
        <x:v>2</x:v>
      </x:c>
      <x:c r="F72" s="12" t="s">
        <x:v>2709</x:v>
      </x:c>
      <x:c r="G72" s="12" t="s">
        <x:v>2710</x:v>
      </x:c>
    </x:row>
    <x:row r="73" ht="100" customHeight="1">
      <x:c r="A73" s="12" t="s">
        <x:v>2711</x:v>
      </x:c>
      <x:c r="B73" s="12" t="s">
        <x:v>2712</x:v>
      </x:c>
      <x:c r="C73" s="12" t="s">
        <x:v>2713</x:v>
      </x:c>
      <x:c r="D73" s="12" t="s">
        <x:v>2714</x:v>
      </x:c>
      <x:c r="E73" s="12" t="s">
        <x:v>11</x:v>
      </x:c>
      <x:c r="F73" s="12" t="s">
        <x:v>2715</x:v>
      </x:c>
      <x:c r="G73" s="12" t="s">
        <x:v>2716</x:v>
      </x:c>
    </x:row>
    <x:row r="74" ht="100" customHeight="1">
      <x:c r="A74" s="12" t="s">
        <x:v>2717</x:v>
      </x:c>
      <x:c r="B74" s="12" t="s">
        <x:v>2243</x:v>
      </x:c>
      <x:c r="C74" s="12" t="s">
        <x:v>2718</x:v>
      </x:c>
      <x:c r="D74" s="12" t="s">
        <x:v>2719</x:v>
      </x:c>
      <x:c r="E74" s="12" t="s">
        <x:v>11</x:v>
      </x:c>
      <x:c r="F74" s="12" t="s">
        <x:v>2720</x:v>
      </x:c>
      <x:c r="G74" s="12" t="s">
        <x:v>2721</x:v>
      </x:c>
    </x:row>
    <x:row r="75" ht="100" customHeight="1">
      <x:c r="A75" s="12" t="s">
        <x:v>2722</x:v>
      </x:c>
      <x:c r="B75" s="12" t="s">
        <x:v>2723</x:v>
      </x:c>
      <x:c r="C75" s="12" t="s">
        <x:v>2724</x:v>
      </x:c>
      <x:c r="D75" s="12" t="s">
        <x:v>2725</x:v>
      </x:c>
      <x:c r="E75" s="12" t="s">
        <x:v>2726</x:v>
      </x:c>
      <x:c r="F75" s="12" t="s">
        <x:v>2727</x:v>
      </x:c>
      <x:c r="G75" s="12" t="s">
        <x:v>2728</x:v>
      </x:c>
    </x:row>
    <x:row r="76" ht="100" customHeight="1">
      <x:c r="A76" s="12" t="s">
        <x:v>2729</x:v>
      </x:c>
      <x:c r="B76" s="12" t="s">
        <x:v>2730</x:v>
      </x:c>
      <x:c r="C76" s="12" t="s">
        <x:v>2731</x:v>
      </x:c>
      <x:c r="D76" s="12" t="s">
        <x:v>2732</x:v>
      </x:c>
      <x:c r="E76" s="12" t="s">
        <x:v>11</x:v>
      </x:c>
      <x:c r="F76" s="12" t="s">
        <x:v>2733</x:v>
      </x:c>
      <x:c r="G76" s="12" t="s">
        <x:v>2734</x:v>
      </x:c>
    </x:row>
    <x:row r="77" ht="100" customHeight="1">
      <x:c r="A77" s="12" t="s">
        <x:v>2735</x:v>
      </x:c>
      <x:c r="B77" s="12" t="s">
        <x:v>2305</x:v>
      </x:c>
      <x:c r="C77" s="12" t="s">
        <x:v>2736</x:v>
      </x:c>
      <x:c r="D77" s="12" t="s">
        <x:v>2737</x:v>
      </x:c>
      <x:c r="E77" s="12" t="s">
        <x:v>11</x:v>
      </x:c>
      <x:c r="F77" s="12" t="s">
        <x:v>2738</x:v>
      </x:c>
      <x:c r="G77" s="12" t="s">
        <x:v>2739</x:v>
      </x:c>
    </x:row>
    <x:row r="78" ht="100" customHeight="1">
      <x:c r="A78" s="12" t="s">
        <x:v>2740</x:v>
      </x:c>
      <x:c r="B78" s="12" t="s">
        <x:v>2741</x:v>
      </x:c>
      <x:c r="C78" s="12" t="s">
        <x:v>2742</x:v>
      </x:c>
      <x:c r="D78" s="12" t="s">
        <x:v>2743</x:v>
      </x:c>
      <x:c r="E78" s="12" t="s">
        <x:v>2726</x:v>
      </x:c>
      <x:c r="F78" s="12" t="s">
        <x:v>2744</x:v>
      </x:c>
      <x:c r="G78" s="12" t="s">
        <x:v>2745</x:v>
      </x:c>
    </x:row>
    <x:row r="79" ht="100" customHeight="1">
      <x:c r="A79" s="12" t="s">
        <x:v>2746</x:v>
      </x:c>
      <x:c r="B79" s="12" t="s">
        <x:v>2747</x:v>
      </x:c>
      <x:c r="C79" s="12" t="s">
        <x:v>2748</x:v>
      </x:c>
      <x:c r="D79" s="12" t="s">
        <x:v>2749</x:v>
      </x:c>
      <x:c r="E79" s="12" t="s">
        <x:v>11</x:v>
      </x:c>
      <x:c r="F79" s="12" t="s">
        <x:v>117</x:v>
      </x:c>
      <x:c r="G79" s="12" t="s">
        <x:v>2750</x:v>
      </x:c>
    </x:row>
    <x:row r="80" ht="100" customHeight="1">
      <x:c r="A80" s="12" t="s">
        <x:v>2751</x:v>
      </x:c>
      <x:c r="B80" s="12" t="s">
        <x:v>2752</x:v>
      </x:c>
      <x:c r="C80" s="12" t="s">
        <x:v>2753</x:v>
      </x:c>
      <x:c r="D80" s="12" t="s">
        <x:v>2754</x:v>
      </x:c>
      <x:c r="E80" s="12" t="s">
        <x:v>2726</x:v>
      </x:c>
      <x:c r="F80" s="12" t="s">
        <x:v>2755</x:v>
      </x:c>
      <x:c r="G80" s="12" t="s">
        <x:v>2756</x:v>
      </x:c>
    </x:row>
    <x:row r="81" ht="100" customHeight="1">
      <x:c r="A81" s="12" t="s">
        <x:v>2757</x:v>
      </x:c>
      <x:c r="B81" s="12" t="s">
        <x:v>2758</x:v>
      </x:c>
      <x:c r="C81" s="12" t="s">
        <x:v>2759</x:v>
      </x:c>
      <x:c r="D81" s="12" t="s">
        <x:v>2760</x:v>
      </x:c>
      <x:c r="E81" s="12" t="s">
        <x:v>2726</x:v>
      </x:c>
      <x:c r="F81" s="12" t="s">
        <x:v>2761</x:v>
      </x:c>
      <x:c r="G81" s="12" t="s">
        <x:v>2762</x:v>
      </x:c>
    </x:row>
    <x:row r="82" ht="100" customHeight="1">
      <x:c r="A82" s="12" t="s">
        <x:v>2763</x:v>
      </x:c>
      <x:c r="B82" s="12" t="s">
        <x:v>354</x:v>
      </x:c>
      <x:c r="C82" s="12" t="s">
        <x:v>2764</x:v>
      </x:c>
      <x:c r="D82" s="12" t="s">
        <x:v>2765</x:v>
      </x:c>
      <x:c r="E82" s="12" t="s">
        <x:v>2</x:v>
      </x:c>
      <x:c r="F82" s="12" t="s">
        <x:v>2766</x:v>
      </x:c>
      <x:c r="G82" s="12" t="s">
        <x:v>2767</x:v>
      </x:c>
    </x:row>
    <x:row r="83" ht="100" customHeight="1">
      <x:c r="A83" s="12" t="s">
        <x:v>2768</x:v>
      </x:c>
      <x:c r="B83" s="12" t="s">
        <x:v>2769</x:v>
      </x:c>
      <x:c r="C83" s="12" t="s">
        <x:v>2770</x:v>
      </x:c>
      <x:c r="D83" s="12" t="s">
        <x:v>2771</x:v>
      </x:c>
      <x:c r="E83" s="12" t="s">
        <x:v>2726</x:v>
      </x:c>
      <x:c r="F83" s="12" t="s">
        <x:v>2772</x:v>
      </x:c>
      <x:c r="G83" s="12" t="s">
        <x:v>2773</x:v>
      </x:c>
    </x:row>
    <x:row r="84" ht="100" customHeight="1">
      <x:c r="A84" s="12" t="s">
        <x:v>2774</x:v>
      </x:c>
      <x:c r="B84" s="12" t="s">
        <x:v>2775</x:v>
      </x:c>
      <x:c r="C84" s="12" t="s">
        <x:v>2776</x:v>
      </x:c>
      <x:c r="D84" s="12" t="s">
        <x:v>2777</x:v>
      </x:c>
      <x:c r="E84" s="12" t="s">
        <x:v>3</x:v>
      </x:c>
      <x:c r="F84" s="12" t="s">
        <x:v>2778</x:v>
      </x:c>
      <x:c r="G84" s="12" t="s">
        <x:v>2779</x:v>
      </x:c>
    </x:row>
    <x:row r="85" ht="100" customHeight="1">
      <x:c r="A85" s="12" t="s">
        <x:v>2780</x:v>
      </x:c>
      <x:c r="B85" s="12" t="s">
        <x:v>2781</x:v>
      </x:c>
      <x:c r="C85" s="12" t="s">
        <x:v>2782</x:v>
      </x:c>
      <x:c r="D85" s="12" t="s">
        <x:v>2783</x:v>
      </x:c>
      <x:c r="E85" s="12" t="s">
        <x:v>2726</x:v>
      </x:c>
      <x:c r="F85" s="12" t="s">
        <x:v>2784</x:v>
      </x:c>
      <x:c r="G85" s="12" t="s">
        <x:v>2785</x:v>
      </x:c>
    </x:row>
    <x:row r="87" ht="45" customHeight="1">
      <x:c r="A87" s="13" t="s">
        <x:v>2786</x:v>
      </x:c>
      <x:c r="B87" s="13"/>
      <x:c r="C87" s="13"/>
      <x:c r="D87" s="13"/>
      <x:c r="E87" s="13"/>
      <x:c r="F87" s="13"/>
      <x:c r="G87" s="13"/>
    </x:row>
    <x:row r="89" ht="100" customHeight="1">
      <x:c r="A89" t="s">
        <x:v>2787</x:v>
      </x:c>
      <x:c r="B89" t="s">
        <x:v>2788</x:v>
      </x:c>
      <x:c r="C89" t="s">
        <x:v>2789</x:v>
      </x:c>
      <x:c r="D89" t="s">
        <x:v>2790</x:v>
      </x:c>
      <x:c r="E89" t="s">
        <x:v>2</x:v>
      </x:c>
      <x:c r="F89" t="s">
        <x:v>2791</x:v>
      </x:c>
      <x:c r="G89" t="s">
        <x:v>2792</x:v>
      </x:c>
    </x:row>
    <x:row r="90" ht="100" customHeight="1">
      <x:c r="A90" t="s">
        <x:v>2793</x:v>
      </x:c>
      <x:c r="B90" t="s">
        <x:v>2794</x:v>
      </x:c>
      <x:c r="C90" t="s">
        <x:v>2795</x:v>
      </x:c>
      <x:c r="D90" t="s">
        <x:v>2796</x:v>
      </x:c>
      <x:c r="E90" t="s">
        <x:v>2</x:v>
      </x:c>
      <x:c r="F90" t="s">
        <x:v>2797</x:v>
      </x:c>
      <x:c r="G90" t="s">
        <x:v>2798</x:v>
      </x:c>
    </x:row>
    <x:row r="91" ht="100" customHeight="1">
      <x:c r="A91" t="s">
        <x:v>2799</x:v>
      </x:c>
      <x:c r="B91" t="s">
        <x:v>2800</x:v>
      </x:c>
      <x:c r="C91" t="s">
        <x:v>2801</x:v>
      </x:c>
      <x:c r="D91" t="s">
        <x:v>2802</x:v>
      </x:c>
      <x:c r="E91" t="s">
        <x:v>11</x:v>
      </x:c>
      <x:c r="F91" t="s">
        <x:v>2803</x:v>
      </x:c>
      <x:c r="G91" t="s">
        <x:v>2804</x:v>
      </x:c>
    </x:row>
    <x:row r="92" ht="100" customHeight="1">
      <x:c r="A92" t="s">
        <x:v>2805</x:v>
      </x:c>
      <x:c r="B92" t="s">
        <x:v>2806</x:v>
      </x:c>
      <x:c r="C92" t="s">
        <x:v>2807</x:v>
      </x:c>
      <x:c r="D92" t="s">
        <x:v>2808</x:v>
      </x:c>
      <x:c r="E92" t="s">
        <x:v>11</x:v>
      </x:c>
      <x:c r="F92" t="s">
        <x:v>2809</x:v>
      </x:c>
      <x:c r="G92" t="s">
        <x:v>2810</x:v>
      </x:c>
    </x:row>
    <x:row r="93" ht="100" customHeight="1">
      <x:c r="A93" t="s">
        <x:v>2811</x:v>
      </x:c>
      <x:c r="B93" t="s">
        <x:v>2812</x:v>
      </x:c>
      <x:c r="C93" t="s">
        <x:v>2813</x:v>
      </x:c>
      <x:c r="D93" t="s">
        <x:v>2814</x:v>
      </x:c>
      <x:c r="E93" t="s">
        <x:v>2726</x:v>
      </x:c>
      <x:c r="F93" t="s">
        <x:v>2815</x:v>
      </x:c>
      <x:c r="G93" t="s">
        <x:v>2816</x:v>
      </x:c>
    </x:row>
    <x:row r="94" ht="100" customHeight="1">
      <x:c r="A94" t="s">
        <x:v>2817</x:v>
      </x:c>
      <x:c r="B94" t="s">
        <x:v>2818</x:v>
      </x:c>
      <x:c r="C94" t="s">
        <x:v>2819</x:v>
      </x:c>
      <x:c r="D94" t="s">
        <x:v>2820</x:v>
      </x:c>
      <x:c r="E94" t="s">
        <x:v>11</x:v>
      </x:c>
      <x:c r="F94" t="s">
        <x:v>2821</x:v>
      </x:c>
      <x:c r="G94" t="s">
        <x:v>2822</x:v>
      </x:c>
    </x:row>
    <x:row r="95" ht="100" customHeight="1">
      <x:c r="A95" t="s">
        <x:v>2823</x:v>
      </x:c>
      <x:c r="B95" t="s">
        <x:v>2824</x:v>
      </x:c>
      <x:c r="C95" t="s">
        <x:v>2825</x:v>
      </x:c>
      <x:c r="D95" t="s">
        <x:v>2826</x:v>
      </x:c>
      <x:c r="E95" t="s">
        <x:v>11</x:v>
      </x:c>
      <x:c r="F95" t="s">
        <x:v>2827</x:v>
      </x:c>
      <x:c r="G95" t="s">
        <x:v>2828</x:v>
      </x:c>
    </x:row>
    <x:row r="96" ht="100" customHeight="1">
      <x:c r="A96" t="s">
        <x:v>2829</x:v>
      </x:c>
      <x:c r="B96" t="s">
        <x:v>2830</x:v>
      </x:c>
      <x:c r="C96" t="s">
        <x:v>2831</x:v>
      </x:c>
      <x:c r="D96" t="s">
        <x:v>2832</x:v>
      </x:c>
      <x:c r="E96" t="s">
        <x:v>2</x:v>
      </x:c>
      <x:c r="F96" t="s">
        <x:v>2833</x:v>
      </x:c>
      <x:c r="G96" t="s">
        <x:v>2834</x:v>
      </x:c>
    </x:row>
    <x:row r="97" ht="100" customHeight="1">
      <x:c r="A97" t="s">
        <x:v>2835</x:v>
      </x:c>
      <x:c r="B97" t="s">
        <x:v>2836</x:v>
      </x:c>
      <x:c r="C97" t="s">
        <x:v>2837</x:v>
      </x:c>
      <x:c r="D97" t="s">
        <x:v>2838</x:v>
      </x:c>
      <x:c r="E97" t="s">
        <x:v>11</x:v>
      </x:c>
      <x:c r="F97" t="s">
        <x:v>2839</x:v>
      </x:c>
      <x:c r="G97" t="s">
        <x:v>2840</x:v>
      </x:c>
    </x:row>
    <x:row r="98" ht="100" customHeight="1">
      <x:c r="A98" t="s">
        <x:v>2841</x:v>
      </x:c>
      <x:c r="B98" t="s">
        <x:v>2842</x:v>
      </x:c>
      <x:c r="C98" t="s">
        <x:v>2843</x:v>
      </x:c>
      <x:c r="D98" t="s">
        <x:v>2844</x:v>
      </x:c>
      <x:c r="E98" t="s">
        <x:v>2726</x:v>
      </x:c>
      <x:c r="F98" t="s">
        <x:v>2845</x:v>
      </x:c>
      <x:c r="G98" t="s">
        <x:v>2846</x:v>
      </x:c>
    </x:row>
    <x:row r="99" ht="100" customHeight="1">
      <x:c r="A99" t="s">
        <x:v>2847</x:v>
      </x:c>
      <x:c r="B99" t="s">
        <x:v>2848</x:v>
      </x:c>
      <x:c r="C99" t="s">
        <x:v>2849</x:v>
      </x:c>
      <x:c r="D99" t="s">
        <x:v>2850</x:v>
      </x:c>
      <x:c r="E99" t="s">
        <x:v>11</x:v>
      </x:c>
      <x:c r="F99" t="s">
        <x:v>2851</x:v>
      </x:c>
      <x:c r="G99" t="s">
        <x:v>2852</x:v>
      </x:c>
    </x:row>
    <x:row r="100" ht="100" customHeight="1">
      <x:c r="A100" t="s">
        <x:v>2853</x:v>
      </x:c>
      <x:c r="B100" t="s">
        <x:v>2854</x:v>
      </x:c>
      <x:c r="C100" t="s">
        <x:v>2855</x:v>
      </x:c>
      <x:c r="D100" t="s">
        <x:v>2856</x:v>
      </x:c>
      <x:c r="E100" t="s">
        <x:v>2</x:v>
      </x:c>
      <x:c r="F100" t="s">
        <x:v>2857</x:v>
      </x:c>
      <x:c r="G100" t="s">
        <x:v>2858</x:v>
      </x:c>
    </x:row>
    <x:row r="101" ht="100" customHeight="1">
      <x:c r="A101" t="s">
        <x:v>2859</x:v>
      </x:c>
      <x:c r="B101" t="s">
        <x:v>2173</x:v>
      </x:c>
      <x:c r="C101" t="s">
        <x:v>2860</x:v>
      </x:c>
      <x:c r="D101" t="s">
        <x:v>2861</x:v>
      </x:c>
      <x:c r="E101" t="s">
        <x:v>2726</x:v>
      </x:c>
      <x:c r="F101" t="s">
        <x:v>2862</x:v>
      </x:c>
      <x:c r="G101" t="s">
        <x:v>2863</x:v>
      </x:c>
    </x:row>
    <x:row r="102" ht="100" customHeight="1">
      <x:c r="A102" t="s">
        <x:v>2864</x:v>
      </x:c>
      <x:c r="B102" t="s">
        <x:v>2865</x:v>
      </x:c>
      <x:c r="C102" t="s">
        <x:v>2866</x:v>
      </x:c>
      <x:c r="D102" t="s">
        <x:v>2867</x:v>
      </x:c>
      <x:c r="E102" t="s">
        <x:v>11</x:v>
      </x:c>
      <x:c r="F102" t="s">
        <x:v>2868</x:v>
      </x:c>
      <x:c r="G102" t="s">
        <x:v>2869</x:v>
      </x:c>
    </x:row>
    <x:row r="103" ht="100" customHeight="1">
      <x:c r="A103" t="s">
        <x:v>2870</x:v>
      </x:c>
      <x:c r="B103" t="s">
        <x:v>2871</x:v>
      </x:c>
      <x:c r="C103" t="s">
        <x:v>2872</x:v>
      </x:c>
      <x:c r="D103" t="s">
        <x:v>2873</x:v>
      </x:c>
      <x:c r="E103" t="s">
        <x:v>2726</x:v>
      </x:c>
      <x:c r="F103" t="s">
        <x:v>2874</x:v>
      </x:c>
      <x:c r="G103" t="s">
        <x:v>2875</x:v>
      </x:c>
    </x:row>
    <x:row r="104" ht="100" customHeight="1">
      <x:c r="A104" t="s">
        <x:v>2876</x:v>
      </x:c>
      <x:c r="B104" t="s">
        <x:v>2877</x:v>
      </x:c>
      <x:c r="C104" t="s">
        <x:v>2878</x:v>
      </x:c>
      <x:c r="D104" t="s">
        <x:v>2879</x:v>
      </x:c>
      <x:c r="E104" t="s">
        <x:v>3</x:v>
      </x:c>
      <x:c r="F104" t="s">
        <x:v>2880</x:v>
      </x:c>
      <x:c r="G104" t="s">
        <x:v>2881</x:v>
      </x:c>
    </x:row>
    <x:row r="105" ht="100" customHeight="1">
      <x:c r="A105" t="s">
        <x:v>2882</x:v>
      </x:c>
      <x:c r="B105" t="s">
        <x:v>2883</x:v>
      </x:c>
      <x:c r="C105" t="s">
        <x:v>2884</x:v>
      </x:c>
      <x:c r="D105" t="s">
        <x:v>2885</x:v>
      </x:c>
      <x:c r="E105" t="s">
        <x:v>2886</x:v>
      </x:c>
      <x:c r="F105" t="s">
        <x:v>2887</x:v>
      </x:c>
      <x:c r="G105" t="s">
        <x:v>2888</x:v>
      </x:c>
    </x:row>
    <x:row r="106" ht="110" customHeight="1">
      <x:c r="A106" t="s">
        <x:v>2889</x:v>
      </x:c>
      <x:c r="B106" t="s">
        <x:v>2890</x:v>
      </x:c>
      <x:c r="C106" t="s">
        <x:v>2891</x:v>
      </x:c>
      <x:c r="D106" t="s">
        <x:v>2892</x:v>
      </x:c>
      <x:c r="E106" t="s">
        <x:v>11</x:v>
      </x:c>
      <x:c r="F106" t="s">
        <x:v>2893</x:v>
      </x:c>
      <x:c r="G106" t="s">
        <x:v>2894</x:v>
      </x:c>
    </x:row>
    <x:row r="107" ht="110" customHeight="1">
      <x:c r="A107" t="s">
        <x:v>2895</x:v>
      </x:c>
      <x:c r="B107" t="s">
        <x:v>844</x:v>
      </x:c>
      <x:c r="C107" t="s">
        <x:v>2896</x:v>
      </x:c>
      <x:c r="D107" t="s">
        <x:v>2897</x:v>
      </x:c>
      <x:c r="E107" t="s">
        <x:v>2</x:v>
      </x:c>
      <x:c r="F107" t="s">
        <x:v>2898</x:v>
      </x:c>
      <x:c r="G107" t="s">
        <x:v>2899</x:v>
      </x:c>
    </x:row>
    <x:row r="108" ht="110" customHeight="1">
      <x:c r="A108" t="s">
        <x:v>2900</x:v>
      </x:c>
      <x:c r="B108" t="s">
        <x:v>2901</x:v>
      </x:c>
      <x:c r="C108" t="s">
        <x:v>2902</x:v>
      </x:c>
      <x:c r="D108" t="s">
        <x:v>2903</x:v>
      </x:c>
      <x:c r="E108" t="s">
        <x:v>2726</x:v>
      </x:c>
      <x:c r="F108" t="s">
        <x:v>2904</x:v>
      </x:c>
      <x:c r="G108" t="s">
        <x:v>2905</x:v>
      </x:c>
    </x:row>
    <x:row r="109" ht="110" customHeight="1">
      <x:c r="A109" t="s">
        <x:v>2906</x:v>
      </x:c>
      <x:c r="B109" t="s">
        <x:v>2907</x:v>
      </x:c>
      <x:c r="C109" t="s">
        <x:v>2908</x:v>
      </x:c>
      <x:c r="D109" t="s">
        <x:v>2909</x:v>
      </x:c>
      <x:c r="E109" t="s">
        <x:v>3</x:v>
      </x:c>
      <x:c r="F109" t="s">
        <x:v>2910</x:v>
      </x:c>
      <x:c r="G109" t="s">
        <x:v>2911</x:v>
      </x:c>
    </x:row>
    <x:row r="110" ht="110" customHeight="1">
      <x:c r="A110" t="s">
        <x:v>2912</x:v>
      </x:c>
      <x:c r="B110" t="s">
        <x:v>2913</x:v>
      </x:c>
      <x:c r="C110" t="s">
        <x:v>2914</x:v>
      </x:c>
      <x:c r="D110" t="s">
        <x:v>2915</x:v>
      </x:c>
      <x:c r="E110" t="s">
        <x:v>11</x:v>
      </x:c>
      <x:c r="F110" t="s">
        <x:v>2916</x:v>
      </x:c>
      <x:c r="G110" t="s">
        <x:v>2917</x:v>
      </x:c>
    </x:row>
    <x:row r="111" ht="110" customHeight="1">
      <x:c r="A111" t="s">
        <x:v>2918</x:v>
      </x:c>
      <x:c r="B111" t="s">
        <x:v>2919</x:v>
      </x:c>
      <x:c r="C111" t="s">
        <x:v>2920</x:v>
      </x:c>
      <x:c r="D111" t="s">
        <x:v>2921</x:v>
      </x:c>
      <x:c r="E111" t="s">
        <x:v>2726</x:v>
      </x:c>
      <x:c r="F111" t="s">
        <x:v>2922</x:v>
      </x:c>
      <x:c r="G111" t="s">
        <x:v>2923</x:v>
      </x:c>
    </x:row>
    <x:row r="112" ht="110" customHeight="1">
      <x:c r="A112" t="s">
        <x:v>2924</x:v>
      </x:c>
      <x:c r="B112" t="s">
        <x:v>2925</x:v>
      </x:c>
      <x:c r="C112" t="s">
        <x:v>2926</x:v>
      </x:c>
      <x:c r="D112" t="s">
        <x:v>2927</x:v>
      </x:c>
      <x:c r="E112" t="s">
        <x:v>2</x:v>
      </x:c>
      <x:c r="F112" t="s">
        <x:v>2928</x:v>
      </x:c>
      <x:c r="G112" t="s">
        <x:v>2929</x:v>
      </x:c>
    </x:row>
    <x:row r="113" ht="110" customHeight="1">
      <x:c r="A113" t="s">
        <x:v>2930</x:v>
      </x:c>
      <x:c r="B113" t="s">
        <x:v>2931</x:v>
      </x:c>
      <x:c r="C113" t="s">
        <x:v>2932</x:v>
      </x:c>
      <x:c r="D113" t="s">
        <x:v>2933</x:v>
      </x:c>
      <x:c r="E113" t="s">
        <x:v>11</x:v>
      </x:c>
      <x:c r="F113" t="s">
        <x:v>2934</x:v>
      </x:c>
      <x:c r="G113" t="s">
        <x:v>2935</x:v>
      </x:c>
    </x:row>
    <x:row r="114" ht="110" customHeight="1">
      <x:c r="A114" t="s">
        <x:v>2936</x:v>
      </x:c>
      <x:c r="B114" t="s">
        <x:v>2937</x:v>
      </x:c>
      <x:c r="C114" t="s">
        <x:v>2938</x:v>
      </x:c>
      <x:c r="D114" t="s">
        <x:v>2939</x:v>
      </x:c>
      <x:c r="E114" t="s">
        <x:v>11</x:v>
      </x:c>
      <x:c r="F114" t="s">
        <x:v>2940</x:v>
      </x:c>
      <x:c r="G114" t="s">
        <x:v>2941</x:v>
      </x:c>
    </x:row>
    <x:row r="115" ht="110" customHeight="1">
      <x:c r="A115" t="s">
        <x:v>2942</x:v>
      </x:c>
      <x:c r="B115" t="s">
        <x:v>2943</x:v>
      </x:c>
      <x:c r="C115" t="s">
        <x:v>2944</x:v>
      </x:c>
      <x:c r="D115" t="s">
        <x:v>2945</x:v>
      </x:c>
      <x:c r="E115" t="s">
        <x:v>2</x:v>
      </x:c>
      <x:c r="F115" t="s">
        <x:v>2946</x:v>
      </x:c>
      <x:c r="G115" t="s">
        <x:v>2947</x:v>
      </x:c>
    </x:row>
    <x:row r="116" ht="110" customHeight="1">
      <x:c r="A116" t="s">
        <x:v>2948</x:v>
      </x:c>
      <x:c r="B116" t="s">
        <x:v>2949</x:v>
      </x:c>
      <x:c r="C116" t="s">
        <x:v>2950</x:v>
      </x:c>
      <x:c r="D116" t="s">
        <x:v>2951</x:v>
      </x:c>
      <x:c r="E116" t="s">
        <x:v>11</x:v>
      </x:c>
      <x:c r="F116" t="s">
        <x:v>2952</x:v>
      </x:c>
      <x:c r="G116" t="s">
        <x:v>2953</x:v>
      </x:c>
    </x:row>
    <x:row r="117" ht="110" customHeight="1">
      <x:c r="A117" t="s">
        <x:v>2954</x:v>
      </x:c>
      <x:c r="B117" t="s">
        <x:v>2955</x:v>
      </x:c>
      <x:c r="C117" t="s">
        <x:v>2956</x:v>
      </x:c>
      <x:c r="D117" t="s">
        <x:v>2957</x:v>
      </x:c>
      <x:c r="E117" t="s">
        <x:v>2</x:v>
      </x:c>
      <x:c r="F117" t="s">
        <x:v>2958</x:v>
      </x:c>
      <x:c r="G117" t="s">
        <x:v>2959</x:v>
      </x:c>
    </x:row>
    <x:row r="118" ht="110" customHeight="1">
      <x:c r="A118" t="s">
        <x:v>2960</x:v>
      </x:c>
      <x:c r="B118" t="s">
        <x:v>2961</x:v>
      </x:c>
      <x:c r="C118" t="s">
        <x:v>2962</x:v>
      </x:c>
      <x:c r="D118" t="s">
        <x:v>2963</x:v>
      </x:c>
      <x:c r="E118" t="s">
        <x:v>11</x:v>
      </x:c>
      <x:c r="F118" t="s">
        <x:v>2964</x:v>
      </x:c>
      <x:c r="G118" t="s">
        <x:v>2965</x:v>
      </x:c>
    </x:row>
    <x:row r="119" ht="110" customHeight="1">
      <x:c r="A119" t="s">
        <x:v>2966</x:v>
      </x:c>
      <x:c r="B119" t="s">
        <x:v>2967</x:v>
      </x:c>
      <x:c r="C119" t="s">
        <x:v>2968</x:v>
      </x:c>
      <x:c r="D119" t="s">
        <x:v>2969</x:v>
      </x:c>
      <x:c r="E119" t="s">
        <x:v>2</x:v>
      </x:c>
      <x:c r="F119" t="s">
        <x:v>2970</x:v>
      </x:c>
      <x:c r="G119" t="s">
        <x:v>2971</x:v>
      </x:c>
    </x:row>
    <x:row r="120" ht="110" customHeight="1">
      <x:c r="A120" t="s">
        <x:v>2972</x:v>
      </x:c>
      <x:c r="B120" t="s">
        <x:v>2973</x:v>
      </x:c>
      <x:c r="C120" t="s">
        <x:v>2974</x:v>
      </x:c>
      <x:c r="D120" t="s">
        <x:v>2975</x:v>
      </x:c>
      <x:c r="E120" t="s">
        <x:v>11</x:v>
      </x:c>
      <x:c r="F120" t="s">
        <x:v>2976</x:v>
      </x:c>
      <x:c r="G120" t="s">
        <x:v>2977</x:v>
      </x:c>
    </x:row>
    <x:row r="121" ht="110" customHeight="1">
      <x:c r="A121" t="s">
        <x:v>2978</x:v>
      </x:c>
      <x:c r="B121" t="s">
        <x:v>2979</x:v>
      </x:c>
      <x:c r="C121" t="s">
        <x:v>2980</x:v>
      </x:c>
      <x:c r="D121" t="s">
        <x:v>2981</x:v>
      </x:c>
      <x:c r="E121" t="s">
        <x:v>2</x:v>
      </x:c>
      <x:c r="F121" t="s">
        <x:v>2982</x:v>
      </x:c>
      <x:c r="G121" t="s">
        <x:v>2983</x:v>
      </x:c>
    </x:row>
    <x:row r="122" ht="110" customHeight="1">
      <x:c r="A122" t="s">
        <x:v>2984</x:v>
      </x:c>
      <x:c r="B122" t="s">
        <x:v>2985</x:v>
      </x:c>
      <x:c r="C122" t="s">
        <x:v>2986</x:v>
      </x:c>
      <x:c r="D122" t="s">
        <x:v>2987</x:v>
      </x:c>
      <x:c r="E122" t="s">
        <x:v>2</x:v>
      </x:c>
      <x:c r="F122" t="s">
        <x:v>2988</x:v>
      </x:c>
      <x:c r="G122" t="s">
        <x:v>2989</x:v>
      </x:c>
    </x:row>
    <x:row r="123" ht="110" customHeight="1">
      <x:c r="A123" t="s">
        <x:v>2990</x:v>
      </x:c>
      <x:c r="B123" t="s">
        <x:v>2991</x:v>
      </x:c>
      <x:c r="C123" t="s">
        <x:v>2992</x:v>
      </x:c>
      <x:c r="D123" t="s">
        <x:v>2993</x:v>
      </x:c>
      <x:c r="E123" t="s">
        <x:v>11</x:v>
      </x:c>
      <x:c r="F123" t="s">
        <x:v>2994</x:v>
      </x:c>
      <x:c r="G123" t="s">
        <x:v>2995</x:v>
      </x:c>
    </x:row>
    <x:row r="124" ht="110" customHeight="1">
      <x:c r="A124" t="s">
        <x:v>2996</x:v>
      </x:c>
      <x:c r="B124" t="s">
        <x:v>2997</x:v>
      </x:c>
      <x:c r="C124" t="s">
        <x:v>2998</x:v>
      </x:c>
      <x:c r="D124" t="s">
        <x:v>2999</x:v>
      </x:c>
      <x:c r="E124" t="s">
        <x:v>11</x:v>
      </x:c>
      <x:c r="F124" t="s">
        <x:v>3000</x:v>
      </x:c>
      <x:c r="G124" t="s">
        <x:v>3001</x:v>
      </x:c>
    </x:row>
    <x:row r="125" ht="110" customHeight="1">
      <x:c r="A125" t="s">
        <x:v>3002</x:v>
      </x:c>
      <x:c r="B125" t="s">
        <x:v>3003</x:v>
      </x:c>
      <x:c r="C125" t="s">
        <x:v>3004</x:v>
      </x:c>
      <x:c r="D125" t="s">
        <x:v>3005</x:v>
      </x:c>
      <x:c r="E125" t="s">
        <x:v>11</x:v>
      </x:c>
      <x:c r="F125" t="s">
        <x:v>3006</x:v>
      </x:c>
      <x:c r="G125" t="s">
        <x:v>3007</x:v>
      </x:c>
    </x:row>
    <x:row r="126" ht="110" customHeight="1">
      <x:c r="A126" t="s">
        <x:v>3008</x:v>
      </x:c>
      <x:c r="B126" t="s">
        <x:v>3009</x:v>
      </x:c>
      <x:c r="C126" t="s">
        <x:v>3010</x:v>
      </x:c>
      <x:c r="D126" t="s">
        <x:v>3011</x:v>
      </x:c>
      <x:c r="E126" t="s">
        <x:v>11</x:v>
      </x:c>
      <x:c r="F126" t="s">
        <x:v>3012</x:v>
      </x:c>
      <x:c r="G126" t="s">
        <x:v>3013</x:v>
      </x:c>
    </x:row>
    <x:row r="127" ht="110" customHeight="1">
      <x:c r="A127" t="s">
        <x:v>3014</x:v>
      </x:c>
      <x:c r="B127" t="s">
        <x:v>3015</x:v>
      </x:c>
      <x:c r="C127" t="s">
        <x:v>3016</x:v>
      </x:c>
      <x:c r="D127" t="s">
        <x:v>3011</x:v>
      </x:c>
      <x:c r="E127" t="s">
        <x:v>11</x:v>
      </x:c>
      <x:c r="F127" t="s">
        <x:v>3017</x:v>
      </x:c>
      <x:c r="G127" t="s">
        <x:v>3018</x:v>
      </x:c>
    </x:row>
    <x:row r="128" ht="110" customHeight="1">
      <x:c r="A128" t="s">
        <x:v>3019</x:v>
      </x:c>
      <x:c r="B128" t="s">
        <x:v>3020</x:v>
      </x:c>
      <x:c r="C128" t="s">
        <x:v>3021</x:v>
      </x:c>
      <x:c r="D128" t="s">
        <x:v>3022</x:v>
      </x:c>
      <x:c r="E128" t="s">
        <x:v>2</x:v>
      </x:c>
      <x:c r="F128" t="s">
        <x:v>3023</x:v>
      </x:c>
      <x:c r="G128" t="s">
        <x:v>3024</x:v>
      </x:c>
    </x:row>
    <x:row r="129" ht="110" customHeight="1">
      <x:c r="A129" t="s">
        <x:v>3025</x:v>
      </x:c>
      <x:c r="B129" t="s">
        <x:v>3026</x:v>
      </x:c>
      <x:c r="C129" t="s">
        <x:v>3027</x:v>
      </x:c>
      <x:c r="D129" t="s">
        <x:v>3028</x:v>
      </x:c>
      <x:c r="E129" t="s">
        <x:v>3</x:v>
      </x:c>
      <x:c r="F129" t="s">
        <x:v>3029</x:v>
      </x:c>
      <x:c r="G129" t="s">
        <x:v>3030</x:v>
      </x:c>
    </x:row>
    <x:row r="130" ht="110" customHeight="1">
      <x:c r="A130" t="s">
        <x:v>3031</x:v>
      </x:c>
      <x:c r="B130" t="s">
        <x:v>3032</x:v>
      </x:c>
      <x:c r="C130" t="s">
        <x:v>3033</x:v>
      </x:c>
      <x:c r="D130" t="s">
        <x:v>3034</x:v>
      </x:c>
      <x:c r="E130" t="s">
        <x:v>11</x:v>
      </x:c>
      <x:c r="F130" t="s">
        <x:v>3035</x:v>
      </x:c>
      <x:c r="G130" t="s">
        <x:v>3036</x:v>
      </x:c>
    </x:row>
    <x:row r="131" ht="110" customHeight="1">
      <x:c r="A131" t="s">
        <x:v>3037</x:v>
      </x:c>
      <x:c r="B131" t="s">
        <x:v>3038</x:v>
      </x:c>
      <x:c r="C131" t="s">
        <x:v>3039</x:v>
      </x:c>
      <x:c r="D131" t="s">
        <x:v>3040</x:v>
      </x:c>
      <x:c r="E131" t="s">
        <x:v>3</x:v>
      </x:c>
      <x:c r="F131" t="s">
        <x:v>3041</x:v>
      </x:c>
      <x:c r="G131" t="s">
        <x:v>3042</x:v>
      </x:c>
    </x:row>
    <x:row r="132" ht="110" customHeight="1">
      <x:c r="A132" t="s">
        <x:v>3043</x:v>
      </x:c>
      <x:c r="B132" t="s">
        <x:v>3044</x:v>
      </x:c>
      <x:c r="C132" t="s">
        <x:v>3045</x:v>
      </x:c>
      <x:c r="D132" t="s">
        <x:v>3046</x:v>
      </x:c>
      <x:c r="E132" t="s">
        <x:v>2886</x:v>
      </x:c>
      <x:c r="F132" t="s">
        <x:v>3047</x:v>
      </x:c>
      <x:c r="G132" t="s">
        <x:v>3048</x:v>
      </x:c>
    </x:row>
    <x:row r="133" ht="110" customHeight="1">
      <x:c r="A133" t="s">
        <x:v>3049</x:v>
      </x:c>
      <x:c r="B133" t="s">
        <x:v>3050</x:v>
      </x:c>
      <x:c r="C133" t="s">
        <x:v>3051</x:v>
      </x:c>
      <x:c r="D133" t="s">
        <x:v>3052</x:v>
      </x:c>
      <x:c r="E133" t="s">
        <x:v>2</x:v>
      </x:c>
      <x:c r="F133" t="s">
        <x:v>3053</x:v>
      </x:c>
      <x:c r="G133" t="s">
        <x:v>3054</x:v>
      </x:c>
    </x:row>
    <x:row r="135" ht="96" customHeight="1">
      <x:c r="A135" s="14" t="s">
        <x:v>3055</x:v>
      </x:c>
      <x:c r="B135" s="14" t="s">
        <x:v>3056</x:v>
      </x:c>
      <x:c r="C135" s="14" t="s">
        <x:v>3057</x:v>
      </x:c>
      <x:c r="D135" s="14" t="s">
        <x:v>3058</x:v>
      </x:c>
      <x:c r="E135" s="14" t="s">
        <x:v>11</x:v>
      </x:c>
      <x:c r="F135" s="14" t="s">
        <x:v>3059</x:v>
      </x:c>
      <x:c r="G135" s="14" t="s">
        <x:v>3060</x:v>
      </x:c>
    </x:row>
    <x:row r="136" ht="96" customHeight="1">
      <x:c r="A136" s="14" t="s">
        <x:v>3061</x:v>
      </x:c>
      <x:c r="B136" s="14" t="s">
        <x:v>3062</x:v>
      </x:c>
      <x:c r="C136" s="14" t="s">
        <x:v>3063</x:v>
      </x:c>
      <x:c r="D136" s="14" t="s">
        <x:v>3064</x:v>
      </x:c>
      <x:c r="E136" s="14" t="s">
        <x:v>11</x:v>
      </x:c>
      <x:c r="F136" s="14" t="s">
        <x:v>3065</x:v>
      </x:c>
      <x:c r="G136" s="14" t="s">
        <x:v>3066</x:v>
      </x:c>
    </x:row>
    <x:row r="137" ht="96" customHeight="1">
      <x:c r="A137" s="14" t="s">
        <x:v>3067</x:v>
      </x:c>
      <x:c r="B137" s="14" t="s">
        <x:v>3068</x:v>
      </x:c>
      <x:c r="C137" s="14" t="s">
        <x:v>3069</x:v>
      </x:c>
      <x:c r="D137" s="14" t="s">
        <x:v>3070</x:v>
      </x:c>
      <x:c r="E137" s="14" t="s">
        <x:v>11</x:v>
      </x:c>
      <x:c r="F137" s="14" t="s">
        <x:v>3071</x:v>
      </x:c>
      <x:c r="G137" s="14" t="s">
        <x:v>3072</x:v>
      </x:c>
    </x:row>
    <x:row r="138" ht="96" customHeight="1">
      <x:c r="A138" s="14" t="s">
        <x:v>3073</x:v>
      </x:c>
      <x:c r="B138" s="14" t="s">
        <x:v>3074</x:v>
      </x:c>
      <x:c r="C138" s="14" t="s">
        <x:v>3075</x:v>
      </x:c>
      <x:c r="D138" s="14" t="s">
        <x:v>3076</x:v>
      </x:c>
      <x:c r="E138" s="14" t="s">
        <x:v>11</x:v>
      </x:c>
      <x:c r="F138" s="14" t="s">
        <x:v>3077</x:v>
      </x:c>
      <x:c r="G138" s="14" t="s">
        <x:v>3078</x:v>
      </x:c>
    </x:row>
    <x:row r="139" ht="96" customHeight="1">
      <x:c r="A139" s="14" t="s">
        <x:v>3079</x:v>
      </x:c>
      <x:c r="B139" s="14" t="s">
        <x:v>3080</x:v>
      </x:c>
      <x:c r="C139" s="14" t="s">
        <x:v>3081</x:v>
      </x:c>
      <x:c r="D139" s="14" t="s">
        <x:v>3082</x:v>
      </x:c>
      <x:c r="E139" s="14" t="s">
        <x:v>11</x:v>
      </x:c>
      <x:c r="F139" s="14" t="s">
        <x:v>3083</x:v>
      </x:c>
      <x:c r="G139" s="14" t="s">
        <x:v>3084</x:v>
      </x:c>
    </x:row>
    <x:row r="140" ht="96" customHeight="1">
      <x:c r="A140" s="14" t="s">
        <x:v>3085</x:v>
      </x:c>
      <x:c r="B140" s="14" t="s">
        <x:v>3086</x:v>
      </x:c>
      <x:c r="C140" s="14" t="s">
        <x:v>3087</x:v>
      </x:c>
      <x:c r="D140" s="14" t="s">
        <x:v>3088</x:v>
      </x:c>
      <x:c r="E140" s="14" t="s">
        <x:v>11</x:v>
      </x:c>
      <x:c r="F140" s="14" t="s">
        <x:v>3089</x:v>
      </x:c>
      <x:c r="G140" s="14" t="s">
        <x:v>3090</x:v>
      </x:c>
    </x:row>
    <x:row r="141" ht="96" customHeight="1">
      <x:c r="A141" s="14" t="s">
        <x:v>3091</x:v>
      </x:c>
      <x:c r="B141" s="14" t="s">
        <x:v>3092</x:v>
      </x:c>
      <x:c r="C141" s="14" t="s">
        <x:v>3093</x:v>
      </x:c>
      <x:c r="D141" s="14" t="s">
        <x:v>3094</x:v>
      </x:c>
      <x:c r="E141" s="14" t="s">
        <x:v>11</x:v>
      </x:c>
      <x:c r="F141" s="14" t="s">
        <x:v>3095</x:v>
      </x:c>
      <x:c r="G141" s="14" t="s">
        <x:v>3096</x:v>
      </x:c>
    </x:row>
    <x:row r="142" ht="96" customHeight="1">
      <x:c r="A142" s="14" t="s">
        <x:v>3097</x:v>
      </x:c>
      <x:c r="B142" s="14" t="s">
        <x:v>3098</x:v>
      </x:c>
      <x:c r="C142" s="14" t="s">
        <x:v>3099</x:v>
      </x:c>
      <x:c r="D142" s="14" t="s">
        <x:v>3100</x:v>
      </x:c>
      <x:c r="E142" s="14" t="s">
        <x:v>2562</x:v>
      </x:c>
      <x:c r="F142" s="14" t="s">
        <x:v>3101</x:v>
      </x:c>
      <x:c r="G142" s="14" t="s">
        <x:v>3102</x:v>
      </x:c>
    </x:row>
    <x:row r="144" ht="130" customHeight="1">
      <x:c r="A144" s="14" t="s">
        <x:v>3103</x:v>
      </x:c>
      <x:c r="B144" s="14" t="s">
        <x:v>3104</x:v>
      </x:c>
      <x:c r="C144" s="14" t="s">
        <x:v>3105</x:v>
      </x:c>
      <x:c r="D144" s="14" t="s">
        <x:v>3106</x:v>
      </x:c>
      <x:c r="E144" s="14" t="s">
        <x:v>3107</x:v>
      </x:c>
      <x:c r="F144" s="14" t="s">
        <x:v>3108</x:v>
      </x:c>
      <x:c r="G144" s="14" t="s">
        <x:v>3109</x:v>
      </x:c>
    </x:row>
    <x:row r="145" ht="130" customHeight="1">
      <x:c r="A145" s="14" t="s">
        <x:v>3110</x:v>
      </x:c>
      <x:c r="B145" s="14" t="s">
        <x:v>3111</x:v>
      </x:c>
      <x:c r="C145" s="14" t="s">
        <x:v>3112</x:v>
      </x:c>
      <x:c r="D145" s="14" t="s">
        <x:v>3113</x:v>
      </x:c>
      <x:c r="E145" s="14" t="s">
        <x:v>3107</x:v>
      </x:c>
      <x:c r="F145" s="14" t="s">
        <x:v>3114</x:v>
      </x:c>
      <x:c r="G145" s="14" t="s">
        <x:v>3115</x:v>
      </x:c>
    </x:row>
    <x:row r="146" ht="130" customHeight="1">
      <x:c r="A146" s="14" t="s">
        <x:v>3116</x:v>
      </x:c>
      <x:c r="B146" s="14" t="s">
        <x:v>3117</x:v>
      </x:c>
      <x:c r="C146" s="14" t="s">
        <x:v>3118</x:v>
      </x:c>
      <x:c r="D146" s="14" t="s">
        <x:v>3119</x:v>
      </x:c>
      <x:c r="E146" s="14" t="s">
        <x:v>11</x:v>
      </x:c>
      <x:c r="F146" s="14" t="s">
        <x:v>3120</x:v>
      </x:c>
      <x:c r="G146" s="14" t="s">
        <x:v>3121</x:v>
      </x:c>
    </x:row>
    <x:row r="147" ht="130" customHeight="1">
      <x:c r="A147" s="14" t="s">
        <x:v>3122</x:v>
      </x:c>
      <x:c r="B147" s="14" t="s">
        <x:v>628</x:v>
      </x:c>
      <x:c r="C147" s="14" t="s">
        <x:v>3123</x:v>
      </x:c>
      <x:c r="D147" s="14" t="s">
        <x:v>3124</x:v>
      </x:c>
      <x:c r="E147" s="14" t="s">
        <x:v>2</x:v>
      </x:c>
      <x:c r="F147" s="14" t="s">
        <x:v>3125</x:v>
      </x:c>
      <x:c r="G147" s="14" t="s">
        <x:v>3126</x:v>
      </x:c>
    </x:row>
    <x:row r="148" ht="130" customHeight="1">
      <x:c r="A148" s="14" t="s">
        <x:v>3127</x:v>
      </x:c>
      <x:c r="B148" s="14" t="s">
        <x:v>3128</x:v>
      </x:c>
      <x:c r="C148" s="14" t="s">
        <x:v>3129</x:v>
      </x:c>
      <x:c r="D148" s="14" t="s">
        <x:v>3130</x:v>
      </x:c>
      <x:c r="E148" s="14" t="s">
        <x:v>2</x:v>
      </x:c>
      <x:c r="F148" s="14" t="s">
        <x:v>3131</x:v>
      </x:c>
      <x:c r="G148" s="14" t="s">
        <x:v>3132</x:v>
      </x:c>
    </x:row>
    <x:row r="149" ht="130" customHeight="1">
      <x:c r="A149" s="14" t="s">
        <x:v>3133</x:v>
      </x:c>
      <x:c r="B149" s="14" t="s">
        <x:v>3134</x:v>
      </x:c>
      <x:c r="C149" s="14" t="s">
        <x:v>3135</x:v>
      </x:c>
      <x:c r="D149" s="14" t="s">
        <x:v>3136</x:v>
      </x:c>
      <x:c r="E149" s="14" t="s">
        <x:v>11</x:v>
      </x:c>
      <x:c r="F149" s="14" t="s">
        <x:v>3137</x:v>
      </x:c>
      <x:c r="G149" s="14" t="s">
        <x:v>3138</x:v>
      </x:c>
    </x:row>
    <x:row r="150" ht="130" customHeight="1">
      <x:c r="A150" s="14" t="s">
        <x:v>3139</x:v>
      </x:c>
      <x:c r="B150" s="14" t="s">
        <x:v>3140</x:v>
      </x:c>
      <x:c r="C150" s="14" t="s">
        <x:v>3141</x:v>
      </x:c>
      <x:c r="D150" s="14" t="s">
        <x:v>3142</x:v>
      </x:c>
      <x:c r="E150" s="14" t="s">
        <x:v>2562</x:v>
      </x:c>
      <x:c r="F150" s="14" t="s">
        <x:v>3143</x:v>
      </x:c>
      <x:c r="G150" s="14" t="s">
        <x:v>3144</x:v>
      </x:c>
    </x:row>
    <x:row r="151" ht="130" customHeight="1">
      <x:c r="A151" s="14" t="s">
        <x:v>3145</x:v>
      </x:c>
      <x:c r="B151" s="14" t="s">
        <x:v>3146</x:v>
      </x:c>
      <x:c r="C151" s="14" t="s">
        <x:v>3147</x:v>
      </x:c>
      <x:c r="D151" s="14" t="s">
        <x:v>3148</x:v>
      </x:c>
      <x:c r="E151" s="14" t="s">
        <x:v>2562</x:v>
      </x:c>
      <x:c r="F151" s="14" t="s">
        <x:v>3149</x:v>
      </x:c>
      <x:c r="G151" s="14" t="s">
        <x:v>3150</x:v>
      </x:c>
    </x:row>
    <x:row r="153" ht="110" customHeight="1">
      <x:c r="A153" s="310" t="str">
        <x:v>R9-01</x:v>
      </x:c>
      <x:c r="B153" s="310" t="str">
        <x:v>环境</x:v>
      </x:c>
      <x:c r="C153" s="310" t="str">
        <x:v>恢复Edge及原普通页/大屏</x:v>
      </x:c>
      <x:c r="D153" s="310" t="str">
        <x:v>控制恢复，四服务HTTP200</x:v>
      </x:c>
      <x:c r="E153" s="310" t="str">
        <x:v>通过</x:v>
      </x:c>
      <x:c r="F153" s="310" t="str">
        <x:v>qa-r9/health-start.json；normal-recovered.txt；bigscreen-recovered.txt</x:v>
      </x:c>
      <x:c r="G153" s="310" t="str">
        <x:v>原用户表单保留</x:v>
      </x:c>
    </x:row>
    <x:row r="154" ht="110" customHeight="1">
      <x:c r="A154" s="310" t="str">
        <x:v>R9-02</x:v>
      </x:c>
      <x:c r="B154" s="310" t="str">
        <x:v>管理端</x:v>
      </x:c>
      <x:c r="C154" s="310" t="str">
        <x:v>当前目录npm test</x:v>
      </x:c>
      <x:c r="D154" s="310" t="str">
        <x:v>28文件129项全部通过</x:v>
      </x:c>
      <x:c r="E154" s="310" t="str">
        <x:v>通过</x:v>
      </x:c>
      <x:c r="F154" s="310" t="str">
        <x:v>qa-r9/admin-tests.log</x:v>
      </x:c>
      <x:c r="G154" s="310" t="str">
        <x:v>未跑后端全量；未改产品代码</x:v>
      </x:c>
    </x:row>
    <x:row r="155" ht="110" customHeight="1">
      <x:c r="A155" s="310" t="str">
        <x:v>R9-03</x:v>
      </x:c>
      <x:c r="B155" s="310" t="str">
        <x:v>研判</x:v>
      </x:c>
      <x:c r="C155" s="310" t="str">
        <x:v>独立登录后首次进入待处理并翻页</x:v>
      </x:c>
      <x:c r="D155" s="310" t="str">
        <x:v>总11，10+1，统计一致</x:v>
      </x:c>
      <x:c r="E155" s="310" t="str">
        <x:v>通过</x:v>
      </x:c>
      <x:c r="F155" s="310" t="str">
        <x:v>qa-r9/legality-default.txt；legality-page2.txt</x:v>
      </x:c>
      <x:c r="G155" s="310" t="str">
        <x:v>主33新增通过</x:v>
      </x:c>
    </x:row>
    <x:row r="156" ht="110" customHeight="1">
      <x:c r="A156" s="310" t="str">
        <x:v>R9-04</x:v>
      </x:c>
      <x:c r="B156" s="310" t="str">
        <x:v>研判</x:v>
      </x:c>
      <x:c r="C156" s="310" t="str">
        <x:v>复核四分类及核实位置组合</x:v>
      </x:c>
      <x:c r="D156" s="310" t="str">
        <x:v>待复核10、已确认1；驳回/改判空结果</x:v>
      </x:c>
      <x:c r="E156" s="310" t="str">
        <x:v>部分通过</x:v>
      </x:c>
      <x:c r="F156" s="310" t="str">
        <x:v>qa-r9/review-*.txt；legality-alarm-filter.txt</x:v>
      </x:c>
      <x:c r="G156" s="310" t="str">
        <x:v>缺驳回/改判正样本及无需复核对照</x:v>
      </x:c>
    </x:row>
    <x:row r="157" ht="110" customHeight="1">
      <x:c r="A157" s="310" t="str">
        <x:v>R9-05</x:v>
      </x:c>
      <x:c r="B157" s="310" t="str">
        <x:v>空域</x:v>
      </x:c>
      <x:c r="C157" s="310" t="str">
        <x:v>资料与范围内风险</x:v>
      </x:c>
      <x:c r="D157" s="310" t="str">
        <x:v>无规则详情/编辑；特殊文本转义</x:v>
      </x:c>
      <x:c r="E157" s="310" t="str">
        <x:v>通过</x:v>
      </x:c>
      <x:c r="F157" s="310" t="str">
        <x:v>qa-r9/airspace-detail.txt；airspace-risk.txt</x:v>
      </x:c>
      <x:c r="G157" s="310" t="str">
        <x:v>主50新增通过</x:v>
      </x:c>
    </x:row>
    <x:row r="158" ht="110" customHeight="1">
      <x:c r="A158" s="310" t="str">
        <x:v>R9-06</x:v>
      </x:c>
      <x:c r="B158" s="310" t="str">
        <x:v>风险</x:v>
      </x:c>
      <x:c r="C158" s="310" t="str">
        <x:v>读取核验通过和排除后的详情历史</x:v>
      </x:c>
      <x:c r="D158" s="310" t="str">
        <x:v>各历史1；排除无重复核验/通知</x:v>
      </x:c>
      <x:c r="E158" s="310" t="str">
        <x:v>通过</x:v>
      </x:c>
      <x:c r="F158" s="310" t="str">
        <x:v>qa-r9/risk-notified-detail.txt；risk-excluded-detail.txt</x:v>
      </x:c>
      <x:c r="G158" s="310" t="str">
        <x:v>承接八轮API主51补齐页面</x:v>
      </x:c>
    </x:row>
    <x:row r="159" ht="110" customHeight="1">
      <x:c r="A159" s="310" t="str">
        <x:v>R9-07</x:v>
      </x:c>
      <x:c r="B159" s="310" t="str">
        <x:v>风险</x:v>
      </x:c>
      <x:c r="C159" s="310" t="str">
        <x:v>通知与回执页签</x:v>
      </x:c>
      <x:c r="D159" s="310" t="str">
        <x:v>无核验/改判操作，未启用原因明确</x:v>
      </x:c>
      <x:c r="E159" s="310" t="str">
        <x:v>通过</x:v>
      </x:c>
      <x:c r="F159" s="310" t="str">
        <x:v>qa-r9/risk-notice-tab.txt</x:v>
      </x:c>
      <x:c r="G159" s="310" t="str">
        <x:v>主53通过不等于已送达</x:v>
      </x:c>
    </x:row>
    <x:row r="160" ht="110" customHeight="1">
      <x:c r="A160" s="310" t="str">
        <x:v>R9-08</x:v>
      </x:c>
      <x:c r="B160" s="310" t="str">
        <x:v>光电</x:v>
      </x:c>
      <x:c r="C160" s="310" t="str">
        <x:v>风险详情追踪按钮</x:v>
      </x:c>
      <x:c r="D160" s="310" t="str">
        <x:v>无空闲设备禁用并说明</x:v>
      </x:c>
      <x:c r="E160" s="310" t="str">
        <x:v>部分通过</x:v>
      </x:c>
      <x:c r="F160" s="310" t="str">
        <x:v>qa-r9/risk-notified-detail.txt</x:v>
      </x:c>
      <x:c r="G160" s="310" t="str">
        <x:v>缺无权限等分支</x:v>
      </x:c>
    </x:row>
    <x:row r="161" ht="110" customHeight="1">
      <x:c r="A161" s="310" t="str">
        <x:v>R9-09</x:v>
      </x:c>
      <x:c r="B161" s="310" t="str">
        <x:v>普通态势</x:v>
      </x:c>
      <x:c r="C161" s="310" t="str">
        <x:v>阻断targets读取约15秒再恢复</x:v>
      </x:c>
      <x:c r="D161" s="310" t="str">
        <x:v>仍提示数据已更新；2次拦截证据</x:v>
      </x:c>
      <x:c r="E161" s="310" t="str">
        <x:v>有问题</x:v>
      </x:c>
      <x:c r="F161" s="310" t="str">
        <x:v>qa-r9/normal-network-failed.*</x:v>
      </x:c>
      <x:c r="G161" s="310" t="str">
        <x:v>BUG-003复现；已解除</x:v>
      </x:c>
    </x:row>
    <x:row r="162" ht="110" customHeight="1">
      <x:c r="A162" s="310" t="str">
        <x:v>R9-10</x:v>
      </x:c>
      <x:c r="B162" s="310" t="str">
        <x:v>统计</x:v>
      </x:c>
      <x:c r="C162" s="310" t="str">
        <x:v>实际点击CSV导出</x:v>
      </x:c>
      <x:c r="D162" s="310" t="str">
        <x:v>8624字节；中文日期及45/0/0等一致</x:v>
      </x:c>
      <x:c r="E162" s="310" t="str">
        <x:v>分支通过</x:v>
      </x:c>
      <x:c r="F162" s="310" t="str">
        <x:v>qa-r9/stats-downloaded.csv；stats-before-export.txt</x:v>
      </x:c>
      <x:c r="G162" s="310" t="str">
        <x:v>页面缺筛选，主118未完成</x:v>
      </x:c>
    </x:row>
    <x:row r="163" ht="110" customHeight="1">
      <x:c r="A163" s="310" t="str">
        <x:v>R9-11</x:v>
      </x:c>
      <x:c r="B163" s="310" t="str">
        <x:v>统计</x:v>
      </x:c>
      <x:c r="C163" s="310" t="str">
        <x:v>0/未知/失败及重试</x:v>
      </x:c>
      <x:c r="D163" s="310" t="str">
        <x:v>失败说明、导出禁用；重试恢复</x:v>
      </x:c>
      <x:c r="E163" s="310" t="str">
        <x:v>通过</x:v>
      </x:c>
      <x:c r="F163" s="310" t="str">
        <x:v>qa-r9/stats-failed.txt/png；stats-restored.txt</x:v>
      </x:c>
      <x:c r="G163" s="310" t="str">
        <x:v>主117复测</x:v>
      </x:c>
    </x:row>
    <x:row r="164" ht="110" customHeight="1">
      <x:c r="A164" s="310" t="str">
        <x:v>R9-12</x:v>
      </x:c>
      <x:c r="B164" s="310" t="str">
        <x:v>告警</x:v>
      </x:c>
      <x:c r="C164" s="310" t="str">
        <x:v>人工现场写入口检查</x:v>
      </x:c>
      <x:c r="D164" s="310" t="str">
        <x:v>未见旧现场写入口</x:v>
      </x:c>
      <x:c r="E164" s="310" t="str">
        <x:v>部分通过</x:v>
      </x:c>
      <x:c r="F164" s="310" t="str">
        <x:v>qa-r9/alarm-default.txt</x:v>
      </x:c>
      <x:c r="G164" s="310" t="str">
        <x:v>缺旧观察只读样本</x:v>
      </x:c>
    </x:row>
    <x:row r="165" ht="110" customHeight="1">
      <x:c r="A165" s="310" t="str">
        <x:v>R9-13</x:v>
      </x:c>
      <x:c r="B165" s="310" t="str">
        <x:v>告警视频</x:v>
      </x:c>
      <x:c r="C165" s="310" t="str">
        <x:v>默认展开、收起、展开</x:v>
      </x:c>
      <x:c r="D165" s="310" t="str">
        <x:v>无跟踪任务提示明确</x:v>
      </x:c>
      <x:c r="E165" s="310" t="str">
        <x:v>部分通过</x:v>
      </x:c>
      <x:c r="F165" s="310" t="str">
        <x:v>qa-r9/alarm-video-collapsed.txt；alarm-default.txt</x:v>
      </x:c>
      <x:c r="G165" s="310" t="str">
        <x:v>缺视频流/权限/失败分支</x:v>
      </x:c>
    </x:row>
    <x:row r="166" ht="110" customHeight="1">
      <x:c r="A166" s="310" t="str">
        <x:v>R9-14</x:v>
      </x:c>
      <x:c r="B166" s="310" t="str">
        <x:v>证据</x:v>
      </x:c>
      <x:c r="C166" s="310" t="str">
        <x:v>多轨迹选择第二条跳转并刷新</x:v>
      </x:c>
      <x:c r="D166" s="310" t="str">
        <x:v>86b63f1b，88点1中断，原事件不串</x:v>
      </x:c>
      <x:c r="E166" s="310" t="str">
        <x:v>通过</x:v>
      </x:c>
      <x:c r="F166" s="310" t="str">
        <x:v>qa-r9/track-second-*.txt；track-second.png</x:v>
      </x:c>
      <x:c r="G166" s="310" t="str">
        <x:v>主109复测</x:v>
      </x:c>
    </x:row>
    <x:row r="167" ht="110" customHeight="1">
      <x:c r="A167" s="310" t="str">
        <x:v>R9-15</x:v>
      </x:c>
      <x:c r="B167" s="310" t="str">
        <x:v>地图</x:v>
      </x:c>
      <x:c r="C167" s="310" t="str">
        <x:v>告警目标012选择并缩放</x:v>
      </x:c>
      <x:c r="D167" s="310" t="str">
        <x:v>151分钟前；500m时选中点可见</x:v>
      </x:c>
      <x:c r="E167" s="310" t="str">
        <x:v>部分通过</x:v>
      </x:c>
      <x:c r="F167" s="310" t="str">
        <x:v>qa-r9/map-alarm-selection.txt/png</x:v>
      </x:c>
      <x:c r="G167" s="310" t="str">
        <x:v>主18缺独立目标与坐标对照</x:v>
      </x:c>
    </x:row>
    <x:row r="168" ht="110" customHeight="1">
      <x:c r="A168" s="310" t="str">
        <x:v>R9-16</x:v>
      </x:c>
      <x:c r="B168" s="310" t="str">
        <x:v>地图设备</x:v>
      </x:c>
      <x:c r="C168" s="310" t="str">
        <x:v>选择模拟长稳雷达</x:v>
      </x:c>
      <x:c r="D168" s="310" t="str">
        <x:v>离线152分钟/覆盖未知/MQTT超时</x:v>
      </x:c>
      <x:c r="E168" s="310" t="str">
        <x:v>部分通过</x:v>
      </x:c>
      <x:c r="F168" s="310" t="str">
        <x:v>qa-r9/map-device-selection.txt/png</x:v>
      </x:c>
      <x:c r="G168" s="310" t="str">
        <x:v>未冒充在线</x:v>
      </x:c>
    </x:row>
    <x:row r="169" ht="110" customHeight="1">
      <x:c r="A169" s="310" t="str">
        <x:v>R9-17</x:v>
      </x:c>
      <x:c r="B169" s="310" t="str">
        <x:v>PDF</x:v>
      </x:c>
      <x:c r="C169" s="310" t="str">
        <x:v>精确file链接打开原PDF</x:v>
      </x:c>
      <x:c r="D169" s="310" t="str">
        <x:v>元信息可见，预览空白仍复现</x:v>
      </x:c>
      <x:c r="E169" s="310" t="str">
        <x:v>有问题</x:v>
      </x:c>
      <x:c r="F169" s="310" t="str">
        <x:v>qa-r9/pdf-preview.txt/png</x:v>
      </x:c>
      <x:c r="G169" s="310" t="str">
        <x:v>BUG-010</x:v>
      </x:c>
    </x:row>
    <x:row r="170" ht="110" customHeight="1">
      <x:c r="A170" s="310" t="str">
        <x:v>R9-18</x:v>
      </x:c>
      <x:c r="B170" s="310" t="str">
        <x:v>计划</x:v>
      </x:c>
      <x:c r="C170" s="310" t="str">
        <x:v>选计划→空筛选→恢复全部</x:v>
      </x:c>
      <x:c r="D170" s="310" t="str">
        <x:v>详情3faefd50，URL仍70485552</x:v>
      </x:c>
      <x:c r="E170" s="310" t="str">
        <x:v>有问题</x:v>
      </x:c>
      <x:c r="F170" s="310" t="str">
        <x:v>qa-r9/plan-*-filter.json；plan-after-filter.png</x:v>
      </x:c>
      <x:c r="G170" s="310" t="str">
        <x:v>BUG-006</x:v>
      </x:c>
    </x:row>
    <x:row r="171" ht="110" customHeight="1">
      <x:c r="A171" s="310" t="str">
        <x:v>R9-19</x:v>
      </x:c>
      <x:c r="B171" s="310" t="str">
        <x:v>长稳与权限</x:v>
      </x:c>
      <x:c r="C171" s="310" t="str">
        <x:v>核对剩余验收条件</x:v>
      </x:c>
      <x:c r="D171" s="310" t="str">
        <x:v>不拼接中断前后；跨账号等未补齐</x:v>
      </x:c>
      <x:c r="E171" s="310" t="str">
        <x:v>未完成</x:v>
      </x:c>
      <x:c r="F171" s="310" t="str">
        <x:v>第九轮报告</x:v>
      </x:c>
      <x:c r="G171" s="310" t="str">
        <x:v>未发真实短信/电话/反制</x:v>
      </x:c>
    </x:row>
    <x:row r="172" ht="110" customHeight="1">
      <x:c r="A172" s="310" t="str">
        <x:v>R9-20</x:v>
      </x:c>
      <x:c r="B172" s="310" t="str">
        <x:v>交付校验</x:v>
      </x:c>
      <x:c r="C172" s="310" t="str">
        <x:v>保留11表及公式、更新21项</x:v>
      </x:c>
      <x:c r="D172" s="310" t="str">
        <x:v>计数与状态/公式再次核对</x:v>
      </x:c>
      <x:c r="E172" s="310" t="str">
        <x:v>记录</x:v>
      </x:c>
      <x:c r="F172" s="310" t="str">
        <x:v>第九轮执行记录及qa-r9/validation.json</x:v>
      </x:c>
      <x:c r="G172" s="310" t="str">
        <x:v>原八轮文件保留</x:v>
      </x:c>
    </x:row>
    <x:row r="174" ht="110" customHeight="1">
      <x:c r="A174" s="310" t="str">
        <x:v>2026-09-28</x:v>
      </x:c>
      <x:c r="B174" s="310" t="str">
        <x:v>第十轮</x:v>
      </x:c>
      <x:c r="C174" s="310" t="str">
        <x:v>阻塞修复</x:v>
      </x:c>
      <x:c r="D174" s="310" t="str">
        <x:v>修复前端错误状态、计划URL、PDF/长文件名、统计筛选、共享核实、模拟器恢复</x:v>
      </x:c>
      <x:c r="E174" s="310" t="str">
        <x:v>回归完成</x:v>
      </x:c>
      <x:c r="F174" s="310" t="str">
        <x:v>本轮报告</x:v>
      </x:c>
      <x:c r="G174" s="310" t="str">
        <x:v>Codex</x:v>
      </x:c>
    </x:row>
    <x:row r="175" ht="110" customHeight="1">
      <x:c r="A175" s="310" t="str">
        <x:v>2026-09-28</x:v>
      </x:c>
      <x:c r="B175" s="310" t="str">
        <x:v>第十轮</x:v>
      </x:c>
      <x:c r="C175" s="310" t="str">
        <x:v>后端全量</x:v>
      </x:c>
      <x:c r="D175" s="310" t="str">
        <x:v>1839条，0失败0错误485跳过；最后两处增补另跑受影响回归</x:v>
      </x:c>
      <x:c r="E175" s="310" t="str">
        <x:v>通过</x:v>
      </x:c>
      <x:c r="F175" s="310" t="str">
        <x:v>backend-final-full-package.log</x:v>
      </x:c>
      <x:c r="G175" s="310" t="str">
        <x:v>Codex</x:v>
      </x:c>
    </x:row>
    <x:row r="176" ht="110" customHeight="1">
      <x:c r="A176" s="310" t="str">
        <x:v>2026-09-28</x:v>
      </x:c>
      <x:c r="B176" s="310" t="str">
        <x:v>第十轮</x:v>
      </x:c>
      <x:c r="C176" s="310" t="str">
        <x:v>数据库</x:v>
      </x:c>
      <x:c r="D176" s="310" t="str">
        <x:v>实际PostgreSQL MQTT17、Stage7 14、Automation7及此前证据/统计测试通过</x:v>
      </x:c>
      <x:c r="E176" s="310" t="str">
        <x:v>通过</x:v>
      </x:c>
      <x:c r="F176" s="310" t="str">
        <x:v>mqtt-workstate-postgres.log；final-postgres-stage7.log；final-postgres-automation2.log</x:v>
      </x:c>
      <x:c r="G176" s="310" t="str">
        <x:v>Codex</x:v>
      </x:c>
    </x:row>
    <x:row r="177" ht="110" customHeight="1">
      <x:c r="A177" s="310" t="str">
        <x:v>2026-09-28</x:v>
      </x:c>
      <x:c r="B177" s="310" t="str">
        <x:v>第十轮</x:v>
      </x:c>
      <x:c r="C177" s="310" t="str">
        <x:v>前端/模拟器</x:v>
      </x:c>
      <x:c r="D177" s="310" t="str">
        <x:v>管理129测试、业务11测试、模拟器26Python及JS回归，构建通过</x:v>
      </x:c>
      <x:c r="E177" s="310" t="str">
        <x:v>通过</x:v>
      </x:c>
      <x:c r="F177" s="310" t="str">
        <x:v>admin-test.log；business-final-tests.log；simulator-python-tests.log</x:v>
      </x:c>
      <x:c r="G177" s="310" t="str">
        <x:v>Codex</x:v>
      </x:c>
    </x:row>
    <x:row r="178" ht="110" customHeight="1">
      <x:c r="A178" s="310" t="str">
        <x:v>2026-09-28</x:v>
      </x:c>
      <x:c r="B178" s="310" t="str">
        <x:v>第十轮</x:v>
      </x:c>
      <x:c r="C178" s="310" t="str">
        <x:v>独立信号</x:v>
      </x:c>
      <x:c r="D178" s="310" t="str">
        <x:v>A1269/B714/C252条；无计划UAV/鸟类、暂停恢复、离线及异常恢复</x:v>
      </x:c>
      <x:c r="E178" s="310" t="str">
        <x:v>局部通过</x:v>
      </x:c>
      <x:c r="F178" s="310" t="str">
        <x:v>scene-b-final.json；scene-c-final.json</x:v>
      </x:c>
      <x:c r="G178" s="310" t="str">
        <x:v>Codex</x:v>
      </x:c>
    </x:row>
    <x:row r="179" ht="110" customHeight="1">
      <x:c r="A179" s="310" t="str">
        <x:v>2026-09-28</x:v>
      </x:c>
      <x:c r="B179" s="310" t="str">
        <x:v>第十轮</x:v>
      </x:c>
      <x:c r="C179" s="310" t="str">
        <x:v>通知/处罚条件</x:v>
      </x:c>
      <x:c r="D179" s="310" t="str">
        <x:v>处罚接收方缺失；QA短信电话未启用；真实设备/光电回执缺失</x:v>
      </x:c>
      <x:c r="E179" s="310" t="str">
        <x:v>暂时测不了</x:v>
      </x:c>
      <x:c r="F179" s="310" t="str">
        <x:v>current-recipients.json；报告</x:v>
      </x:c>
      <x:c r="G179" s="310" t="str">
        <x:v>Codex</x:v>
      </x:c>
    </x:row>
    <x:row r="180" ht="110" customHeight="1">
      <x:c r="A180" s="310" t="str">
        <x:v>2026-09-28</x:v>
      </x:c>
      <x:c r="B180" s="310" t="str">
        <x:v>第十轮</x:v>
      </x:c>
      <x:c r="C180" s="310" t="str">
        <x:v>管理页登录</x:v>
      </x:c>
      <x:c r="D180" s="310" t="str">
        <x:v>所提供密码在新管理页被拒绝，保留既有业务会话</x:v>
      </x:c>
      <x:c r="E180" s="310" t="str">
        <x:v>暂时测不了</x:v>
      </x:c>
      <x:c r="F180" s="310" t="str">
        <x:v>报告</x:v>
      </x:c>
      <x:c r="G180" s="310" t="str">
        <x:v>Codex</x:v>
      </x:c>
    </x:row>
    <x:row r="181" ht="110" customHeight="1">
      <x:c r="A181" s="310" t="str">
        <x:v>2026-09-28</x:v>
      </x:c>
      <x:c r="B181" s="310" t="str">
        <x:v>第十轮</x:v>
      </x:c>
      <x:c r="C181" s="310" t="str">
        <x:v>长时间观察</x:v>
      </x:c>
      <x:c r="D181" s="310" t="str">
        <x:v>普通页/大屏连续打开超过2小时，含受控中断和恢复；最终采样控制台错误为空</x:v>
      </x:c>
      <x:c r="E181" s="310" t="str">
        <x:v>通过</x:v>
      </x:c>
      <x:c r="F181" s="310" t="str">
        <x:v>soak-samples.json；两张最终截图</x:v>
      </x:c>
      <x:c r="G181" s="310" t="str">
        <x:v>Codex</x:v>
      </x:c>
    </x:row>
    <x:row r="182" ht="110" customHeight="1">
      <x:c r="A182" s="310" t="str">
        <x:v>2026-09-28</x:v>
      </x:c>
      <x:c r="B182" s="310" t="str">
        <x:v>第十轮</x:v>
      </x:c>
      <x:c r="C182" s="310" t="str">
        <x:v>请求竞态与导航</x:v>
      </x:c>
      <x:c r="D182" s="310" t="str">
        <x:v>旧统计响应最后释放未覆盖新单位；告警筛选7/13、尾页3条、页签及侧栏详情切换通过</x:v>
      </x:c>
      <x:c r="E182" s="310" t="str">
        <x:v>通过</x:v>
      </x:c>
      <x:c r="F182" s="310" t="str">
        <x:v>stats-race-proof.json；alarm-page2-ui.txt；situation-device-selected-ui.txt</x:v>
      </x:c>
      <x:c r="G182" s="310" t="str">
        <x:v>Codex</x:v>
      </x:c>
    </x:row>
  </x:sheetData>
  <x:mergeCells>
    <x:mergeCell ref="A1:G1"/>
    <x:mergeCell ref="A2:G2"/>
    <x:mergeCell ref="A18:G18"/>
    <x:mergeCell ref="A19:G19"/>
    <x:mergeCell ref="A21:G21"/>
    <x:mergeCell ref="A30:G30"/>
    <x:mergeCell ref="A32:G32"/>
    <x:mergeCell ref="A46:G46"/>
    <x:mergeCell ref="A48:G48"/>
    <x:mergeCell ref="A62:G62"/>
    <x:mergeCell ref="A64:G64"/>
    <x:mergeCell ref="A87:G87"/>
  </x:mergeCells>
  <x:conditionalFormatting sqref="E5:E16">
    <x:cfRule type="cellIs" dxfId="8" priority="1" operator="equal">
      <x:formula>"通过"</x:formula>
    </x:cfRule>
    <x:cfRule type="cellIs" dxfId="9" priority="2" operator="equal">
      <x:formula>"有问题"</x:formula>
    </x:cfRule>
    <x:cfRule type="cellIs" dxfId="10" priority="3" operator="equal">
      <x:formula>"待核实"</x:formula>
    </x:cfRule>
    <x:cfRule type="cellIs" dxfId="10" priority="4" operator="equal">
      <x:formula>"暂时测不了"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cf029b0db98a4b33"/>
    <x:tablePart xmlns:r="http://schemas.openxmlformats.org/officeDocument/2006/relationships" r:id="R7ac1283808184328"/>
    <x:tablePart xmlns:r="http://schemas.openxmlformats.org/officeDocument/2006/relationships" r:id="Rbf660a821b614097"/>
    <x:tablePart xmlns:r="http://schemas.openxmlformats.org/officeDocument/2006/relationships" r:id="R3752adf91ee74701"/>
  </x:tableParts>
</x:worksheet>
</file>